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_rels/sheet1.xml.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_rels/workbook.xml.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回答転記用" sheetId="1" state="visible" r:id="rId2"/>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 </author>
  </authors>
  <commentList>
    <comment ref="A2" authorId="0">
      <text>
        <r>
          <rPr>
            <sz val="10"/>
            <color rgb="FF000000"/>
            <rFont val="ＭＳ Ｐゴシック"/>
            <family val="2"/>
            <charset val="128"/>
          </rPr>
          <t xml:space="preserve">数式あり注意</t>
        </r>
      </text>
    </comment>
  </commentList>
</comments>
</file>

<file path=xl/sharedStrings.xml><?xml version="1.0" encoding="utf-8"?>
<sst xmlns="http://schemas.openxmlformats.org/spreadsheetml/2006/main" count="40" uniqueCount="37">
  <si>
    <t xml:space="preserve">タイムスタンプ</t>
  </si>
  <si>
    <t xml:space="preserve">メールアドレス</t>
  </si>
  <si>
    <r>
      <rPr>
        <sz val="10"/>
        <color rgb="FF000000"/>
        <rFont val="ＭＳ Ｐゴシック"/>
        <family val="2"/>
        <charset val="128"/>
      </rPr>
      <t xml:space="preserve">進捗</t>
    </r>
    <r>
      <rPr>
        <sz val="10"/>
        <color rgb="FF000000"/>
        <rFont val="Arial"/>
        <family val="0"/>
        <charset val="1"/>
      </rPr>
      <t xml:space="preserve">ID</t>
    </r>
  </si>
  <si>
    <t xml:space="preserve">氏名</t>
  </si>
  <si>
    <t xml:space="preserve">携帯電話番号</t>
  </si>
  <si>
    <t xml:space="preserve">現在お住まいの住所（引越荷物の搬出住所）</t>
  </si>
  <si>
    <t xml:space="preserve">入居希望日</t>
  </si>
  <si>
    <t xml:space="preserve">引越し業者手配</t>
  </si>
  <si>
    <t xml:space="preserve">性別</t>
  </si>
  <si>
    <t xml:space="preserve">国籍</t>
  </si>
  <si>
    <t xml:space="preserve">段ボール数</t>
  </si>
  <si>
    <t xml:space="preserve">家電</t>
  </si>
  <si>
    <t xml:space="preserve">家具</t>
  </si>
  <si>
    <r>
      <rPr>
        <sz val="10"/>
        <color rgb="FF000000"/>
        <rFont val="ＭＳ Ｐゴシック"/>
        <family val="2"/>
        <charset val="128"/>
      </rPr>
      <t xml:space="preserve">その他の荷物</t>
    </r>
    <r>
      <rPr>
        <sz val="10"/>
        <color rgb="FF000000"/>
        <rFont val="Arial"/>
        <family val="0"/>
        <charset val="1"/>
      </rPr>
      <t xml:space="preserve">(</t>
    </r>
    <r>
      <rPr>
        <sz val="10"/>
        <color rgb="FF000000"/>
        <rFont val="ＭＳ Ｐゴシック"/>
        <family val="2"/>
        <charset val="128"/>
      </rPr>
      <t xml:space="preserve">自転車・スポーツ用品など</t>
    </r>
    <r>
      <rPr>
        <sz val="10"/>
        <color rgb="FF000000"/>
        <rFont val="Arial"/>
        <family val="0"/>
        <charset val="1"/>
      </rPr>
      <t xml:space="preserve">)</t>
    </r>
  </si>
  <si>
    <t xml:space="preserve">駐車場利用の有無</t>
  </si>
  <si>
    <t xml:space="preserve">車種</t>
  </si>
  <si>
    <t xml:space="preserve">ナンバープレート</t>
  </si>
  <si>
    <t xml:space="preserve">色</t>
  </si>
  <si>
    <t xml:space="preserve"> 希望する社宅の種類</t>
  </si>
  <si>
    <t xml:space="preserve">レンタル家具家電の利用希望</t>
  </si>
  <si>
    <t xml:space="preserve">希望するレンタル品</t>
  </si>
  <si>
    <t xml:space="preserve">通勤方法</t>
  </si>
  <si>
    <t xml:space="preserve">通勤可能時間</t>
  </si>
  <si>
    <t xml:space="preserve">現在のお住まいの物件状況</t>
  </si>
  <si>
    <r>
      <rPr>
        <sz val="10"/>
        <color rgb="FF000000"/>
        <rFont val="ＭＳ Ｐゴシック"/>
        <family val="2"/>
        <charset val="128"/>
      </rPr>
      <t xml:space="preserve">レンタル家具家電利用状況
</t>
    </r>
    <r>
      <rPr>
        <sz val="10"/>
        <color rgb="FF000000"/>
        <rFont val="Arial"/>
        <family val="0"/>
        <charset val="1"/>
      </rPr>
      <t xml:space="preserve">&lt;</t>
    </r>
    <r>
      <rPr>
        <sz val="10"/>
        <color rgb="FF000000"/>
        <rFont val="ＭＳ Ｐゴシック"/>
        <family val="2"/>
        <charset val="128"/>
      </rPr>
      <t xml:space="preserve">ご利用中の方</t>
    </r>
    <r>
      <rPr>
        <sz val="10"/>
        <color rgb="FF000000"/>
        <rFont val="Arial"/>
        <family val="0"/>
        <charset val="1"/>
      </rPr>
      <t xml:space="preserve">&gt;
</t>
    </r>
    <r>
      <rPr>
        <sz val="10"/>
        <color rgb="FF000000"/>
        <rFont val="ＭＳ Ｐゴシック"/>
        <family val="2"/>
        <charset val="128"/>
      </rPr>
      <t xml:space="preserve">・レンタル中の品目
・レンタル品は 回収希望 </t>
    </r>
    <r>
      <rPr>
        <sz val="10"/>
        <color rgb="FF000000"/>
        <rFont val="Arial"/>
        <family val="0"/>
        <charset val="1"/>
      </rPr>
      <t xml:space="preserve">/ </t>
    </r>
    <r>
      <rPr>
        <sz val="10"/>
        <color rgb="FF000000"/>
        <rFont val="ＭＳ Ｐゴシック"/>
        <family val="2"/>
        <charset val="128"/>
      </rPr>
      <t xml:space="preserve">新社宅へ引継ぎ希望　をご記載ください
</t>
    </r>
    <r>
      <rPr>
        <sz val="10"/>
        <color rgb="FF000000"/>
        <rFont val="Arial"/>
        <family val="0"/>
        <charset val="1"/>
      </rPr>
      <t xml:space="preserve">&lt;</t>
    </r>
    <r>
      <rPr>
        <sz val="10"/>
        <color rgb="FF000000"/>
        <rFont val="ＭＳ Ｐゴシック"/>
        <family val="2"/>
        <charset val="128"/>
      </rPr>
      <t xml:space="preserve">ご利用のない方</t>
    </r>
    <r>
      <rPr>
        <sz val="10"/>
        <color rgb="FF000000"/>
        <rFont val="Arial"/>
        <family val="0"/>
        <charset val="1"/>
      </rPr>
      <t xml:space="preserve">&gt;
</t>
    </r>
    <r>
      <rPr>
        <sz val="10"/>
        <color rgb="FF000000"/>
        <rFont val="ＭＳ Ｐゴシック"/>
        <family val="2"/>
        <charset val="128"/>
      </rPr>
      <t xml:space="preserve">利用なし　とご記載ください</t>
    </r>
  </si>
  <si>
    <t xml:space="preserve">ライフライン（電気、水道、ガス、ネット）の代行申込みの希望</t>
  </si>
  <si>
    <t xml:space="preserve">入居形態</t>
  </si>
  <si>
    <t xml:space="preserve">同居者情報</t>
  </si>
  <si>
    <r>
      <rPr>
        <sz val="10"/>
        <color rgb="FF000000"/>
        <rFont val="ＭＳ Ｐゴシック"/>
        <family val="2"/>
        <charset val="128"/>
      </rPr>
      <t xml:space="preserve">緊急連絡先（原則、</t>
    </r>
    <r>
      <rPr>
        <sz val="10"/>
        <color rgb="FF000000"/>
        <rFont val="Arial"/>
        <family val="0"/>
        <charset val="1"/>
      </rPr>
      <t xml:space="preserve">3</t>
    </r>
    <r>
      <rPr>
        <sz val="10"/>
        <color rgb="FF000000"/>
        <rFont val="ＭＳ Ｐゴシック"/>
        <family val="2"/>
        <charset val="128"/>
      </rPr>
      <t xml:space="preserve">親等以内の親族）</t>
    </r>
  </si>
  <si>
    <t xml:space="preserve">その他要望事項</t>
  </si>
  <si>
    <t xml:space="preserve">本人確認書類（顔写真付身分証の表、裏面）の提出について</t>
  </si>
  <si>
    <t xml:space="preserve">社宅規程の内容について必ずご一読ください。</t>
  </si>
  <si>
    <t xml:space="preserve">入居のしおりの内容について必ずご一読ください。</t>
  </si>
  <si>
    <t xml:space="preserve">退去時の注意事項について下記ご一読ください。</t>
  </si>
  <si>
    <t xml:space="preserve">回答一覧転記</t>
  </si>
  <si>
    <t xml:space="preserve">引越し必要時の情報</t>
  </si>
  <si>
    <t xml:space="preserve">免許証格納</t>
  </si>
</sst>
</file>

<file path=xl/styles.xml><?xml version="1.0" encoding="utf-8"?>
<styleSheet xmlns="http://schemas.openxmlformats.org/spreadsheetml/2006/main">
  <numFmts count="2">
    <numFmt numFmtId="164" formatCode="General"/>
    <numFmt numFmtId="165" formatCode="General"/>
  </numFmts>
  <fonts count="8">
    <font>
      <sz val="10"/>
      <color rgb="FF000000"/>
      <name val="ＭＳ Ｐゴシック"/>
      <family val="2"/>
      <charset val="128"/>
    </font>
    <font>
      <sz val="10"/>
      <name val="Arial"/>
      <family val="0"/>
      <charset val="128"/>
    </font>
    <font>
      <sz val="10"/>
      <name val="Arial"/>
      <family val="0"/>
      <charset val="128"/>
    </font>
    <font>
      <sz val="10"/>
      <name val="Arial"/>
      <family val="0"/>
      <charset val="128"/>
    </font>
    <font>
      <sz val="10"/>
      <color rgb="FF000000"/>
      <name val="Arial"/>
      <family val="0"/>
      <charset val="1"/>
    </font>
    <font>
      <b val="true"/>
      <sz val="9"/>
      <color rgb="FF000000"/>
      <name val="ＭＳ Ｐゴシック"/>
      <family val="2"/>
      <charset val="128"/>
    </font>
    <font>
      <b val="true"/>
      <sz val="10"/>
      <color rgb="FF000000"/>
      <name val="ＭＳ Ｐゴシック"/>
      <family val="2"/>
      <charset val="128"/>
    </font>
    <font>
      <b val="true"/>
      <sz val="10"/>
      <color rgb="FF000000"/>
      <name val="Arial"/>
      <family val="0"/>
      <charset val="1"/>
    </font>
  </fonts>
  <fills count="6">
    <fill>
      <patternFill patternType="none"/>
    </fill>
    <fill>
      <patternFill patternType="gray125"/>
    </fill>
    <fill>
      <patternFill patternType="solid">
        <fgColor rgb="FFCFE2F3"/>
        <bgColor rgb="FFCCFFFF"/>
      </patternFill>
    </fill>
    <fill>
      <patternFill patternType="solid">
        <fgColor rgb="FFF9CB9C"/>
        <bgColor rgb="FFF4CCCC"/>
      </patternFill>
    </fill>
    <fill>
      <patternFill patternType="solid">
        <fgColor rgb="FFB6D7A8"/>
        <bgColor rgb="FFCFE2F3"/>
      </patternFill>
    </fill>
    <fill>
      <patternFill patternType="solid">
        <fgColor rgb="FFFFF2CC"/>
        <bgColor rgb="FFFF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bottom" textRotation="0" wrapText="tru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7" fillId="5"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false" applyProtection="false">
      <alignment horizontal="general" vertical="bottom" textRotation="0" wrapText="false" indent="0" shrinkToFit="false"/>
      <protection locked="true" hidden="false"/>
    </xf>
    <xf numFmtId="165" fontId="4" fillId="5" borderId="0" xfId="0" applyFont="true" applyBorder="false" applyAlignment="fals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bgColor rgb="FFFFFF00"/>
        </patternFill>
      </fill>
    </dxf>
    <dxf>
      <fill>
        <patternFill>
          <bgColor rgb="FFF4CCCC"/>
        </patternFill>
      </fill>
    </dxf>
    <dxf>
      <fill>
        <patternFill>
          <bgColor rgb="FFF4CCCC"/>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6D7A8"/>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4CCCC"/>
      <rgbColor rgb="FFCC99FF"/>
      <rgbColor rgb="FFF9CB9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N15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E579" activePane="bottomRight" state="frozen"/>
      <selection pane="topLeft" activeCell="A1" activeCellId="0" sqref="A1"/>
      <selection pane="topRight" activeCell="E1" activeCellId="0" sqref="E1"/>
      <selection pane="bottomLeft" activeCell="A579" activeCellId="0" sqref="A579"/>
      <selection pane="bottomRight" activeCell="A529" activeCellId="0" sqref="30:615"/>
    </sheetView>
  </sheetViews>
  <sheetFormatPr defaultRowHeight="15.75" zeroHeight="false" outlineLevelRow="0" outlineLevelCol="1"/>
  <cols>
    <col collapsed="false" customWidth="true" hidden="false" outlineLevel="0" max="1" min="1" style="0" width="20.14"/>
    <col collapsed="false" customWidth="true" hidden="false" outlineLevel="0" max="2" min="2" style="0" width="14.07"/>
    <col collapsed="false" customWidth="true" hidden="false" outlineLevel="0" max="3" min="3" style="0" width="9.01"/>
    <col collapsed="false" customWidth="true" hidden="false" outlineLevel="0" max="6" min="4" style="0" width="14.07"/>
    <col collapsed="false" customWidth="true" hidden="false" outlineLevel="0" max="7" min="7" style="0" width="11.65"/>
    <col collapsed="false" customWidth="true" hidden="false" outlineLevel="1" max="8" min="8" style="0" width="5.77"/>
    <col collapsed="false" customWidth="true" hidden="false" outlineLevel="1" max="33" min="9" style="0" width="14.07"/>
    <col collapsed="false" customWidth="true" hidden="false" outlineLevel="1" max="34" min="34" style="0" width="15.28"/>
    <col collapsed="false" customWidth="true" hidden="false" outlineLevel="0" max="35" min="35" style="0" width="15.28"/>
    <col collapsed="false" customWidth="true" hidden="false" outlineLevel="0" max="36" min="36" style="0" width="19.63"/>
    <col collapsed="false" customWidth="true" hidden="false" outlineLevel="0" max="1025" min="37" style="0" width="14.07"/>
  </cols>
  <sheetData>
    <row r="1" customFormat="false" ht="48"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2" t="s">
        <v>24</v>
      </c>
      <c r="Z1" s="1" t="s">
        <v>25</v>
      </c>
      <c r="AA1" s="1" t="s">
        <v>26</v>
      </c>
      <c r="AB1" s="1" t="s">
        <v>27</v>
      </c>
      <c r="AC1" s="1" t="s">
        <v>28</v>
      </c>
      <c r="AD1" s="1" t="s">
        <v>29</v>
      </c>
      <c r="AE1" s="1" t="s">
        <v>30</v>
      </c>
      <c r="AF1" s="1" t="s">
        <v>31</v>
      </c>
      <c r="AG1" s="1" t="s">
        <v>32</v>
      </c>
      <c r="AH1" s="1" t="s">
        <v>33</v>
      </c>
      <c r="AI1" s="3" t="s">
        <v>34</v>
      </c>
      <c r="AJ1" s="3" t="s">
        <v>35</v>
      </c>
      <c r="AK1" s="3" t="s">
        <v>7</v>
      </c>
      <c r="AL1" s="3" t="s">
        <v>19</v>
      </c>
      <c r="AM1" s="3" t="s">
        <v>25</v>
      </c>
      <c r="AN1" s="4" t="s">
        <v>36</v>
      </c>
    </row>
    <row r="2" customFormat="false" ht="19.5" hidden="false" customHeight="true" outlineLevel="0" collapsed="false">
      <c r="A2" s="5" t="str">
        <f aca="false">IFERROR(__xludf.dummyfunction("QUERY(ARRAYFORMULA(TO_TEXT('フォームの回答 1'!A2:AI1508)), ""Select *"")"),"2025/08/17 21:18:44")</f>
        <v>2025/08/17 21:18:44</v>
      </c>
      <c r="B2" s="6" t="str">
        <f aca="false">IFERROR(__xludf.dummyfunction("""COMPUTED_VALUE"""),"osumikana1126@gmail.com")</f>
        <v>osumikana1126@gmail.com</v>
      </c>
      <c r="C2" s="6" t="str">
        <f aca="false">IFERROR(__xludf.dummyfunction("""COMPUTED_VALUE"""),"1111")</f>
        <v>1111</v>
      </c>
      <c r="D2" s="6"/>
      <c r="E2" s="6" t="str">
        <f aca="false">IFERROR(__xludf.dummyfunction("""COMPUTED_VALUE"""),"1")</f>
        <v>1</v>
      </c>
      <c r="F2" s="6" t="str">
        <f aca="false">IFERROR(__xludf.dummyfunction("""COMPUTED_VALUE"""),"1")</f>
        <v>1</v>
      </c>
      <c r="G2" s="6" t="str">
        <f aca="false">IFERROR(__xludf.dummyfunction("""COMPUTED_VALUE"""),"2025/08/20")</f>
        <v>2025/08/20</v>
      </c>
      <c r="H2" s="6" t="str">
        <f aca="false">IFERROR(__xludf.dummyfunction("""COMPUTED_VALUE"""),"必要")</f>
        <v>必要</v>
      </c>
      <c r="I2" s="6" t="str">
        <f aca="false">IFERROR(__xludf.dummyfunction("""COMPUTED_VALUE"""),"女性")</f>
        <v>女性</v>
      </c>
      <c r="J2" s="6" t="str">
        <f aca="false">IFERROR(__xludf.dummyfunction("""COMPUTED_VALUE"""),"日本")</f>
        <v>日本</v>
      </c>
      <c r="K2" s="6" t="str">
        <f aca="false">IFERROR(__xludf.dummyfunction("""COMPUTED_VALUE"""),"1")</f>
        <v>1</v>
      </c>
      <c r="L2" s="6" t="str">
        <f aca="false">IFERROR(__xludf.dummyfunction("""COMPUTED_VALUE"""),"1")</f>
        <v>1</v>
      </c>
      <c r="M2" s="6" t="str">
        <f aca="false">IFERROR(__xludf.dummyfunction("""COMPUTED_VALUE"""),"1")</f>
        <v>1</v>
      </c>
      <c r="N2" s="6" t="str">
        <f aca="false">IFERROR(__xludf.dummyfunction("""COMPUTED_VALUE"""),"1")</f>
        <v>1</v>
      </c>
      <c r="O2" s="6" t="str">
        <f aca="false">IFERROR(__xludf.dummyfunction("""COMPUTED_VALUE"""),"必要")</f>
        <v>必要</v>
      </c>
      <c r="P2" s="6" t="str">
        <f aca="false">IFERROR(__xludf.dummyfunction("""COMPUTED_VALUE"""),"1")</f>
        <v>1</v>
      </c>
      <c r="Q2" s="6" t="str">
        <f aca="false">IFERROR(__xludf.dummyfunction("""COMPUTED_VALUE"""),"1")</f>
        <v>1</v>
      </c>
      <c r="R2" s="6" t="str">
        <f aca="false">IFERROR(__xludf.dummyfunction("""COMPUTED_VALUE"""),"1")</f>
        <v>1</v>
      </c>
      <c r="S2" s="6" t="str">
        <f aca="false">IFERROR(__xludf.dummyfunction("""COMPUTED_VALUE"""),"家具家電付き社宅")</f>
        <v>家具家電付き社宅</v>
      </c>
      <c r="T2" s="6" t="str">
        <f aca="false">IFERROR(__xludf.dummyfunction("""COMPUTED_VALUE"""),"利用する")</f>
        <v>利用する</v>
      </c>
      <c r="U2" s="6" t="str">
        <f aca="false">IFERROR(__xludf.dummyfunction("""COMPUTED_VALUE"""),"1")</f>
        <v>1</v>
      </c>
      <c r="V2" s="6" t="str">
        <f aca="false">IFERROR(__xludf.dummyfunction("""COMPUTED_VALUE"""),"徒歩")</f>
        <v>徒歩</v>
      </c>
      <c r="W2" s="6" t="str">
        <f aca="false">IFERROR(__xludf.dummyfunction("""COMPUTED_VALUE"""),"～30分以内")</f>
        <v>～30分以内</v>
      </c>
      <c r="X2" s="6" t="str">
        <f aca="false">IFERROR(__xludf.dummyfunction("""COMPUTED_VALUE"""),"株式会社ビーネックステクノロジーズの社宅")</f>
        <v>株式会社ビーネックステクノロジーズの社宅</v>
      </c>
      <c r="Y2" s="6" t="str">
        <f aca="false">IFERROR(__xludf.dummyfunction("""COMPUTED_VALUE"""),"1")</f>
        <v>1</v>
      </c>
      <c r="Z2" s="6" t="str">
        <f aca="false">IFERROR(__xludf.dummyfunction("""COMPUTED_VALUE"""),"希望する")</f>
        <v>希望する</v>
      </c>
      <c r="AA2" s="6" t="str">
        <f aca="false">IFERROR(__xludf.dummyfunction("""COMPUTED_VALUE"""),"家族")</f>
        <v>家族</v>
      </c>
      <c r="AB2" s="6" t="str">
        <f aca="false">IFERROR(__xludf.dummyfunction("""COMPUTED_VALUE"""),"1")</f>
        <v>1</v>
      </c>
      <c r="AC2" s="6" t="str">
        <f aca="false">IFERROR(__xludf.dummyfunction("""COMPUTED_VALUE"""),"1")</f>
        <v>1</v>
      </c>
      <c r="AD2" s="6" t="str">
        <f aca="false">IFERROR(__xludf.dummyfunction("""COMPUTED_VALUE"""),"1")</f>
        <v>1</v>
      </c>
      <c r="AE2" s="6" t="str">
        <f aca="false">IFERROR(__xludf.dummyfunction("""COMPUTED_VALUE"""),"確認しました。")</f>
        <v>確認しました。</v>
      </c>
      <c r="AF2" s="6" t="str">
        <f aca="false">IFERROR(__xludf.dummyfunction("""COMPUTED_VALUE"""),"確認しました。")</f>
        <v>確認しました。</v>
      </c>
      <c r="AG2" s="6" t="str">
        <f aca="false">IFERROR(__xludf.dummyfunction("""COMPUTED_VALUE"""),"確認しました")</f>
        <v>確認しました</v>
      </c>
      <c r="AH2" s="6"/>
      <c r="AI2" s="6"/>
      <c r="AJ2" s="7" t="str">
        <f aca="false" t="array" ref="AJ2:AJ1508">IFERROR(_xludf.ifs(H2:H1508="必要","【引越し業者手配】
必要
【現在お住まいの住所】
"&amp;F2:F1508&amp;"
【荷物量】
段ボール数："&amp;K2:K1508&amp;"
家電："&amp;L2:L1508&amp;"
家具："&amp;M2:M1508&amp;"
その他："&amp;N2:N1508,1,""),"")</f>
        <v/>
      </c>
      <c r="AK2" s="7" t="str">
        <f aca="false" t="array" ref="AK2:AK1508">IFERROR(_xludf.ifs(H2:H1508="","",1,H2:H1508),"")</f>
        <v/>
      </c>
      <c r="AL2" s="7" t="str">
        <f aca="false" t="array" ref="AL2:AL1508">IFERROR(_xludf.ifs(T2:T1508="","",1,T2:T1508),"")</f>
        <v/>
      </c>
      <c r="AM2" s="7" t="str">
        <f aca="false" t="array" ref="AM2:AM1508">IFERROR(_xludf.ifs(Z2:Z1508="","",1,Z2:Z1508),"")</f>
        <v/>
      </c>
      <c r="AN2" s="6" t="n">
        <f aca="false">FALSE()</f>
        <v>0</v>
      </c>
    </row>
    <row r="3" customFormat="false" ht="52.5" hidden="true" customHeight="true" outlineLevel="0" collapsed="false">
      <c r="A3" s="6" t="str">
        <f aca="false">IFERROR(__xludf.dummyfunction("""COMPUTED_VALUE"""),"2025/08/17 21:51:52")</f>
        <v>2025/08/17 21:51:52</v>
      </c>
      <c r="B3" s="6" t="str">
        <f aca="false">IFERROR(__xludf.dummyfunction("""COMPUTED_VALUE"""),"osumikana1126@gmail.com")</f>
        <v>osumikana1126@gmail.com</v>
      </c>
      <c r="C3" s="6" t="str">
        <f aca="false">IFERROR(__xludf.dummyfunction("""COMPUTED_VALUE"""),"1")</f>
        <v>1</v>
      </c>
      <c r="D3" s="6"/>
      <c r="E3" s="6" t="str">
        <f aca="false">IFERROR(__xludf.dummyfunction("""COMPUTED_VALUE"""),"1")</f>
        <v>1</v>
      </c>
      <c r="F3" s="6" t="str">
        <f aca="false">IFERROR(__xludf.dummyfunction("""COMPUTED_VALUE"""),"1")</f>
        <v>1</v>
      </c>
      <c r="G3" s="6" t="str">
        <f aca="false">IFERROR(__xludf.dummyfunction("""COMPUTED_VALUE"""),"2025/07/30")</f>
        <v>2025/07/30</v>
      </c>
      <c r="H3" s="6" t="str">
        <f aca="false">IFERROR(__xludf.dummyfunction("""COMPUTED_VALUE"""),"必要")</f>
        <v>必要</v>
      </c>
      <c r="I3" s="6" t="str">
        <f aca="false">IFERROR(__xludf.dummyfunction("""COMPUTED_VALUE"""),"男性")</f>
        <v>男性</v>
      </c>
      <c r="J3" s="6" t="str">
        <f aca="false">IFERROR(__xludf.dummyfunction("""COMPUTED_VALUE"""),"日本")</f>
        <v>日本</v>
      </c>
      <c r="K3" s="6" t="str">
        <f aca="false">IFERROR(__xludf.dummyfunction("""COMPUTED_VALUE"""),"1")</f>
        <v>1</v>
      </c>
      <c r="L3" s="6" t="str">
        <f aca="false">IFERROR(__xludf.dummyfunction("""COMPUTED_VALUE"""),"1")</f>
        <v>1</v>
      </c>
      <c r="M3" s="6" t="str">
        <f aca="false">IFERROR(__xludf.dummyfunction("""COMPUTED_VALUE"""),"1")</f>
        <v>1</v>
      </c>
      <c r="N3" s="6" t="str">
        <f aca="false">IFERROR(__xludf.dummyfunction("""COMPUTED_VALUE"""),"1")</f>
        <v>1</v>
      </c>
      <c r="O3" s="6" t="str">
        <f aca="false">IFERROR(__xludf.dummyfunction("""COMPUTED_VALUE"""),"必要")</f>
        <v>必要</v>
      </c>
      <c r="P3" s="6" t="str">
        <f aca="false">IFERROR(__xludf.dummyfunction("""COMPUTED_VALUE"""),"1")</f>
        <v>1</v>
      </c>
      <c r="Q3" s="6" t="str">
        <f aca="false">IFERROR(__xludf.dummyfunction("""COMPUTED_VALUE"""),"1")</f>
        <v>1</v>
      </c>
      <c r="R3" s="6" t="str">
        <f aca="false">IFERROR(__xludf.dummyfunction("""COMPUTED_VALUE"""),"1")</f>
        <v>1</v>
      </c>
      <c r="S3" s="6" t="str">
        <f aca="false">IFERROR(__xludf.dummyfunction("""COMPUTED_VALUE"""),"家具家電付き社宅")</f>
        <v>家具家電付き社宅</v>
      </c>
      <c r="T3" s="6" t="str">
        <f aca="false">IFERROR(__xludf.dummyfunction("""COMPUTED_VALUE"""),"利用する")</f>
        <v>利用する</v>
      </c>
      <c r="U3" s="6" t="str">
        <f aca="false">IFERROR(__xludf.dummyfunction("""COMPUTED_VALUE"""),"1")</f>
        <v>1</v>
      </c>
      <c r="V3" s="6" t="str">
        <f aca="false">IFERROR(__xludf.dummyfunction("""COMPUTED_VALUE"""),"徒歩")</f>
        <v>徒歩</v>
      </c>
      <c r="W3" s="6" t="str">
        <f aca="false">IFERROR(__xludf.dummyfunction("""COMPUTED_VALUE"""),"～30分以内")</f>
        <v>～30分以内</v>
      </c>
      <c r="X3" s="6" t="str">
        <f aca="false">IFERROR(__xludf.dummyfunction("""COMPUTED_VALUE"""),"株式会社ビーネックステクノロジーズの社宅")</f>
        <v>株式会社ビーネックステクノロジーズの社宅</v>
      </c>
      <c r="Y3" s="6" t="str">
        <f aca="false">IFERROR(__xludf.dummyfunction("""COMPUTED_VALUE"""),"1")</f>
        <v>1</v>
      </c>
      <c r="Z3" s="6" t="str">
        <f aca="false">IFERROR(__xludf.dummyfunction("""COMPUTED_VALUE"""),"希望する")</f>
        <v>希望する</v>
      </c>
      <c r="AA3" s="6" t="str">
        <f aca="false">IFERROR(__xludf.dummyfunction("""COMPUTED_VALUE"""),"単身")</f>
        <v>単身</v>
      </c>
      <c r="AB3" s="6"/>
      <c r="AC3" s="6" t="str">
        <f aca="false">IFERROR(__xludf.dummyfunction("""COMPUTED_VALUE"""),"1")</f>
        <v>1</v>
      </c>
      <c r="AD3" s="6"/>
      <c r="AE3" s="6" t="str">
        <f aca="false">IFERROR(__xludf.dummyfunction("""COMPUTED_VALUE"""),"【進捗ID】
1
【氏名】
大角可奈
【携帯番号】
1
【現在お住まいの住所】
1
【入居希望日】
Wed Jul 30 2025 00:00:00 GMT+0900 (Japan Standard Time)
【引越し業者手配】
必要
【性別】
男性
【国籍】
日本
【荷物量】
段ボール数: 1
家電: 1
家具: 1
その他: 1
【駐車場手配】
必要
【車両情報】
車種: 1
ナンバープレート: 1
色: 1
【社宅希望タイプ】
家具家電付き社宅
【レンタル家具】
希望の有無"&amp;": 利用する
レンタル希望品目: 1
【通勤方法】
徒歩
【通勤希望時間】
～30分以内
【現在のお住まいの物件】
株式会社ビーネックステクノロジーズの社宅
【レンタル家具利用状況】
1
【ライフライン】
希望する
【入居形態】
単身
【同居者情報】
【緊急連絡先】
1
【ご要望】
")</f>
        <v>【進捗ID】
1
【氏名】
大角可奈
【携帯番号】
1
【現在お住まいの住所】
1
【入居希望日】
Wed Jul 30 2025 00:00:00 GMT+0900 (Japan Standard Time)
【引越し業者手配】
必要
【性別】
男性
【国籍】
日本
【荷物量】
段ボール数: 1
家電: 1
家具: 1
その他: 1
【駐車場手配】
必要
【車両情報】
車種: 1
ナンバープレート: 1
色: 1
【社宅希望タイプ】
家具家電付き社宅
【レンタル家具】
希望の有無: 利用する
レンタル希望品目: 1
【通勤方法】
徒歩
【通勤希望時間】
～30分以内
【現在のお住まいの物件】
株式会社ビーネックステクノロジーズの社宅
【レンタル家具利用状況】
1
【ライフライン】
希望する
【入居形態】
単身
【同居者情報】
【緊急連絡先】
1
【ご要望】
</v>
      </c>
      <c r="AF3" s="6" t="str">
        <f aca="false">IFERROR(__xludf.dummyfunction("""COMPUTED_VALUE"""),"確認しました。")</f>
        <v>確認しました。</v>
      </c>
      <c r="AG3" s="6" t="str">
        <f aca="false">IFERROR(__xludf.dummyfunction("""COMPUTED_VALUE"""),"確認しました")</f>
        <v>確認しました</v>
      </c>
      <c r="AH3" s="6"/>
      <c r="AI3" s="6"/>
      <c r="AJ3" s="6" t="str">
        <v/>
      </c>
      <c r="AK3" s="6" t="str">
        <v/>
      </c>
      <c r="AL3" s="6" t="str">
        <v/>
      </c>
      <c r="AM3" s="6" t="str">
        <v/>
      </c>
      <c r="AN3" s="6" t="n">
        <f aca="false">FALSE()</f>
        <v>0</v>
      </c>
    </row>
    <row r="4" customFormat="false" ht="52.5" hidden="true" customHeight="true" outlineLevel="0" collapsed="false">
      <c r="A4" s="6" t="str">
        <f aca="false">IFERROR(__xludf.dummyfunction("""COMPUTED_VALUE"""),"2025/08/17 22:02:50")</f>
        <v>2025/08/17 22:02:50</v>
      </c>
      <c r="B4" s="6" t="str">
        <f aca="false">IFERROR(__xludf.dummyfunction("""COMPUTED_VALUE"""),"osumikana1126@gmail.com")</f>
        <v>osumikana1126@gmail.com</v>
      </c>
      <c r="C4" s="6" t="str">
        <f aca="false">IFERROR(__xludf.dummyfunction("""COMPUTED_VALUE"""),"1")</f>
        <v>1</v>
      </c>
      <c r="D4" s="6"/>
      <c r="E4" s="6" t="str">
        <f aca="false">IFERROR(__xludf.dummyfunction("""COMPUTED_VALUE"""),"1")</f>
        <v>1</v>
      </c>
      <c r="F4" s="6" t="str">
        <f aca="false">IFERROR(__xludf.dummyfunction("""COMPUTED_VALUE"""),"1")</f>
        <v>1</v>
      </c>
      <c r="G4" s="6" t="str">
        <f aca="false">IFERROR(__xludf.dummyfunction("""COMPUTED_VALUE"""),"2025/08/29")</f>
        <v>2025/08/29</v>
      </c>
      <c r="H4" s="6" t="str">
        <f aca="false">IFERROR(__xludf.dummyfunction("""COMPUTED_VALUE"""),"必要")</f>
        <v>必要</v>
      </c>
      <c r="I4" s="6" t="str">
        <f aca="false">IFERROR(__xludf.dummyfunction("""COMPUTED_VALUE"""),"男性")</f>
        <v>男性</v>
      </c>
      <c r="J4" s="6" t="str">
        <f aca="false">IFERROR(__xludf.dummyfunction("""COMPUTED_VALUE"""),"日本")</f>
        <v>日本</v>
      </c>
      <c r="K4" s="6" t="str">
        <f aca="false">IFERROR(__xludf.dummyfunction("""COMPUTED_VALUE"""),"1")</f>
        <v>1</v>
      </c>
      <c r="L4" s="6" t="str">
        <f aca="false">IFERROR(__xludf.dummyfunction("""COMPUTED_VALUE"""),"1")</f>
        <v>1</v>
      </c>
      <c r="M4" s="6" t="str">
        <f aca="false">IFERROR(__xludf.dummyfunction("""COMPUTED_VALUE"""),"1")</f>
        <v>1</v>
      </c>
      <c r="N4" s="6" t="str">
        <f aca="false">IFERROR(__xludf.dummyfunction("""COMPUTED_VALUE"""),"1")</f>
        <v>1</v>
      </c>
      <c r="O4" s="6" t="str">
        <f aca="false">IFERROR(__xludf.dummyfunction("""COMPUTED_VALUE"""),"必要")</f>
        <v>必要</v>
      </c>
      <c r="P4" s="6" t="str">
        <f aca="false">IFERROR(__xludf.dummyfunction("""COMPUTED_VALUE"""),"1")</f>
        <v>1</v>
      </c>
      <c r="Q4" s="6" t="str">
        <f aca="false">IFERROR(__xludf.dummyfunction("""COMPUTED_VALUE"""),"1")</f>
        <v>1</v>
      </c>
      <c r="R4" s="6" t="str">
        <f aca="false">IFERROR(__xludf.dummyfunction("""COMPUTED_VALUE"""),"1")</f>
        <v>1</v>
      </c>
      <c r="S4" s="6" t="str">
        <f aca="false">IFERROR(__xludf.dummyfunction("""COMPUTED_VALUE"""),"家具家電付き社宅")</f>
        <v>家具家電付き社宅</v>
      </c>
      <c r="T4" s="6" t="str">
        <f aca="false">IFERROR(__xludf.dummyfunction("""COMPUTED_VALUE"""),"利用する")</f>
        <v>利用する</v>
      </c>
      <c r="U4" s="6" t="str">
        <f aca="false">IFERROR(__xludf.dummyfunction("""COMPUTED_VALUE"""),"1")</f>
        <v>1</v>
      </c>
      <c r="V4" s="6" t="str">
        <f aca="false">IFERROR(__xludf.dummyfunction("""COMPUTED_VALUE"""),"徒歩")</f>
        <v>徒歩</v>
      </c>
      <c r="W4" s="6" t="str">
        <f aca="false">IFERROR(__xludf.dummyfunction("""COMPUTED_VALUE"""),"～30分以内")</f>
        <v>～30分以内</v>
      </c>
      <c r="X4" s="6" t="str">
        <f aca="false">IFERROR(__xludf.dummyfunction("""COMPUTED_VALUE"""),"株式会社ビーネックステクノロジーズの社宅")</f>
        <v>株式会社ビーネックステクノロジーズの社宅</v>
      </c>
      <c r="Y4" s="6" t="str">
        <f aca="false">IFERROR(__xludf.dummyfunction("""COMPUTED_VALUE"""),"1")</f>
        <v>1</v>
      </c>
      <c r="Z4" s="6" t="str">
        <f aca="false">IFERROR(__xludf.dummyfunction("""COMPUTED_VALUE"""),"希望する")</f>
        <v>希望する</v>
      </c>
      <c r="AA4" s="6" t="str">
        <f aca="false">IFERROR(__xludf.dummyfunction("""COMPUTED_VALUE"""),"家族")</f>
        <v>家族</v>
      </c>
      <c r="AB4" s="6" t="str">
        <f aca="false">IFERROR(__xludf.dummyfunction("""COMPUTED_VALUE"""),"1")</f>
        <v>1</v>
      </c>
      <c r="AC4" s="6" t="str">
        <f aca="false">IFERROR(__xludf.dummyfunction("""COMPUTED_VALUE"""),"1")</f>
        <v>1</v>
      </c>
      <c r="AD4" s="6" t="str">
        <f aca="false">IFERROR(__xludf.dummyfunction("""COMPUTED_VALUE"""),"1")</f>
        <v>1</v>
      </c>
      <c r="AE4" s="6" t="str">
        <f aca="false">IFERROR(__xludf.dummyfunction("""COMPUTED_VALUE"""),"確認しました。")</f>
        <v>確認しました。</v>
      </c>
      <c r="AF4" s="6" t="str">
        <f aca="false">IFERROR(__xludf.dummyfunction("""COMPUTED_VALUE"""),"確認しました。")</f>
        <v>確認しました。</v>
      </c>
      <c r="AG4" s="6" t="str">
        <f aca="false">IFERROR(__xludf.dummyfunction("""COMPUTED_VALUE"""),"確認しました")</f>
        <v>確認しました</v>
      </c>
      <c r="AH4" s="6"/>
      <c r="AI4" s="6" t="str">
        <f aca="false">IFERROR(__xludf.dummyfunction("""COMPUTED_VALUE"""),"【進捗ID】
1
【氏名】
1
【携帯番号】
1
【現在お住まいの住所】
1
【入居希望日】
2025年08月29日(Fri)
【引越し業者手配】
必要
【性別】
男性
【国籍】
日本
【荷物量】
段ボール数: 1
家電: 1
家具: 1
その他: 1
【駐車場手配】
必要
【車両情報】
車種: 1
ナンバープレート: 1
色: 1
【社宅希望タイプ】
家具家電付き社宅
【レンタル家具】
希望の有無: 利用する
レンタル希望品目: 1
【通勤方法】
徒歩
【通勤希望時間】
～3"&amp;"0分以内
【現在のお住まいの物件】
株式会社ビーネックステクノロジーズの社宅
【レンタル家具利用状況】
1
【ライフライン】
希望する
【入居形態】
家族
【同居者情報】
1
【緊急連絡先】
1
【ご要望】
1")</f>
        <v>【進捗ID】
1
【氏名】
1
【携帯番号】
1
【現在お住まいの住所】
1
【入居希望日】
2025年08月29日(Fri)
【引越し業者手配】
必要
【性別】
男性
【国籍】
日本
【荷物量】
段ボール数: 1
家電: 1
家具: 1
その他: 1
【駐車場手配】
必要
【車両情報】
車種: 1
ナンバープレート: 1
色: 1
【社宅希望タイプ】
家具家電付き社宅
【レンタル家具】
希望の有無: 利用する
レンタル希望品目: 1
【通勤方法】
徒歩
【通勤希望時間】
～30分以内
【現在のお住まいの物件】
株式会社ビーネックステクノロジーズの社宅
【レンタル家具利用状況】
1
【ライフライン】
希望する
【入居形態】
家族
【同居者情報】
1
【緊急連絡先】
1
【ご要望】
1</v>
      </c>
      <c r="AJ4" s="6" t="str">
        <v/>
      </c>
      <c r="AK4" s="6" t="str">
        <v/>
      </c>
      <c r="AL4" s="6" t="str">
        <v/>
      </c>
      <c r="AM4" s="6" t="str">
        <v/>
      </c>
      <c r="AN4" s="6" t="n">
        <f aca="false">FALSE()</f>
        <v>0</v>
      </c>
    </row>
    <row r="5" customFormat="false" ht="52.5" hidden="true" customHeight="true" outlineLevel="0" collapsed="false">
      <c r="A5" s="6" t="str">
        <f aca="false">IFERROR(__xludf.dummyfunction("""COMPUTED_VALUE"""),"2025/08/17 22:11:37")</f>
        <v>2025/08/17 22:11:37</v>
      </c>
      <c r="B5" s="6" t="str">
        <f aca="false">IFERROR(__xludf.dummyfunction("""COMPUTED_VALUE"""),"osumikana1126@gmail.com")</f>
        <v>osumikana1126@gmail.com</v>
      </c>
      <c r="C5" s="6" t="str">
        <f aca="false">IFERROR(__xludf.dummyfunction("""COMPUTED_VALUE"""),"q")</f>
        <v>q</v>
      </c>
      <c r="D5" s="6"/>
      <c r="E5" s="6" t="str">
        <f aca="false">IFERROR(__xludf.dummyfunction("""COMPUTED_VALUE"""),"1")</f>
        <v>1</v>
      </c>
      <c r="F5" s="6" t="str">
        <f aca="false">IFERROR(__xludf.dummyfunction("""COMPUTED_VALUE"""),"1")</f>
        <v>1</v>
      </c>
      <c r="G5" s="6" t="str">
        <f aca="false">IFERROR(__xludf.dummyfunction("""COMPUTED_VALUE"""),"2025/08/13")</f>
        <v>2025/08/13</v>
      </c>
      <c r="H5" s="6" t="str">
        <f aca="false">IFERROR(__xludf.dummyfunction("""COMPUTED_VALUE"""),"不要")</f>
        <v>不要</v>
      </c>
      <c r="I5" s="6" t="str">
        <f aca="false">IFERROR(__xludf.dummyfunction("""COMPUTED_VALUE"""),"男性")</f>
        <v>男性</v>
      </c>
      <c r="J5" s="6" t="str">
        <f aca="false">IFERROR(__xludf.dummyfunction("""COMPUTED_VALUE"""),"日本")</f>
        <v>日本</v>
      </c>
      <c r="K5" s="6"/>
      <c r="L5" s="6"/>
      <c r="M5" s="6"/>
      <c r="N5" s="6"/>
      <c r="O5" s="6" t="str">
        <f aca="false">IFERROR(__xludf.dummyfunction("""COMPUTED_VALUE"""),"不要")</f>
        <v>不要</v>
      </c>
      <c r="P5" s="6"/>
      <c r="Q5" s="6"/>
      <c r="R5" s="6"/>
      <c r="S5" s="6" t="str">
        <f aca="false">IFERROR(__xludf.dummyfunction("""COMPUTED_VALUE"""),"家具家電付き社宅")</f>
        <v>家具家電付き社宅</v>
      </c>
      <c r="T5" s="6" t="str">
        <f aca="false">IFERROR(__xludf.dummyfunction("""COMPUTED_VALUE"""),"利用しない")</f>
        <v>利用しない</v>
      </c>
      <c r="U5" s="6"/>
      <c r="V5" s="6" t="str">
        <f aca="false">IFERROR(__xludf.dummyfunction("""COMPUTED_VALUE"""),"徒歩")</f>
        <v>徒歩</v>
      </c>
      <c r="W5" s="6" t="str">
        <f aca="false">IFERROR(__xludf.dummyfunction("""COMPUTED_VALUE"""),"～30分以内")</f>
        <v>～30分以内</v>
      </c>
      <c r="X5" s="6" t="str">
        <f aca="false">IFERROR(__xludf.dummyfunction("""COMPUTED_VALUE"""),"実家")</f>
        <v>実家</v>
      </c>
      <c r="Y5" s="6"/>
      <c r="Z5" s="6" t="str">
        <f aca="false">IFERROR(__xludf.dummyfunction("""COMPUTED_VALUE"""),"希望する")</f>
        <v>希望する</v>
      </c>
      <c r="AA5" s="6" t="str">
        <f aca="false">IFERROR(__xludf.dummyfunction("""COMPUTED_VALUE"""),"単身")</f>
        <v>単身</v>
      </c>
      <c r="AB5" s="6"/>
      <c r="AC5" s="6" t="str">
        <f aca="false">IFERROR(__xludf.dummyfunction("""COMPUTED_VALUE"""),"1")</f>
        <v>1</v>
      </c>
      <c r="AD5" s="6" t="str">
        <f aca="false">IFERROR(__xludf.dummyfunction("""COMPUTED_VALUE"""),"1")</f>
        <v>1</v>
      </c>
      <c r="AE5" s="6" t="str">
        <f aca="false">IFERROR(__xludf.dummyfunction("""COMPUTED_VALUE"""),"確認しました。")</f>
        <v>確認しました。</v>
      </c>
      <c r="AF5" s="6" t="str">
        <f aca="false">IFERROR(__xludf.dummyfunction("""COMPUTED_VALUE"""),"確認しました。")</f>
        <v>確認しました。</v>
      </c>
      <c r="AG5" s="6" t="str">
        <f aca="false">IFERROR(__xludf.dummyfunction("""COMPUTED_VALUE"""),"確認しました")</f>
        <v>確認しました</v>
      </c>
      <c r="AH5" s="6"/>
      <c r="AI5" s="6" t="str">
        <f aca="false">IFERROR(__xludf.dummyfunction("""COMPUTED_VALUE"""),"【進捗ID】
q
【氏名】
1
【携帯番号】
1
【現在お住まいの住所】
1
【入居希望日】
2025年08月13日
【引越し業者手配】
不要
【性別】
男性
【国籍】
日本
【荷物量】
段ボール数: 
家電: 
家具: 
その他: 
【駐車場手配】
不要
【車両情報】
車種: 
ナンバープレート: 
色: 
【社宅希望タイプ】
家具家電付き社宅
【レンタル家具】
希望の有無: 利用しない
レンタル希望品目: 
【通勤方法】
徒歩
【通勤希望時間】
～30分以内
【現在のお住"&amp;"まいの物件】
実家
【レンタル家具利用状況】
【ライフライン】
希望する
【入居形態】
単身
【同居者情報】
【緊急連絡先】
1
【ご要望】
1")</f>
        <v>【進捗ID】
q
【氏名】
1
【携帯番号】
1
【現在お住まいの住所】
1
【入居希望日】
2025年08月13日
【引越し業者手配】
不要
【性別】
男性
【国籍】
日本
【荷物量】
段ボール数: 
家電: 
家具: 
その他: 
【駐車場手配】
不要
【車両情報】
車種: 
ナンバープレート: 
色: 
【社宅希望タイプ】
家具家電付き社宅
【レンタル家具】
希望の有無: 利用しない
レンタル希望品目: 
【通勤方法】
徒歩
【通勤希望時間】
～30分以内
【現在のお住まいの物件】
実家
【レンタル家具利用状況】
【ライフライン】
希望する
【入居形態】
単身
【同居者情報】
【緊急連絡先】
1
【ご要望】
1</v>
      </c>
      <c r="AJ5" s="6" t="str">
        <v/>
      </c>
      <c r="AK5" s="6" t="str">
        <v/>
      </c>
      <c r="AL5" s="6" t="str">
        <v/>
      </c>
      <c r="AM5" s="8" t="str">
        <v/>
      </c>
      <c r="AN5" s="6" t="n">
        <f aca="false">FALSE()</f>
        <v>0</v>
      </c>
    </row>
    <row r="6" customFormat="false" ht="52.5" hidden="true" customHeight="true" outlineLevel="0" collapsed="false">
      <c r="A6" s="6" t="str">
        <f aca="false">IFERROR(__xludf.dummyfunction("""COMPUTED_VALUE"""),"2025/08/19 16:10:40")</f>
        <v>2025/08/19 16:10:40</v>
      </c>
      <c r="B6" s="6" t="str">
        <f aca="false">IFERROR(__xludf.dummyfunction("""COMPUTED_VALUE"""),"kana.osumi@shataku.com")</f>
        <v>kana.osumi@shataku.com</v>
      </c>
      <c r="C6" s="6" t="str">
        <f aca="false">IFERROR(__xludf.dummyfunction("""COMPUTED_VALUE"""),"11111")</f>
        <v>11111</v>
      </c>
      <c r="D6" s="6"/>
      <c r="E6" s="6" t="str">
        <f aca="false">IFERROR(__xludf.dummyfunction("""COMPUTED_VALUE"""),"1")</f>
        <v>1</v>
      </c>
      <c r="F6" s="6" t="str">
        <f aca="false">IFERROR(__xludf.dummyfunction("""COMPUTED_VALUE"""),"1")</f>
        <v>1</v>
      </c>
      <c r="G6" s="6" t="str">
        <f aca="false">IFERROR(__xludf.dummyfunction("""COMPUTED_VALUE"""),"2025/08/26")</f>
        <v>2025/08/26</v>
      </c>
      <c r="H6" s="6" t="str">
        <f aca="false">IFERROR(__xludf.dummyfunction("""COMPUTED_VALUE"""),"不要")</f>
        <v>不要</v>
      </c>
      <c r="I6" s="6" t="str">
        <f aca="false">IFERROR(__xludf.dummyfunction("""COMPUTED_VALUE"""),"女性")</f>
        <v>女性</v>
      </c>
      <c r="J6" s="6" t="str">
        <f aca="false">IFERROR(__xludf.dummyfunction("""COMPUTED_VALUE"""),"日本")</f>
        <v>日本</v>
      </c>
      <c r="K6" s="6"/>
      <c r="L6" s="6"/>
      <c r="M6" s="6"/>
      <c r="N6" s="6"/>
      <c r="O6" s="6" t="str">
        <f aca="false">IFERROR(__xludf.dummyfunction("""COMPUTED_VALUE"""),"必要")</f>
        <v>必要</v>
      </c>
      <c r="P6" s="6" t="str">
        <f aca="false">IFERROR(__xludf.dummyfunction("""COMPUTED_VALUE"""),"1")</f>
        <v>1</v>
      </c>
      <c r="Q6" s="6" t="str">
        <f aca="false">IFERROR(__xludf.dummyfunction("""COMPUTED_VALUE"""),"1")</f>
        <v>1</v>
      </c>
      <c r="R6" s="6" t="str">
        <f aca="false">IFERROR(__xludf.dummyfunction("""COMPUTED_VALUE"""),"1")</f>
        <v>1</v>
      </c>
      <c r="S6" s="6" t="str">
        <f aca="false">IFERROR(__xludf.dummyfunction("""COMPUTED_VALUE"""),"家具家電付き社宅")</f>
        <v>家具家電付き社宅</v>
      </c>
      <c r="T6" s="6" t="str">
        <f aca="false">IFERROR(__xludf.dummyfunction("""COMPUTED_VALUE"""),"利用する")</f>
        <v>利用する</v>
      </c>
      <c r="U6" s="6" t="str">
        <f aca="false">IFERROR(__xludf.dummyfunction("""COMPUTED_VALUE"""),"1")</f>
        <v>1</v>
      </c>
      <c r="V6" s="6" t="str">
        <f aca="false">IFERROR(__xludf.dummyfunction("""COMPUTED_VALUE"""),"徒歩")</f>
        <v>徒歩</v>
      </c>
      <c r="W6" s="6" t="str">
        <f aca="false">IFERROR(__xludf.dummyfunction("""COMPUTED_VALUE"""),"～30分以内")</f>
        <v>～30分以内</v>
      </c>
      <c r="X6" s="6" t="str">
        <f aca="false">IFERROR(__xludf.dummyfunction("""COMPUTED_VALUE"""),"実家")</f>
        <v>実家</v>
      </c>
      <c r="Y6" s="6"/>
      <c r="Z6" s="6" t="str">
        <f aca="false">IFERROR(__xludf.dummyfunction("""COMPUTED_VALUE"""),"希望する")</f>
        <v>希望する</v>
      </c>
      <c r="AA6" s="6" t="str">
        <f aca="false">IFERROR(__xludf.dummyfunction("""COMPUTED_VALUE"""),"単身")</f>
        <v>単身</v>
      </c>
      <c r="AB6" s="6"/>
      <c r="AC6" s="6" t="str">
        <f aca="false">IFERROR(__xludf.dummyfunction("""COMPUTED_VALUE"""),"1")</f>
        <v>1</v>
      </c>
      <c r="AD6" s="6" t="str">
        <f aca="false">IFERROR(__xludf.dummyfunction("""COMPUTED_VALUE"""),"1")</f>
        <v>1</v>
      </c>
      <c r="AE6" s="6" t="str">
        <f aca="false">IFERROR(__xludf.dummyfunction("""COMPUTED_VALUE"""),"確認しました。")</f>
        <v>確認しました。</v>
      </c>
      <c r="AF6" s="6" t="str">
        <f aca="false">IFERROR(__xludf.dummyfunction("""COMPUTED_VALUE"""),"確認しました。")</f>
        <v>確認しました。</v>
      </c>
      <c r="AG6" s="6" t="str">
        <f aca="false">IFERROR(__xludf.dummyfunction("""COMPUTED_VALUE"""),"確認しました")</f>
        <v>確認しました</v>
      </c>
      <c r="AH6" s="6"/>
      <c r="AI6" s="6" t="str">
        <f aca="false">IFERROR(__xludf.dummyfunction("""COMPUTED_VALUE"""),"【進捗ID】
11111
【氏名】
大角可奈
【携帯番号】
1
【現在お住まいの住所】
1
【入居希望日】
2025年08月26日
【引越し業者手配】
不要
【性別】
女性
【国籍】
日本
【荷物量】
段ボール数: 
家電: 
家具: 
その他: 
【駐車場手配】
必要
【車両情報】
車種: 1
ナンバープレート: 1
色: 1
【社宅希望タイプ】
家具家電付き社宅
【レンタル家具】
希望の有無: 利用する
レンタル希望品目: 1
【通勤方法】
徒歩
【通勤希望時間】
～30分"&amp;"以内
【現在のお住まいの物件】
実家
【レンタル家具利用状況】
【ライフライン】
希望する
【入居形態】
単身
【同居者情報】
【緊急連絡先】
1
【ご要望】
1")</f>
        <v>【進捗ID】
11111
【氏名】
大角可奈
【携帯番号】
1
【現在お住まいの住所】
1
【入居希望日】
2025年08月26日
【引越し業者手配】
不要
【性別】
女性
【国籍】
日本
【荷物量】
段ボール数: 
家電: 
家具: 
その他: 
【駐車場手配】
必要
【車両情報】
車種: 1
ナンバープレート: 1
色: 1
【社宅希望タイプ】
家具家電付き社宅
【レンタル家具】
希望の有無: 利用する
レンタル希望品目: 1
【通勤方法】
徒歩
【通勤希望時間】
～30分以内
【現在のお住まいの物件】
実家
【レンタル家具利用状況】
【ライフライン】
希望する
【入居形態】
単身
【同居者情報】
【緊急連絡先】
1
【ご要望】
1</v>
      </c>
      <c r="AJ6" s="6" t="str">
        <v/>
      </c>
      <c r="AK6" s="6" t="str">
        <v/>
      </c>
      <c r="AL6" s="6" t="str">
        <v/>
      </c>
      <c r="AM6" s="6" t="str">
        <v/>
      </c>
      <c r="AN6" s="6" t="n">
        <f aca="false">FALSE()</f>
        <v>0</v>
      </c>
    </row>
    <row r="7" customFormat="false" ht="52.5" hidden="true" customHeight="true" outlineLevel="0" collapsed="false">
      <c r="A7" s="6" t="str">
        <f aca="false">IFERROR(__xludf.dummyfunction("""COMPUTED_VALUE"""),"2025/08/19 16:35:00")</f>
        <v>2025/08/19 16:35:00</v>
      </c>
      <c r="B7" s="6" t="str">
        <f aca="false">IFERROR(__xludf.dummyfunction("""COMPUTED_VALUE"""),"maeda@shataku.com")</f>
        <v>maeda@shataku.com</v>
      </c>
      <c r="C7" s="6" t="str">
        <f aca="false">IFERROR(__xludf.dummyfunction("""COMPUTED_VALUE"""),"11111")</f>
        <v>11111</v>
      </c>
      <c r="D7" s="6"/>
      <c r="E7" s="6" t="str">
        <f aca="false">IFERROR(__xludf.dummyfunction("""COMPUTED_VALUE"""),"000-0000-0000")</f>
        <v>000-0000-0000</v>
      </c>
      <c r="F7" s="6" t="str">
        <f aca="false">IFERROR(__xludf.dummyfunction("""COMPUTED_VALUE"""),"105-0003")</f>
        <v>105-0003</v>
      </c>
      <c r="G7" s="6" t="str">
        <f aca="false">IFERROR(__xludf.dummyfunction("""COMPUTED_VALUE"""),"2025/08/23")</f>
        <v>2025/08/23</v>
      </c>
      <c r="H7" s="6" t="str">
        <f aca="false">IFERROR(__xludf.dummyfunction("""COMPUTED_VALUE"""),"必要")</f>
        <v>必要</v>
      </c>
      <c r="I7" s="6" t="str">
        <f aca="false">IFERROR(__xludf.dummyfunction("""COMPUTED_VALUE"""),"男性")</f>
        <v>男性</v>
      </c>
      <c r="J7" s="6" t="str">
        <f aca="false">IFERROR(__xludf.dummyfunction("""COMPUTED_VALUE"""),"日本")</f>
        <v>日本</v>
      </c>
      <c r="K7" s="6" t="str">
        <f aca="false">IFERROR(__xludf.dummyfunction("""COMPUTED_VALUE"""),"5")</f>
        <v>5</v>
      </c>
      <c r="L7" s="6" t="str">
        <f aca="false">IFERROR(__xludf.dummyfunction("""COMPUTED_VALUE"""),"冷蔵庫、洗濯機、電子レンジ、棚")</f>
        <v>冷蔵庫、洗濯機、電子レンジ、棚</v>
      </c>
      <c r="M7" s="6" t="str">
        <f aca="false">IFERROR(__xludf.dummyfunction("""COMPUTED_VALUE"""),"ソファ、ベッド")</f>
        <v>ソファ、ベッド</v>
      </c>
      <c r="N7" s="6" t="str">
        <f aca="false">IFERROR(__xludf.dummyfunction("""COMPUTED_VALUE"""),"自転車")</f>
        <v>自転車</v>
      </c>
      <c r="O7" s="6" t="str">
        <f aca="false">IFERROR(__xludf.dummyfunction("""COMPUTED_VALUE"""),"必要")</f>
        <v>必要</v>
      </c>
      <c r="P7" s="6" t="str">
        <f aca="false">IFERROR(__xludf.dummyfunction("""COMPUTED_VALUE"""),"ベントレー　コンチネンタル")</f>
        <v>ベントレー　コンチネンタル</v>
      </c>
      <c r="Q7" s="6" t="str">
        <f aca="false">IFERROR(__xludf.dummyfunction("""COMPUTED_VALUE"""),"8888")</f>
        <v>8888</v>
      </c>
      <c r="R7" s="6" t="str">
        <f aca="false">IFERROR(__xludf.dummyfunction("""COMPUTED_VALUE"""),"白")</f>
        <v>白</v>
      </c>
      <c r="S7" s="6" t="str">
        <f aca="false">IFERROR(__xludf.dummyfunction("""COMPUTED_VALUE"""),"家具家電なし社宅")</f>
        <v>家具家電なし社宅</v>
      </c>
      <c r="T7" s="6" t="str">
        <f aca="false">IFERROR(__xludf.dummyfunction("""COMPUTED_VALUE"""),"利用する")</f>
        <v>利用する</v>
      </c>
      <c r="U7" s="6" t="str">
        <f aca="false">IFERROR(__xludf.dummyfunction("""COMPUTED_VALUE"""),"湯沸かしポット")</f>
        <v>湯沸かしポット</v>
      </c>
      <c r="V7" s="6" t="str">
        <f aca="false">IFERROR(__xludf.dummyfunction("""COMPUTED_VALUE"""),"徒歩, 自動車")</f>
        <v>徒歩, 自動車</v>
      </c>
      <c r="W7" s="6" t="str">
        <f aca="false">IFERROR(__xludf.dummyfunction("""COMPUTED_VALUE"""),"～45分以内")</f>
        <v>～45分以内</v>
      </c>
      <c r="X7" s="6" t="str">
        <f aca="false">IFERROR(__xludf.dummyfunction("""COMPUTED_VALUE"""),"ご自身で契約中の物件")</f>
        <v>ご自身で契約中の物件</v>
      </c>
      <c r="Y7" s="6"/>
      <c r="Z7" s="6" t="str">
        <f aca="false">IFERROR(__xludf.dummyfunction("""COMPUTED_VALUE"""),"希望する")</f>
        <v>希望する</v>
      </c>
      <c r="AA7" s="6" t="str">
        <f aca="false">IFERROR(__xludf.dummyfunction("""COMPUTED_VALUE"""),"単身")</f>
        <v>単身</v>
      </c>
      <c r="AB7" s="6"/>
      <c r="AC7" s="6" t="str">
        <f aca="false">IFERROR(__xludf.dummyfunction("""COMPUTED_VALUE"""),"住所：東京都港区西新橋
氏名：前田利家
フリガナ：マエダ トシイエ
生年月日：1987.12.2
電話番号：000-0000-0000
続柄：父")</f>
        <v>住所：東京都港区西新橋
氏名：前田利家
フリガナ：マエダ トシイエ
生年月日：1987.12.2
電話番号：000-0000-0000
続柄：父</v>
      </c>
      <c r="AD7" s="6"/>
      <c r="AE7" s="6" t="str">
        <f aca="false">IFERROR(__xludf.dummyfunction("""COMPUTED_VALUE"""),"確認しました。")</f>
        <v>確認しました。</v>
      </c>
      <c r="AF7" s="6" t="str">
        <f aca="false">IFERROR(__xludf.dummyfunction("""COMPUTED_VALUE"""),"確認しました。")</f>
        <v>確認しました。</v>
      </c>
      <c r="AG7" s="6" t="str">
        <f aca="false">IFERROR(__xludf.dummyfunction("""COMPUTED_VALUE"""),"確認しました")</f>
        <v>確認しました</v>
      </c>
      <c r="AH7" s="6"/>
      <c r="AI7" s="6" t="str">
        <f aca="false">IFERROR(__xludf.dummyfunction("""COMPUTED_VALUE"""),"【進捗ID】
11111
【氏名】
前田 裕介
【携帯番号】
000-0000-0000
【現在お住まいの住所】
105-0003
【入居希望日】
2025年08月23日
【引越し業者手配】
必要
【性別】
男性
【国籍】
日本
【荷物量】
段ボール数: 5
家電: 冷蔵庫、洗濯機、電子レンジ、棚
家具: ソファ、ベッド
その他: 自転車
【駐車場手配】
必要
【車両情報】
車種: ベントレー　コンチネンタル
ナンバープレート: 8888
色: 白
【社宅希望タイプ】
家具家電なし社"&amp;"宅
【レンタル家具】
希望の有無: 利用する
レンタル希望品目: 湯沸かしポット
【通勤方法】
徒歩, 自動車
【通勤希望時間】
～45分以内
【現在のお住まいの物件】
ご自身で契約中の物件
【レンタル家具利用状況】
【ライフライン】
希望する
【入居形態】
単身
【同居者情報】
【緊急連絡先】
住所：東京都港区西新橋
氏名：前田利家
フリガナ：マエダ トシイエ
生年月日：1987.12.2
電話番号：000-0000-0000
続柄：父
【ご要望】
")</f>
        <v>【進捗ID】
11111
【氏名】
前田 裕介
【携帯番号】
000-0000-0000
【現在お住まいの住所】
105-0003
【入居希望日】
2025年08月23日
【引越し業者手配】
必要
【性別】
男性
【国籍】
日本
【荷物量】
段ボール数: 5
家電: 冷蔵庫、洗濯機、電子レンジ、棚
家具: ソファ、ベッド
その他: 自転車
【駐車場手配】
必要
【車両情報】
車種: ベントレー　コンチネンタル
ナンバープレート: 8888
色: 白
【社宅希望タイプ】
家具家電なし社宅
【レンタル家具】
希望の有無: 利用する
レンタル希望品目: 湯沸かしポット
【通勤方法】
徒歩, 自動車
【通勤希望時間】
～45分以内
【現在のお住まいの物件】
ご自身で契約中の物件
【レンタル家具利用状況】
【ライフライン】
希望する
【入居形態】
単身
【同居者情報】
【緊急連絡先】
住所：東京都港区西新橋
氏名：前田利家
フリガナ：マエダ トシイエ
生年月日：1987.12.2
電話番号：000-0000-0000
続柄：父
【ご要望】
</v>
      </c>
      <c r="AJ7" s="6" t="str">
        <v/>
      </c>
      <c r="AK7" s="6" t="str">
        <v/>
      </c>
      <c r="AL7" s="6" t="str">
        <v/>
      </c>
      <c r="AM7" s="6" t="str">
        <v/>
      </c>
      <c r="AN7" s="6" t="n">
        <f aca="false">FALSE()</f>
        <v>0</v>
      </c>
    </row>
    <row r="8" customFormat="false" ht="52.5" hidden="true" customHeight="true" outlineLevel="0" collapsed="false">
      <c r="A8" s="6" t="str">
        <f aca="false">IFERROR(__xludf.dummyfunction("""COMPUTED_VALUE"""),"2025/08/19 16:57:11")</f>
        <v>2025/08/19 16:57:11</v>
      </c>
      <c r="B8" s="6" t="str">
        <f aca="false">IFERROR(__xludf.dummyfunction("""COMPUTED_VALUE"""),"osumikana1126@gmail.com")</f>
        <v>osumikana1126@gmail.com</v>
      </c>
      <c r="C8" s="6" t="str">
        <f aca="false">IFERROR(__xludf.dummyfunction("""COMPUTED_VALUE"""),"1")</f>
        <v>1</v>
      </c>
      <c r="D8" s="6"/>
      <c r="E8" s="6" t="str">
        <f aca="false">IFERROR(__xludf.dummyfunction("""COMPUTED_VALUE"""),"1")</f>
        <v>1</v>
      </c>
      <c r="F8" s="6" t="str">
        <f aca="false">IFERROR(__xludf.dummyfunction("""COMPUTED_VALUE"""),"1")</f>
        <v>1</v>
      </c>
      <c r="G8" s="6" t="str">
        <f aca="false">IFERROR(__xludf.dummyfunction("""COMPUTED_VALUE"""),"2025/08/27")</f>
        <v>2025/08/27</v>
      </c>
      <c r="H8" s="6" t="str">
        <f aca="false">IFERROR(__xludf.dummyfunction("""COMPUTED_VALUE"""),"必要")</f>
        <v>必要</v>
      </c>
      <c r="I8" s="6" t="str">
        <f aca="false">IFERROR(__xludf.dummyfunction("""COMPUTED_VALUE"""),"男性")</f>
        <v>男性</v>
      </c>
      <c r="J8" s="6" t="str">
        <f aca="false">IFERROR(__xludf.dummyfunction("""COMPUTED_VALUE"""),"日本")</f>
        <v>日本</v>
      </c>
      <c r="K8" s="6" t="str">
        <f aca="false">IFERROR(__xludf.dummyfunction("""COMPUTED_VALUE"""),"1")</f>
        <v>1</v>
      </c>
      <c r="L8" s="6" t="str">
        <f aca="false">IFERROR(__xludf.dummyfunction("""COMPUTED_VALUE"""),"1")</f>
        <v>1</v>
      </c>
      <c r="M8" s="6" t="str">
        <f aca="false">IFERROR(__xludf.dummyfunction("""COMPUTED_VALUE"""),"1")</f>
        <v>1</v>
      </c>
      <c r="N8" s="6"/>
      <c r="O8" s="6" t="str">
        <f aca="false">IFERROR(__xludf.dummyfunction("""COMPUTED_VALUE"""),"不要")</f>
        <v>不要</v>
      </c>
      <c r="P8" s="6"/>
      <c r="Q8" s="6"/>
      <c r="R8" s="6"/>
      <c r="S8" s="6" t="str">
        <f aca="false">IFERROR(__xludf.dummyfunction("""COMPUTED_VALUE"""),"家具家電付き社宅")</f>
        <v>家具家電付き社宅</v>
      </c>
      <c r="T8" s="6" t="str">
        <f aca="false">IFERROR(__xludf.dummyfunction("""COMPUTED_VALUE"""),"利用しない")</f>
        <v>利用しない</v>
      </c>
      <c r="U8" s="6"/>
      <c r="V8" s="6" t="str">
        <f aca="false">IFERROR(__xludf.dummyfunction("""COMPUTED_VALUE"""),"徒歩")</f>
        <v>徒歩</v>
      </c>
      <c r="W8" s="6" t="str">
        <f aca="false">IFERROR(__xludf.dummyfunction("""COMPUTED_VALUE"""),"～30分以内")</f>
        <v>～30分以内</v>
      </c>
      <c r="X8" s="6" t="str">
        <f aca="false">IFERROR(__xludf.dummyfunction("""COMPUTED_VALUE"""),"実家")</f>
        <v>実家</v>
      </c>
      <c r="Y8" s="6"/>
      <c r="Z8" s="6" t="str">
        <f aca="false">IFERROR(__xludf.dummyfunction("""COMPUTED_VALUE"""),"希望する")</f>
        <v>希望する</v>
      </c>
      <c r="AA8" s="6" t="str">
        <f aca="false">IFERROR(__xludf.dummyfunction("""COMPUTED_VALUE"""),"単身")</f>
        <v>単身</v>
      </c>
      <c r="AB8" s="6"/>
      <c r="AC8" s="6" t="str">
        <f aca="false">IFERROR(__xludf.dummyfunction("""COMPUTED_VALUE"""),"1")</f>
        <v>1</v>
      </c>
      <c r="AD8" s="6"/>
      <c r="AE8" s="6" t="str">
        <f aca="false">IFERROR(__xludf.dummyfunction("""COMPUTED_VALUE"""),"確認しました。")</f>
        <v>確認しました。</v>
      </c>
      <c r="AF8" s="6" t="str">
        <f aca="false">IFERROR(__xludf.dummyfunction("""COMPUTED_VALUE"""),"確認しました。")</f>
        <v>確認しました。</v>
      </c>
      <c r="AG8" s="6" t="str">
        <f aca="false">IFERROR(__xludf.dummyfunction("""COMPUTED_VALUE"""),"確認しました")</f>
        <v>確認しました</v>
      </c>
      <c r="AH8" s="6"/>
      <c r="AI8" s="6" t="str">
        <f aca="false">IFERROR(__xludf.dummyfunction("""COMPUTED_VALUE"""),"【進捗ID】
1
【氏名】
1
【携帯番号】
1
【現在お住まいの住所】
1
【入居希望日】
2025年08月27日
【引越し業者手配】
必要
【性別】
男性
【国籍】
日本
【荷物量】
段ボール数: 1
家電: 1
家具: 1
その他: 
【駐車場手配】
不要
【車両情報】
車種: 
ナンバープレート: 
色: 
【社宅希望タイプ】
家具家電付き社宅
【レンタル家具】
希望の有無: 利用しない
レンタル希望品目: 
【通勤方法】
徒歩
【通勤希望時間】
～30分以内
【現在"&amp;"のお住まいの物件】
実家
【レンタル家具利用状況】
【ライフライン】
希望する
【入居形態】
単身
【同居者情報】
【緊急連絡先】
1
【ご要望】
")</f>
        <v>【進捗ID】
1
【氏名】
1
【携帯番号】
1
【現在お住まいの住所】
1
【入居希望日】
2025年08月27日
【引越し業者手配】
必要
【性別】
男性
【国籍】
日本
【荷物量】
段ボール数: 1
家電: 1
家具: 1
その他: 
【駐車場手配】
不要
【車両情報】
車種: 
ナンバープレート: 
色: 
【社宅希望タイプ】
家具家電付き社宅
【レンタル家具】
希望の有無: 利用しない
レンタル希望品目: 
【通勤方法】
徒歩
【通勤希望時間】
～30分以内
【現在のお住まいの物件】
実家
【レンタル家具利用状況】
【ライフライン】
希望する
【入居形態】
単身
【同居者情報】
【緊急連絡先】
1
【ご要望】
</v>
      </c>
      <c r="AJ8" s="6" t="str">
        <v/>
      </c>
      <c r="AK8" s="6" t="str">
        <v/>
      </c>
      <c r="AL8" s="6" t="str">
        <v/>
      </c>
      <c r="AM8" s="6" t="str">
        <v/>
      </c>
      <c r="AN8" s="6" t="n">
        <f aca="false">FALSE()</f>
        <v>0</v>
      </c>
    </row>
    <row r="9" customFormat="false" ht="52.5" hidden="true" customHeight="true" outlineLevel="0" collapsed="false">
      <c r="A9" s="6" t="str">
        <f aca="false">IFERROR(__xludf.dummyfunction("""COMPUTED_VALUE"""),"2025/08/19 17:00:03")</f>
        <v>2025/08/19 17:00:03</v>
      </c>
      <c r="B9" s="6" t="str">
        <f aca="false">IFERROR(__xludf.dummyfunction("""COMPUTED_VALUE"""),"osumikana1126@gmail.com")</f>
        <v>osumikana1126@gmail.com</v>
      </c>
      <c r="C9" s="6" t="str">
        <f aca="false">IFERROR(__xludf.dummyfunction("""COMPUTED_VALUE"""),"1")</f>
        <v>1</v>
      </c>
      <c r="D9" s="6"/>
      <c r="E9" s="6" t="str">
        <f aca="false">IFERROR(__xludf.dummyfunction("""COMPUTED_VALUE"""),"1")</f>
        <v>1</v>
      </c>
      <c r="F9" s="6" t="str">
        <f aca="false">IFERROR(__xludf.dummyfunction("""COMPUTED_VALUE"""),"1")</f>
        <v>1</v>
      </c>
      <c r="G9" s="6" t="str">
        <f aca="false">IFERROR(__xludf.dummyfunction("""COMPUTED_VALUE"""),"2025/09/05")</f>
        <v>2025/09/05</v>
      </c>
      <c r="H9" s="6" t="str">
        <f aca="false">IFERROR(__xludf.dummyfunction("""COMPUTED_VALUE"""),"不要")</f>
        <v>不要</v>
      </c>
      <c r="I9" s="6" t="str">
        <f aca="false">IFERROR(__xludf.dummyfunction("""COMPUTED_VALUE"""),"女性")</f>
        <v>女性</v>
      </c>
      <c r="J9" s="6" t="str">
        <f aca="false">IFERROR(__xludf.dummyfunction("""COMPUTED_VALUE"""),"日本")</f>
        <v>日本</v>
      </c>
      <c r="K9" s="6"/>
      <c r="L9" s="6"/>
      <c r="M9" s="6"/>
      <c r="N9" s="6"/>
      <c r="O9" s="6" t="str">
        <f aca="false">IFERROR(__xludf.dummyfunction("""COMPUTED_VALUE"""),"不要")</f>
        <v>不要</v>
      </c>
      <c r="P9" s="6"/>
      <c r="Q9" s="6"/>
      <c r="R9" s="6"/>
      <c r="S9" s="6" t="str">
        <f aca="false">IFERROR(__xludf.dummyfunction("""COMPUTED_VALUE"""),"家具家電付き社宅")</f>
        <v>家具家電付き社宅</v>
      </c>
      <c r="T9" s="6" t="str">
        <f aca="false">IFERROR(__xludf.dummyfunction("""COMPUTED_VALUE"""),"利用しない")</f>
        <v>利用しない</v>
      </c>
      <c r="U9" s="6"/>
      <c r="V9" s="6" t="str">
        <f aca="false">IFERROR(__xludf.dummyfunction("""COMPUTED_VALUE"""),"徒歩")</f>
        <v>徒歩</v>
      </c>
      <c r="W9" s="6" t="str">
        <f aca="false">IFERROR(__xludf.dummyfunction("""COMPUTED_VALUE"""),"～30分以内")</f>
        <v>～30分以内</v>
      </c>
      <c r="X9" s="6" t="str">
        <f aca="false">IFERROR(__xludf.dummyfunction("""COMPUTED_VALUE"""),"実家")</f>
        <v>実家</v>
      </c>
      <c r="Y9" s="6"/>
      <c r="Z9" s="6" t="str">
        <f aca="false">IFERROR(__xludf.dummyfunction("""COMPUTED_VALUE"""),"希望する")</f>
        <v>希望する</v>
      </c>
      <c r="AA9" s="6" t="str">
        <f aca="false">IFERROR(__xludf.dummyfunction("""COMPUTED_VALUE"""),"単身")</f>
        <v>単身</v>
      </c>
      <c r="AB9" s="6"/>
      <c r="AC9" s="6" t="str">
        <f aca="false">IFERROR(__xludf.dummyfunction("""COMPUTED_VALUE"""),"1")</f>
        <v>1</v>
      </c>
      <c r="AD9" s="6" t="str">
        <f aca="false">IFERROR(__xludf.dummyfunction("""COMPUTED_VALUE"""),"1")</f>
        <v>1</v>
      </c>
      <c r="AE9" s="6" t="str">
        <f aca="false">IFERROR(__xludf.dummyfunction("""COMPUTED_VALUE"""),"確認しました。")</f>
        <v>確認しました。</v>
      </c>
      <c r="AF9" s="6" t="str">
        <f aca="false">IFERROR(__xludf.dummyfunction("""COMPUTED_VALUE"""),"確認しました。")</f>
        <v>確認しました。</v>
      </c>
      <c r="AG9" s="6" t="str">
        <f aca="false">IFERROR(__xludf.dummyfunction("""COMPUTED_VALUE"""),"確認しました")</f>
        <v>確認しました</v>
      </c>
      <c r="AH9" s="6"/>
      <c r="AI9" s="6" t="str">
        <f aca="false">IFERROR(__xludf.dummyfunction("""COMPUTED_VALUE"""),"【進捗ID】
1
【氏名】
1
【携帯番号】
1
【現在お住まいの住所】
1
【入居希望日】
2025年09月05日
【引越し業者手配】
不要
【性別】
女性
【国籍】
日本
【荷物量】
段ボール数: 
家電: 
家具: 
その他: 
【駐車場手配】
不要
【車両情報】
車種: 
ナンバープレート: 
色: 
【社宅希望タイプ】
家具家電付き社宅
【レンタル家具】
希望の有無: 利用しない
レンタル希望品目: 
【通勤方法】
徒歩
【通勤希望時間】
～30分以内
【現在のお住"&amp;"まいの物件】
実家
【レンタル家具利用状況】
【ライフライン】
希望する
【入居形態】
単身
【同居者情報】
【緊急連絡先】
1
【ご要望】
1")</f>
        <v>【進捗ID】
1
【氏名】
1
【携帯番号】
1
【現在お住まいの住所】
1
【入居希望日】
2025年09月05日
【引越し業者手配】
不要
【性別】
女性
【国籍】
日本
【荷物量】
段ボール数: 
家電: 
家具: 
その他: 
【駐車場手配】
不要
【車両情報】
車種: 
ナンバープレート: 
色: 
【社宅希望タイプ】
家具家電付き社宅
【レンタル家具】
希望の有無: 利用しない
レンタル希望品目: 
【通勤方法】
徒歩
【通勤希望時間】
～30分以内
【現在のお住まいの物件】
実家
【レンタル家具利用状況】
【ライフライン】
希望する
【入居形態】
単身
【同居者情報】
【緊急連絡先】
1
【ご要望】
1</v>
      </c>
      <c r="AJ9" s="6" t="str">
        <v/>
      </c>
      <c r="AK9" s="6" t="str">
        <v/>
      </c>
      <c r="AL9" s="6" t="str">
        <v/>
      </c>
      <c r="AM9" s="6" t="str">
        <v/>
      </c>
      <c r="AN9" s="6" t="n">
        <f aca="false">FALSE()</f>
        <v>0</v>
      </c>
    </row>
    <row r="10" customFormat="false" ht="52.5" hidden="true" customHeight="true" outlineLevel="0" collapsed="false">
      <c r="A10" s="6" t="str">
        <f aca="false">IFERROR(__xludf.dummyfunction("""COMPUTED_VALUE"""),"2025/09/03 13:41:12")</f>
        <v>2025/09/03 13:41:12</v>
      </c>
      <c r="B10" s="6" t="str">
        <f aca="false">IFERROR(__xludf.dummyfunction("""COMPUTED_VALUE"""),"osumikana@gmail.com")</f>
        <v>osumikana@gmail.com</v>
      </c>
      <c r="C10" s="6" t="str">
        <f aca="false">IFERROR(__xludf.dummyfunction("""COMPUTED_VALUE"""),"12345")</f>
        <v>12345</v>
      </c>
      <c r="D10" s="6"/>
      <c r="E10" s="6" t="str">
        <f aca="false">IFERROR(__xludf.dummyfunction("""COMPUTED_VALUE"""),"1")</f>
        <v>1</v>
      </c>
      <c r="F10" s="6" t="str">
        <f aca="false">IFERROR(__xludf.dummyfunction("""COMPUTED_VALUE"""),"1")</f>
        <v>1</v>
      </c>
      <c r="G10" s="6" t="str">
        <f aca="false">IFERROR(__xludf.dummyfunction("""COMPUTED_VALUE"""),"2025/09/03")</f>
        <v>2025/09/03</v>
      </c>
      <c r="H10" s="6" t="str">
        <f aca="false">IFERROR(__xludf.dummyfunction("""COMPUTED_VALUE"""),"必要")</f>
        <v>必要</v>
      </c>
      <c r="I10" s="6" t="str">
        <f aca="false">IFERROR(__xludf.dummyfunction("""COMPUTED_VALUE"""),"男性")</f>
        <v>男性</v>
      </c>
      <c r="J10" s="6" t="str">
        <f aca="false">IFERROR(__xludf.dummyfunction("""COMPUTED_VALUE"""),"日本")</f>
        <v>日本</v>
      </c>
      <c r="K10" s="6" t="str">
        <f aca="false">IFERROR(__xludf.dummyfunction("""COMPUTED_VALUE"""),"1")</f>
        <v>1</v>
      </c>
      <c r="L10" s="6" t="str">
        <f aca="false">IFERROR(__xludf.dummyfunction("""COMPUTED_VALUE"""),"1")</f>
        <v>1</v>
      </c>
      <c r="M10" s="6" t="str">
        <f aca="false">IFERROR(__xludf.dummyfunction("""COMPUTED_VALUE"""),"1")</f>
        <v>1</v>
      </c>
      <c r="N10" s="6" t="str">
        <f aca="false">IFERROR(__xludf.dummyfunction("""COMPUTED_VALUE"""),"1")</f>
        <v>1</v>
      </c>
      <c r="O10" s="6" t="str">
        <f aca="false">IFERROR(__xludf.dummyfunction("""COMPUTED_VALUE"""),"必要")</f>
        <v>必要</v>
      </c>
      <c r="P10" s="6" t="str">
        <f aca="false">IFERROR(__xludf.dummyfunction("""COMPUTED_VALUE"""),"1")</f>
        <v>1</v>
      </c>
      <c r="Q10" s="6" t="str">
        <f aca="false">IFERROR(__xludf.dummyfunction("""COMPUTED_VALUE"""),"1")</f>
        <v>1</v>
      </c>
      <c r="R10" s="6" t="str">
        <f aca="false">IFERROR(__xludf.dummyfunction("""COMPUTED_VALUE"""),"1")</f>
        <v>1</v>
      </c>
      <c r="S10" s="6" t="str">
        <f aca="false">IFERROR(__xludf.dummyfunction("""COMPUTED_VALUE"""),"家具家電付き社宅")</f>
        <v>家具家電付き社宅</v>
      </c>
      <c r="T10" s="6" t="str">
        <f aca="false">IFERROR(__xludf.dummyfunction("""COMPUTED_VALUE"""),"利用する")</f>
        <v>利用する</v>
      </c>
      <c r="U10" s="6" t="str">
        <f aca="false">IFERROR(__xludf.dummyfunction("""COMPUTED_VALUE"""),"1")</f>
        <v>1</v>
      </c>
      <c r="V10" s="6" t="str">
        <f aca="false">IFERROR(__xludf.dummyfunction("""COMPUTED_VALUE"""),"徒歩")</f>
        <v>徒歩</v>
      </c>
      <c r="W10" s="6" t="str">
        <f aca="false">IFERROR(__xludf.dummyfunction("""COMPUTED_VALUE"""),"～30分以内")</f>
        <v>～30分以内</v>
      </c>
      <c r="X10" s="6" t="str">
        <f aca="false">IFERROR(__xludf.dummyfunction("""COMPUTED_VALUE"""),"ご自身で契約中の物件")</f>
        <v>ご自身で契約中の物件</v>
      </c>
      <c r="Y10" s="6"/>
      <c r="Z10" s="6" t="str">
        <f aca="false">IFERROR(__xludf.dummyfunction("""COMPUTED_VALUE"""),"希望する")</f>
        <v>希望する</v>
      </c>
      <c r="AA10" s="6" t="str">
        <f aca="false">IFERROR(__xludf.dummyfunction("""COMPUTED_VALUE"""),"家族")</f>
        <v>家族</v>
      </c>
      <c r="AB10" s="6" t="str">
        <f aca="false">IFERROR(__xludf.dummyfunction("""COMPUTED_VALUE"""),"1")</f>
        <v>1</v>
      </c>
      <c r="AC10" s="6" t="str">
        <f aca="false">IFERROR(__xludf.dummyfunction("""COMPUTED_VALUE"""),"1")</f>
        <v>1</v>
      </c>
      <c r="AD10" s="6" t="str">
        <f aca="false">IFERROR(__xludf.dummyfunction("""COMPUTED_VALUE"""),"1")</f>
        <v>1</v>
      </c>
      <c r="AE10" s="6" t="str">
        <f aca="false">IFERROR(__xludf.dummyfunction("""COMPUTED_VALUE"""),"確認しました。")</f>
        <v>確認しました。</v>
      </c>
      <c r="AF10" s="6" t="str">
        <f aca="false">IFERROR(__xludf.dummyfunction("""COMPUTED_VALUE"""),"確認しました。")</f>
        <v>確認しました。</v>
      </c>
      <c r="AG10" s="6" t="str">
        <f aca="false">IFERROR(__xludf.dummyfunction("""COMPUTED_VALUE"""),"確認しました")</f>
        <v>確認しました</v>
      </c>
      <c r="AH10" s="6"/>
      <c r="AI10" s="6" t="str">
        <f aca="false">IFERROR(__xludf.dummyfunction("""COMPUTED_VALUE"""),"【進捗ID】
12345
【氏名】
1
【携帯番号】
1
【現在お住まいの住所】
1
【入居希望日】
2025年09月03日
【引越し業者手配】
必要
【性別】
男性
【国籍】
日本
【荷物量】
段ボール数: 1
家電: 1
家具: 1
その他: 1
【駐車場手配】
必要
【車両情報】
車種: 1
ナンバープレート: 1
色: 1
【社宅希望タイプ】
家具家電付き社宅
【レンタル家具】
希望の有無: 利用する
レンタル希望品目: 1
【通勤方法】
徒歩
【通勤希望時間】
～30"&amp;"分以内
【現在のお住まいの物件】
ご自身で契約中の物件
【レンタル家具利用状況】
【ライフライン】
希望する
【入居形態】
家族
【同居者情報】
1
【緊急連絡先】
1
【ご要望】
1")</f>
        <v>【進捗ID】
12345
【氏名】
1
【携帯番号】
1
【現在お住まいの住所】
1
【入居希望日】
2025年09月03日
【引越し業者手配】
必要
【性別】
男性
【国籍】
日本
【荷物量】
段ボール数: 1
家電: 1
家具: 1
その他: 1
【駐車場手配】
必要
【車両情報】
車種: 1
ナンバープレート: 1
色: 1
【社宅希望タイプ】
家具家電付き社宅
【レンタル家具】
希望の有無: 利用する
レンタル希望品目: 1
【通勤方法】
徒歩
【通勤希望時間】
～30分以内
【現在のお住まいの物件】
ご自身で契約中の物件
【レンタル家具利用状況】
【ライフライン】
希望する
【入居形態】
家族
【同居者情報】
1
【緊急連絡先】
1
【ご要望】
1</v>
      </c>
      <c r="AJ10" s="6" t="str">
        <v/>
      </c>
      <c r="AK10" s="6" t="str">
        <v/>
      </c>
      <c r="AL10" s="6" t="str">
        <v/>
      </c>
      <c r="AM10" s="6" t="str">
        <v/>
      </c>
      <c r="AN10" s="6" t="n">
        <f aca="false">FALSE()</f>
        <v>0</v>
      </c>
    </row>
    <row r="11" customFormat="false" ht="52.5" hidden="true" customHeight="true" outlineLevel="0" collapsed="false">
      <c r="A11" s="6" t="str">
        <f aca="false">IFERROR(__xludf.dummyfunction("""COMPUTED_VALUE"""),"2025/09/03 13:46:10")</f>
        <v>2025/09/03 13:46:10</v>
      </c>
      <c r="B11" s="6" t="str">
        <f aca="false">IFERROR(__xludf.dummyfunction("""COMPUTED_VALUE"""),"osumikana1126@gmail.com")</f>
        <v>osumikana1126@gmail.com</v>
      </c>
      <c r="C11" s="6" t="str">
        <f aca="false">IFERROR(__xludf.dummyfunction("""COMPUTED_VALUE"""),"1")</f>
        <v>1</v>
      </c>
      <c r="D11" s="6"/>
      <c r="E11" s="6" t="str">
        <f aca="false">IFERROR(__xludf.dummyfunction("""COMPUTED_VALUE"""),"1")</f>
        <v>1</v>
      </c>
      <c r="F11" s="6" t="str">
        <f aca="false">IFERROR(__xludf.dummyfunction("""COMPUTED_VALUE"""),"1")</f>
        <v>1</v>
      </c>
      <c r="G11" s="6" t="str">
        <f aca="false">IFERROR(__xludf.dummyfunction("""COMPUTED_VALUE"""),"2025/09/03")</f>
        <v>2025/09/03</v>
      </c>
      <c r="H11" s="6" t="str">
        <f aca="false">IFERROR(__xludf.dummyfunction("""COMPUTED_VALUE"""),"不要")</f>
        <v>不要</v>
      </c>
      <c r="I11" s="6" t="str">
        <f aca="false">IFERROR(__xludf.dummyfunction("""COMPUTED_VALUE"""),"男性")</f>
        <v>男性</v>
      </c>
      <c r="J11" s="6" t="str">
        <f aca="false">IFERROR(__xludf.dummyfunction("""COMPUTED_VALUE"""),"日本")</f>
        <v>日本</v>
      </c>
      <c r="K11" s="6"/>
      <c r="L11" s="6"/>
      <c r="M11" s="6"/>
      <c r="N11" s="6"/>
      <c r="O11" s="6" t="str">
        <f aca="false">IFERROR(__xludf.dummyfunction("""COMPUTED_VALUE"""),"必要")</f>
        <v>必要</v>
      </c>
      <c r="P11" s="6" t="str">
        <f aca="false">IFERROR(__xludf.dummyfunction("""COMPUTED_VALUE"""),"1")</f>
        <v>1</v>
      </c>
      <c r="Q11" s="6" t="str">
        <f aca="false">IFERROR(__xludf.dummyfunction("""COMPUTED_VALUE"""),"1")</f>
        <v>1</v>
      </c>
      <c r="R11" s="6" t="str">
        <f aca="false">IFERROR(__xludf.dummyfunction("""COMPUTED_VALUE"""),"1")</f>
        <v>1</v>
      </c>
      <c r="S11" s="6" t="str">
        <f aca="false">IFERROR(__xludf.dummyfunction("""COMPUTED_VALUE"""),"家具家電付き社宅")</f>
        <v>家具家電付き社宅</v>
      </c>
      <c r="T11" s="6" t="str">
        <f aca="false">IFERROR(__xludf.dummyfunction("""COMPUTED_VALUE"""),"利用する")</f>
        <v>利用する</v>
      </c>
      <c r="U11" s="6" t="str">
        <f aca="false">IFERROR(__xludf.dummyfunction("""COMPUTED_VALUE"""),"1")</f>
        <v>1</v>
      </c>
      <c r="V11" s="6" t="str">
        <f aca="false">IFERROR(__xludf.dummyfunction("""COMPUTED_VALUE"""),"徒歩")</f>
        <v>徒歩</v>
      </c>
      <c r="W11" s="6" t="str">
        <f aca="false">IFERROR(__xludf.dummyfunction("""COMPUTED_VALUE"""),"～30分以内")</f>
        <v>～30分以内</v>
      </c>
      <c r="X11" s="6" t="str">
        <f aca="false">IFERROR(__xludf.dummyfunction("""COMPUTED_VALUE"""),"実家")</f>
        <v>実家</v>
      </c>
      <c r="Y11" s="6"/>
      <c r="Z11" s="6" t="str">
        <f aca="false">IFERROR(__xludf.dummyfunction("""COMPUTED_VALUE"""),"希望する")</f>
        <v>希望する</v>
      </c>
      <c r="AA11" s="6" t="str">
        <f aca="false">IFERROR(__xludf.dummyfunction("""COMPUTED_VALUE"""),"家族")</f>
        <v>家族</v>
      </c>
      <c r="AB11" s="6" t="str">
        <f aca="false">IFERROR(__xludf.dummyfunction("""COMPUTED_VALUE"""),"1")</f>
        <v>1</v>
      </c>
      <c r="AC11" s="6" t="str">
        <f aca="false">IFERROR(__xludf.dummyfunction("""COMPUTED_VALUE"""),"1")</f>
        <v>1</v>
      </c>
      <c r="AD11" s="6"/>
      <c r="AE11" s="6" t="str">
        <f aca="false">IFERROR(__xludf.dummyfunction("""COMPUTED_VALUE"""),"確認しました。")</f>
        <v>確認しました。</v>
      </c>
      <c r="AF11" s="6" t="str">
        <f aca="false">IFERROR(__xludf.dummyfunction("""COMPUTED_VALUE"""),"確認しました。")</f>
        <v>確認しました。</v>
      </c>
      <c r="AG11" s="6" t="str">
        <f aca="false">IFERROR(__xludf.dummyfunction("""COMPUTED_VALUE"""),"確認しました")</f>
        <v>確認しました</v>
      </c>
      <c r="AH11" s="6"/>
      <c r="AI11" s="6" t="str">
        <f aca="false">IFERROR(__xludf.dummyfunction("""COMPUTED_VALUE"""),"【進捗ID】
1
【氏名】
1
【携帯番号】
1
【現在お住まいの住所】
1
【入居希望日】
2025年09月03日
【引越し業者手配】
不要
【性別】
男性
【国籍】
日本
【荷物量】
段ボール数: 
家電: 
家具: 
その他: 
【駐車場手配】
必要
【車両情報】
車種: 1
ナンバープレート: 1
色: 1
【社宅希望タイプ】
家具家電付き社宅
【レンタル家具】
希望の有無: 利用する
レンタル希望品目: 1
【通勤方法】
徒歩
【通勤希望時間】
～30分以内
【現在"&amp;"のお住まいの物件】
実家
【レンタル家具利用状況】
【ライフライン】
希望する
【入居形態】
家族
【同居者情報】
1
【緊急連絡先】
1
【ご要望】
")</f>
        <v>【進捗ID】
1
【氏名】
1
【携帯番号】
1
【現在お住まいの住所】
1
【入居希望日】
2025年09月03日
【引越し業者手配】
不要
【性別】
男性
【国籍】
日本
【荷物量】
段ボール数: 
家電: 
家具: 
その他: 
【駐車場手配】
必要
【車両情報】
車種: 1
ナンバープレート: 1
色: 1
【社宅希望タイプ】
家具家電付き社宅
【レンタル家具】
希望の有無: 利用する
レンタル希望品目: 1
【通勤方法】
徒歩
【通勤希望時間】
～30分以内
【現在のお住まいの物件】
実家
【レンタル家具利用状況】
【ライフライン】
希望する
【入居形態】
家族
【同居者情報】
1
【緊急連絡先】
1
【ご要望】
</v>
      </c>
      <c r="AJ11" s="6" t="str">
        <v/>
      </c>
      <c r="AK11" s="6" t="str">
        <v/>
      </c>
      <c r="AL11" s="6" t="str">
        <v/>
      </c>
      <c r="AM11" s="6" t="str">
        <v/>
      </c>
      <c r="AN11" s="6" t="n">
        <f aca="false">FALSE()</f>
        <v>0</v>
      </c>
    </row>
    <row r="12" customFormat="false" ht="52.5" hidden="true" customHeight="true" outlineLevel="0" collapsed="false">
      <c r="A12" s="6" t="str">
        <f aca="false">IFERROR(__xludf.dummyfunction("""COMPUTED_VALUE"""),"2025/09/03 13:48:15")</f>
        <v>2025/09/03 13:48:15</v>
      </c>
      <c r="B12" s="6" t="str">
        <f aca="false">IFERROR(__xludf.dummyfunction("""COMPUTED_VALUE"""),"osumikana1126@gmail.com")</f>
        <v>osumikana1126@gmail.com</v>
      </c>
      <c r="C12" s="6" t="str">
        <f aca="false">IFERROR(__xludf.dummyfunction("""COMPUTED_VALUE"""),"1")</f>
        <v>1</v>
      </c>
      <c r="D12" s="6"/>
      <c r="E12" s="6" t="str">
        <f aca="false">IFERROR(__xludf.dummyfunction("""COMPUTED_VALUE"""),"1")</f>
        <v>1</v>
      </c>
      <c r="F12" s="6" t="str">
        <f aca="false">IFERROR(__xludf.dummyfunction("""COMPUTED_VALUE"""),"1")</f>
        <v>1</v>
      </c>
      <c r="G12" s="6" t="str">
        <f aca="false">IFERROR(__xludf.dummyfunction("""COMPUTED_VALUE"""),"2025/09/03")</f>
        <v>2025/09/03</v>
      </c>
      <c r="H12" s="6" t="str">
        <f aca="false">IFERROR(__xludf.dummyfunction("""COMPUTED_VALUE"""),"必要")</f>
        <v>必要</v>
      </c>
      <c r="I12" s="6" t="str">
        <f aca="false">IFERROR(__xludf.dummyfunction("""COMPUTED_VALUE"""),"男性")</f>
        <v>男性</v>
      </c>
      <c r="J12" s="6" t="str">
        <f aca="false">IFERROR(__xludf.dummyfunction("""COMPUTED_VALUE"""),"日本")</f>
        <v>日本</v>
      </c>
      <c r="K12" s="6" t="str">
        <f aca="false">IFERROR(__xludf.dummyfunction("""COMPUTED_VALUE"""),"1")</f>
        <v>1</v>
      </c>
      <c r="L12" s="6" t="str">
        <f aca="false">IFERROR(__xludf.dummyfunction("""COMPUTED_VALUE"""),"1")</f>
        <v>1</v>
      </c>
      <c r="M12" s="6" t="str">
        <f aca="false">IFERROR(__xludf.dummyfunction("""COMPUTED_VALUE"""),"1")</f>
        <v>1</v>
      </c>
      <c r="N12" s="6" t="str">
        <f aca="false">IFERROR(__xludf.dummyfunction("""COMPUTED_VALUE"""),"1")</f>
        <v>1</v>
      </c>
      <c r="O12" s="6" t="str">
        <f aca="false">IFERROR(__xludf.dummyfunction("""COMPUTED_VALUE"""),"不要")</f>
        <v>不要</v>
      </c>
      <c r="P12" s="6"/>
      <c r="Q12" s="6"/>
      <c r="R12" s="6"/>
      <c r="S12" s="6" t="str">
        <f aca="false">IFERROR(__xludf.dummyfunction("""COMPUTED_VALUE"""),"家具家電付き社宅")</f>
        <v>家具家電付き社宅</v>
      </c>
      <c r="T12" s="6" t="str">
        <f aca="false">IFERROR(__xludf.dummyfunction("""COMPUTED_VALUE"""),"利用しない")</f>
        <v>利用しない</v>
      </c>
      <c r="U12" s="6"/>
      <c r="V12" s="6" t="str">
        <f aca="false">IFERROR(__xludf.dummyfunction("""COMPUTED_VALUE"""),"徒歩")</f>
        <v>徒歩</v>
      </c>
      <c r="W12" s="6" t="str">
        <f aca="false">IFERROR(__xludf.dummyfunction("""COMPUTED_VALUE"""),"～30分以内")</f>
        <v>～30分以内</v>
      </c>
      <c r="X12" s="6" t="str">
        <f aca="false">IFERROR(__xludf.dummyfunction("""COMPUTED_VALUE"""),"株式会社ビーネックステクノロジーズの社宅")</f>
        <v>株式会社ビーネックステクノロジーズの社宅</v>
      </c>
      <c r="Y12" s="6" t="str">
        <f aca="false">IFERROR(__xludf.dummyfunction("""COMPUTED_VALUE"""),"1")</f>
        <v>1</v>
      </c>
      <c r="Z12" s="6" t="str">
        <f aca="false">IFERROR(__xludf.dummyfunction("""COMPUTED_VALUE"""),"希望する")</f>
        <v>希望する</v>
      </c>
      <c r="AA12" s="6" t="str">
        <f aca="false">IFERROR(__xludf.dummyfunction("""COMPUTED_VALUE"""),"家族")</f>
        <v>家族</v>
      </c>
      <c r="AB12" s="6" t="str">
        <f aca="false">IFERROR(__xludf.dummyfunction("""COMPUTED_VALUE"""),"1")</f>
        <v>1</v>
      </c>
      <c r="AC12" s="6" t="str">
        <f aca="false">IFERROR(__xludf.dummyfunction("""COMPUTED_VALUE"""),"1")</f>
        <v>1</v>
      </c>
      <c r="AD12" s="6"/>
      <c r="AE12" s="6" t="str">
        <f aca="false">IFERROR(__xludf.dummyfunction("""COMPUTED_VALUE"""),"確認しました。")</f>
        <v>確認しました。</v>
      </c>
      <c r="AF12" s="6" t="str">
        <f aca="false">IFERROR(__xludf.dummyfunction("""COMPUTED_VALUE"""),"確認しました。")</f>
        <v>確認しました。</v>
      </c>
      <c r="AG12" s="6" t="str">
        <f aca="false">IFERROR(__xludf.dummyfunction("""COMPUTED_VALUE"""),"確認しました")</f>
        <v>確認しました</v>
      </c>
      <c r="AH12" s="6"/>
      <c r="AI12" s="6" t="str">
        <f aca="false">IFERROR(__xludf.dummyfunction("""COMPUTED_VALUE"""),"【進捗ID】
1
【氏名】
1
【携帯番号】
1
【現在お住まいの住所】
1
【入居希望日】
2025年09月03日
【引越し業者手配】
必要
【性別】
男性
【国籍】
日本
【荷物量】
段ボール数: 1
家電: 1
家具: 1
その他: 1
【駐車場手配】
不要
【車両情報】
車種: 
ナンバープレート: 
色: 
【社宅希望タイプ】
家具家電付き社宅
【レンタル家具】
希望の有無: 利用しない
レンタル希望品目: 
【通勤方法】
徒歩
【通勤希望時間】
～30分以内
【現"&amp;"在のお住まいの物件】
株式会社ビーネックステクノロジーズの社宅
【レンタル家具利用状況】
1
【ライフライン】
希望する
【入居形態】
家族
【同居者情報】
1
【緊急連絡先】
1
【ご要望】
")</f>
        <v>【進捗ID】
1
【氏名】
1
【携帯番号】
1
【現在お住まいの住所】
1
【入居希望日】
2025年09月03日
【引越し業者手配】
必要
【性別】
男性
【国籍】
日本
【荷物量】
段ボール数: 1
家電: 1
家具: 1
その他: 1
【駐車場手配】
不要
【車両情報】
車種: 
ナンバープレート: 
色: 
【社宅希望タイプ】
家具家電付き社宅
【レンタル家具】
希望の有無: 利用しない
レンタル希望品目: 
【通勤方法】
徒歩
【通勤希望時間】
～30分以内
【現在のお住まいの物件】
株式会社ビーネックステクノロジーズの社宅
【レンタル家具利用状況】
1
【ライフライン】
希望する
【入居形態】
家族
【同居者情報】
1
【緊急連絡先】
1
【ご要望】
</v>
      </c>
      <c r="AJ12" s="6" t="str">
        <v/>
      </c>
      <c r="AK12" s="6" t="str">
        <v/>
      </c>
      <c r="AL12" s="6" t="str">
        <v/>
      </c>
      <c r="AM12" s="6" t="str">
        <v/>
      </c>
      <c r="AN12" s="6" t="n">
        <f aca="false">FALSE()</f>
        <v>0</v>
      </c>
    </row>
    <row r="13" customFormat="false" ht="52.5" hidden="true" customHeight="true" outlineLevel="0" collapsed="false">
      <c r="A13" s="6" t="str">
        <f aca="false">IFERROR(__xludf.dummyfunction("""COMPUTED_VALUE"""),"2025/09/03 13:51:02")</f>
        <v>2025/09/03 13:51:02</v>
      </c>
      <c r="B13" s="6" t="str">
        <f aca="false">IFERROR(__xludf.dummyfunction("""COMPUTED_VALUE"""),"osumikana1126@gmail.com")</f>
        <v>osumikana1126@gmail.com</v>
      </c>
      <c r="C13" s="6" t="str">
        <f aca="false">IFERROR(__xludf.dummyfunction("""COMPUTED_VALUE"""),"1")</f>
        <v>1</v>
      </c>
      <c r="D13" s="6"/>
      <c r="E13" s="6" t="str">
        <f aca="false">IFERROR(__xludf.dummyfunction("""COMPUTED_VALUE"""),"1")</f>
        <v>1</v>
      </c>
      <c r="F13" s="6" t="str">
        <f aca="false">IFERROR(__xludf.dummyfunction("""COMPUTED_VALUE"""),"1")</f>
        <v>1</v>
      </c>
      <c r="G13" s="6" t="str">
        <f aca="false">IFERROR(__xludf.dummyfunction("""COMPUTED_VALUE"""),"2025/09/04")</f>
        <v>2025/09/04</v>
      </c>
      <c r="H13" s="6" t="str">
        <f aca="false">IFERROR(__xludf.dummyfunction("""COMPUTED_VALUE"""),"必要")</f>
        <v>必要</v>
      </c>
      <c r="I13" s="6" t="str">
        <f aca="false">IFERROR(__xludf.dummyfunction("""COMPUTED_VALUE"""),"女性")</f>
        <v>女性</v>
      </c>
      <c r="J13" s="6" t="str">
        <f aca="false">IFERROR(__xludf.dummyfunction("""COMPUTED_VALUE"""),"日本")</f>
        <v>日本</v>
      </c>
      <c r="K13" s="6" t="str">
        <f aca="false">IFERROR(__xludf.dummyfunction("""COMPUTED_VALUE"""),"1")</f>
        <v>1</v>
      </c>
      <c r="L13" s="6" t="str">
        <f aca="false">IFERROR(__xludf.dummyfunction("""COMPUTED_VALUE"""),"1")</f>
        <v>1</v>
      </c>
      <c r="M13" s="6" t="str">
        <f aca="false">IFERROR(__xludf.dummyfunction("""COMPUTED_VALUE"""),"1")</f>
        <v>1</v>
      </c>
      <c r="N13" s="6"/>
      <c r="O13" s="6" t="str">
        <f aca="false">IFERROR(__xludf.dummyfunction("""COMPUTED_VALUE"""),"不要")</f>
        <v>不要</v>
      </c>
      <c r="P13" s="6"/>
      <c r="Q13" s="6"/>
      <c r="R13" s="6"/>
      <c r="S13" s="6" t="str">
        <f aca="false">IFERROR(__xludf.dummyfunction("""COMPUTED_VALUE"""),"家具家電付き社宅")</f>
        <v>家具家電付き社宅</v>
      </c>
      <c r="T13" s="6" t="str">
        <f aca="false">IFERROR(__xludf.dummyfunction("""COMPUTED_VALUE"""),"利用しない")</f>
        <v>利用しない</v>
      </c>
      <c r="U13" s="6"/>
      <c r="V13" s="6" t="str">
        <f aca="false">IFERROR(__xludf.dummyfunction("""COMPUTED_VALUE"""),"徒歩")</f>
        <v>徒歩</v>
      </c>
      <c r="W13" s="6" t="str">
        <f aca="false">IFERROR(__xludf.dummyfunction("""COMPUTED_VALUE"""),"～30分以内")</f>
        <v>～30分以内</v>
      </c>
      <c r="X13" s="6" t="str">
        <f aca="false">IFERROR(__xludf.dummyfunction("""COMPUTED_VALUE"""),"実家")</f>
        <v>実家</v>
      </c>
      <c r="Y13" s="6"/>
      <c r="Z13" s="6" t="str">
        <f aca="false">IFERROR(__xludf.dummyfunction("""COMPUTED_VALUE"""),"希望する")</f>
        <v>希望する</v>
      </c>
      <c r="AA13" s="6" t="str">
        <f aca="false">IFERROR(__xludf.dummyfunction("""COMPUTED_VALUE"""),"家族")</f>
        <v>家族</v>
      </c>
      <c r="AB13" s="6" t="str">
        <f aca="false">IFERROR(__xludf.dummyfunction("""COMPUTED_VALUE"""),"1")</f>
        <v>1</v>
      </c>
      <c r="AC13" s="6" t="str">
        <f aca="false">IFERROR(__xludf.dummyfunction("""COMPUTED_VALUE"""),"1")</f>
        <v>1</v>
      </c>
      <c r="AD13" s="6"/>
      <c r="AE13" s="6" t="str">
        <f aca="false">IFERROR(__xludf.dummyfunction("""COMPUTED_VALUE"""),"確認しました。")</f>
        <v>確認しました。</v>
      </c>
      <c r="AF13" s="6" t="str">
        <f aca="false">IFERROR(__xludf.dummyfunction("""COMPUTED_VALUE"""),"確認しました。")</f>
        <v>確認しました。</v>
      </c>
      <c r="AG13" s="6" t="str">
        <f aca="false">IFERROR(__xludf.dummyfunction("""COMPUTED_VALUE"""),"確認しました")</f>
        <v>確認しました</v>
      </c>
      <c r="AH13" s="6"/>
      <c r="AI13" s="6" t="str">
        <f aca="false">IFERROR(__xludf.dummyfunction("""COMPUTED_VALUE"""),"【進捗ID】
1
【氏名】
1
【携帯番号】
1
【現在お住まいの住所】
1
【入居希望日】
2025年09月04日
【引越し業者手配】
必要
【性別】
女性
【国籍】
日本
【荷物量】
段ボール数: 1
家電: 1
家具: 1
その他: 
【駐車場手配】
不要
【車両情報】
車種: 
ナンバープレート: 
色: 
【社宅希望タイプ】
家具家電付き社宅
【レンタル家具】
希望の有無: 利用しない
レンタル希望品目: 
【通勤方法】
徒歩
【通勤希望時間】
～30分以内
【現在"&amp;"のお住まいの物件】
実家
【レンタル家具利用状況】
【ライフライン】
希望する
【入居形態】
家族
【同居者情報】
1
【緊急連絡先】
1
【ご要望】
")</f>
        <v>【進捗ID】
1
【氏名】
1
【携帯番号】
1
【現在お住まいの住所】
1
【入居希望日】
2025年09月04日
【引越し業者手配】
必要
【性別】
女性
【国籍】
日本
【荷物量】
段ボール数: 1
家電: 1
家具: 1
その他: 
【駐車場手配】
不要
【車両情報】
車種: 
ナンバープレート: 
色: 
【社宅希望タイプ】
家具家電付き社宅
【レンタル家具】
希望の有無: 利用しない
レンタル希望品目: 
【通勤方法】
徒歩
【通勤希望時間】
～30分以内
【現在のお住まいの物件】
実家
【レンタル家具利用状況】
【ライフライン】
希望する
【入居形態】
家族
【同居者情報】
1
【緊急連絡先】
1
【ご要望】
</v>
      </c>
      <c r="AJ13" s="6" t="str">
        <v/>
      </c>
      <c r="AK13" s="6" t="str">
        <v/>
      </c>
      <c r="AL13" s="6" t="str">
        <v/>
      </c>
      <c r="AM13" s="6" t="str">
        <v/>
      </c>
      <c r="AN13" s="6" t="n">
        <f aca="false">FALSE()</f>
        <v>0</v>
      </c>
    </row>
    <row r="14" customFormat="false" ht="52.5" hidden="true" customHeight="true" outlineLevel="0" collapsed="false">
      <c r="A14" s="6" t="str">
        <f aca="false">IFERROR(__xludf.dummyfunction("""COMPUTED_VALUE"""),"2025/10/09 16:57:01")</f>
        <v>2025/10/09 16:57:01</v>
      </c>
      <c r="B14" s="6" t="str">
        <f aca="false">IFERROR(__xludf.dummyfunction("""COMPUTED_VALUE"""),"kana.osumi@shataku.com")</f>
        <v>kana.osumi@shataku.com</v>
      </c>
      <c r="C14" s="6" t="str">
        <f aca="false">IFERROR(__xludf.dummyfunction("""COMPUTED_VALUE"""),"1")</f>
        <v>1</v>
      </c>
      <c r="D14" s="6"/>
      <c r="E14" s="6" t="str">
        <f aca="false">IFERROR(__xludf.dummyfunction("""COMPUTED_VALUE"""),"1")</f>
        <v>1</v>
      </c>
      <c r="F14" s="6" t="str">
        <f aca="false">IFERROR(__xludf.dummyfunction("""COMPUTED_VALUE"""),"1")</f>
        <v>1</v>
      </c>
      <c r="G14" s="6" t="str">
        <f aca="false">IFERROR(__xludf.dummyfunction("""COMPUTED_VALUE"""),"2025/10/10")</f>
        <v>2025/10/10</v>
      </c>
      <c r="H14" s="6" t="str">
        <f aca="false">IFERROR(__xludf.dummyfunction("""COMPUTED_VALUE"""),"不要")</f>
        <v>不要</v>
      </c>
      <c r="I14" s="6" t="str">
        <f aca="false">IFERROR(__xludf.dummyfunction("""COMPUTED_VALUE"""),"女性")</f>
        <v>女性</v>
      </c>
      <c r="J14" s="6" t="str">
        <f aca="false">IFERROR(__xludf.dummyfunction("""COMPUTED_VALUE"""),"日本")</f>
        <v>日本</v>
      </c>
      <c r="K14" s="6"/>
      <c r="L14" s="6"/>
      <c r="M14" s="6"/>
      <c r="N14" s="6"/>
      <c r="O14" s="6" t="str">
        <f aca="false">IFERROR(__xludf.dummyfunction("""COMPUTED_VALUE"""),"不要")</f>
        <v>不要</v>
      </c>
      <c r="P14" s="6"/>
      <c r="Q14" s="6"/>
      <c r="R14" s="6"/>
      <c r="S14" s="6" t="str">
        <f aca="false">IFERROR(__xludf.dummyfunction("""COMPUTED_VALUE"""),"家具家電付き社宅")</f>
        <v>家具家電付き社宅</v>
      </c>
      <c r="T14" s="6" t="str">
        <f aca="false">IFERROR(__xludf.dummyfunction("""COMPUTED_VALUE"""),"利用する")</f>
        <v>利用する</v>
      </c>
      <c r="U14" s="6" t="str">
        <f aca="false">IFERROR(__xludf.dummyfunction("""COMPUTED_VALUE"""),"1")</f>
        <v>1</v>
      </c>
      <c r="V14" s="6" t="str">
        <f aca="false">IFERROR(__xludf.dummyfunction("""COMPUTED_VALUE"""),"徒歩, 自動車, 自転車")</f>
        <v>徒歩, 自動車, 自転車</v>
      </c>
      <c r="W14" s="6" t="str">
        <f aca="false">IFERROR(__xludf.dummyfunction("""COMPUTED_VALUE"""),"～30分以内")</f>
        <v>～30分以内</v>
      </c>
      <c r="X14" s="6" t="str">
        <f aca="false">IFERROR(__xludf.dummyfunction("""COMPUTED_VALUE"""),"株式会社ビーネックステクノロジーズの社宅")</f>
        <v>株式会社ビーネックステクノロジーズの社宅</v>
      </c>
      <c r="Y14" s="6" t="str">
        <f aca="false">IFERROR(__xludf.dummyfunction("""COMPUTED_VALUE"""),"1")</f>
        <v>1</v>
      </c>
      <c r="Z14" s="6" t="str">
        <f aca="false">IFERROR(__xludf.dummyfunction("""COMPUTED_VALUE"""),"希望しない")</f>
        <v>希望しない</v>
      </c>
      <c r="AA14" s="6" t="str">
        <f aca="false">IFERROR(__xludf.dummyfunction("""COMPUTED_VALUE"""),"家族")</f>
        <v>家族</v>
      </c>
      <c r="AB14" s="6" t="str">
        <f aca="false">IFERROR(__xludf.dummyfunction("""COMPUTED_VALUE"""),"1")</f>
        <v>1</v>
      </c>
      <c r="AC14" s="6" t="str">
        <f aca="false">IFERROR(__xludf.dummyfunction("""COMPUTED_VALUE"""),"1")</f>
        <v>1</v>
      </c>
      <c r="AD14" s="6"/>
      <c r="AE14" s="6" t="str">
        <f aca="false">IFERROR(__xludf.dummyfunction("""COMPUTED_VALUE"""),"確認しました。")</f>
        <v>確認しました。</v>
      </c>
      <c r="AF14" s="6" t="str">
        <f aca="false">IFERROR(__xludf.dummyfunction("""COMPUTED_VALUE"""),"確認しました。")</f>
        <v>確認しました。</v>
      </c>
      <c r="AG14" s="6" t="str">
        <f aca="false">IFERROR(__xludf.dummyfunction("""COMPUTED_VALUE"""),"確認しました")</f>
        <v>確認しました</v>
      </c>
      <c r="AH14" s="6"/>
      <c r="AI14" s="6" t="str">
        <f aca="false">IFERROR(__xludf.dummyfunction("""COMPUTED_VALUE"""),"【進捗ID】
1
【氏名】
1
【携帯番号】
1
【現在お住まいの住所】
1
【入居希望日】
2025年10月10日
【引越し業者手配】
不要
【性別】
女性
【国籍】
日本
【荷物量】
段ボール数: 
家電: 
家具: 
その他: 
【駐車場手配】
不要
【車両情報】
車種: 
ナンバープレート: 
色: 
【社宅希望タイプ】
家具家電付き社宅
【レンタル家具】
希望の有無: 利用する
レンタル希望品目: 1
【通勤方法】
徒歩, 自動車, 自転車
【通勤希望時間】
～30分"&amp;"以内
【現在のお住まいの物件】
株式会社ビーネックステクノロジーズの社宅
【レンタル家具利用状況】
1
【ライフライン】
希望しない
【入居形態】
家族
【同居者情報】
1
【緊急連絡先】
1
【ご要望】
")</f>
        <v>【進捗ID】
1
【氏名】
1
【携帯番号】
1
【現在お住まいの住所】
1
【入居希望日】
2025年10月10日
【引越し業者手配】
不要
【性別】
女性
【国籍】
日本
【荷物量】
段ボール数: 
家電: 
家具: 
その他: 
【駐車場手配】
不要
【車両情報】
車種: 
ナンバープレート: 
色: 
【社宅希望タイプ】
家具家電付き社宅
【レンタル家具】
希望の有無: 利用する
レンタル希望品目: 1
【通勤方法】
徒歩, 自動車, 自転車
【通勤希望時間】
～30分以内
【現在のお住まいの物件】
株式会社ビーネックステクノロジーズの社宅
【レンタル家具利用状況】
1
【ライフライン】
希望しない
【入居形態】
家族
【同居者情報】
1
【緊急連絡先】
1
【ご要望】
</v>
      </c>
      <c r="AJ14" s="6" t="str">
        <v/>
      </c>
      <c r="AK14" s="6" t="str">
        <v/>
      </c>
      <c r="AL14" s="6" t="str">
        <v/>
      </c>
      <c r="AM14" s="6" t="str">
        <v/>
      </c>
      <c r="AN14" s="6" t="n">
        <f aca="false">FALSE()</f>
        <v>0</v>
      </c>
    </row>
    <row r="15" customFormat="false" ht="52.5" hidden="true" customHeight="true" outlineLevel="0" collapsed="false">
      <c r="A15" s="6" t="str">
        <f aca="false">IFERROR(__xludf.dummyfunction("""COMPUTED_VALUE"""),"2025/10/09 17:07:50")</f>
        <v>2025/10/09 17:07:50</v>
      </c>
      <c r="B15" s="6" t="str">
        <f aca="false">IFERROR(__xludf.dummyfunction("""COMPUTED_VALUE"""),"kana.osumi@shataku.com")</f>
        <v>kana.osumi@shataku.com</v>
      </c>
      <c r="C15" s="6" t="str">
        <f aca="false">IFERROR(__xludf.dummyfunction("""COMPUTED_VALUE"""),"1")</f>
        <v>1</v>
      </c>
      <c r="D15" s="6"/>
      <c r="E15" s="6" t="str">
        <f aca="false">IFERROR(__xludf.dummyfunction("""COMPUTED_VALUE"""),"1")</f>
        <v>1</v>
      </c>
      <c r="F15" s="6" t="str">
        <f aca="false">IFERROR(__xludf.dummyfunction("""COMPUTED_VALUE"""),"1")</f>
        <v>1</v>
      </c>
      <c r="G15" s="6" t="str">
        <f aca="false">IFERROR(__xludf.dummyfunction("""COMPUTED_VALUE"""),"2025/10/15")</f>
        <v>2025/10/15</v>
      </c>
      <c r="H15" s="6" t="str">
        <f aca="false">IFERROR(__xludf.dummyfunction("""COMPUTED_VALUE"""),"必要")</f>
        <v>必要</v>
      </c>
      <c r="I15" s="6" t="str">
        <f aca="false">IFERROR(__xludf.dummyfunction("""COMPUTED_VALUE"""),"女性")</f>
        <v>女性</v>
      </c>
      <c r="J15" s="6" t="str">
        <f aca="false">IFERROR(__xludf.dummyfunction("""COMPUTED_VALUE"""),"日本")</f>
        <v>日本</v>
      </c>
      <c r="K15" s="6" t="str">
        <f aca="false">IFERROR(__xludf.dummyfunction("""COMPUTED_VALUE"""),"1")</f>
        <v>1</v>
      </c>
      <c r="L15" s="6" t="str">
        <f aca="false">IFERROR(__xludf.dummyfunction("""COMPUTED_VALUE"""),"1")</f>
        <v>1</v>
      </c>
      <c r="M15" s="6" t="str">
        <f aca="false">IFERROR(__xludf.dummyfunction("""COMPUTED_VALUE"""),"1")</f>
        <v>1</v>
      </c>
      <c r="N15" s="6"/>
      <c r="O15" s="6" t="str">
        <f aca="false">IFERROR(__xludf.dummyfunction("""COMPUTED_VALUE"""),"不要")</f>
        <v>不要</v>
      </c>
      <c r="P15" s="6"/>
      <c r="Q15" s="6"/>
      <c r="R15" s="6"/>
      <c r="S15" s="6" t="str">
        <f aca="false">IFERROR(__xludf.dummyfunction("""COMPUTED_VALUE"""),"家具家電付き社宅")</f>
        <v>家具家電付き社宅</v>
      </c>
      <c r="T15" s="6" t="str">
        <f aca="false">IFERROR(__xludf.dummyfunction("""COMPUTED_VALUE"""),"利用しない")</f>
        <v>利用しない</v>
      </c>
      <c r="U15" s="6"/>
      <c r="V15" s="6" t="str">
        <f aca="false">IFERROR(__xludf.dummyfunction("""COMPUTED_VALUE"""),"徒歩")</f>
        <v>徒歩</v>
      </c>
      <c r="W15" s="6" t="str">
        <f aca="false">IFERROR(__xludf.dummyfunction("""COMPUTED_VALUE"""),"～45分以内")</f>
        <v>～45分以内</v>
      </c>
      <c r="X15" s="6" t="str">
        <f aca="false">IFERROR(__xludf.dummyfunction("""COMPUTED_VALUE"""),"ご自身で契約中の物件")</f>
        <v>ご自身で契約中の物件</v>
      </c>
      <c r="Y15" s="6"/>
      <c r="Z15" s="6" t="str">
        <f aca="false">IFERROR(__xludf.dummyfunction("""COMPUTED_VALUE"""),"希望しない")</f>
        <v>希望しない</v>
      </c>
      <c r="AA15" s="6" t="str">
        <f aca="false">IFERROR(__xludf.dummyfunction("""COMPUTED_VALUE"""),"単身")</f>
        <v>単身</v>
      </c>
      <c r="AB15" s="6"/>
      <c r="AC15" s="6" t="str">
        <f aca="false">IFERROR(__xludf.dummyfunction("""COMPUTED_VALUE"""),"o")</f>
        <v>o</v>
      </c>
      <c r="AD15" s="6"/>
      <c r="AE15" s="6" t="str">
        <f aca="false">IFERROR(__xludf.dummyfunction("""COMPUTED_VALUE"""),"確認しました。")</f>
        <v>確認しました。</v>
      </c>
      <c r="AF15" s="6" t="str">
        <f aca="false">IFERROR(__xludf.dummyfunction("""COMPUTED_VALUE"""),"確認しました。")</f>
        <v>確認しました。</v>
      </c>
      <c r="AG15" s="6" t="str">
        <f aca="false">IFERROR(__xludf.dummyfunction("""COMPUTED_VALUE"""),"確認しました")</f>
        <v>確認しました</v>
      </c>
      <c r="AH15" s="6"/>
      <c r="AI15" s="6" t="str">
        <f aca="false">IFERROR(__xludf.dummyfunction("""COMPUTED_VALUE"""),"【進捗ID】
1
【氏名】
1
【携帯番号】
1
【現在お住まいの住所】
1
【入居希望日】
2025年10月15日
【引越し業者手配】
必要
【性別】
女性
【国籍】
日本
【荷物量】
段ボール数: 1
家電: 1
家具: 1
その他: 
【駐車場手配】
不要
【車両情報】
車種: 
ナンバープレート: 
色: 
【社宅希望タイプ】
家具家電付き社宅
【レンタル家具】
希望の有無: 利用しない
レンタル希望品目: 
【通勤方法】
徒歩
【通勤希望時間】
～45分以内
【現在"&amp;"のお住まいの物件】
ご自身で契約中の物件
【レンタル家具利用状況】
【ライフライン】
希望しない
【入居形態】
単身
【同居者情報】
【緊急連絡先】
o
【ご要望】
")</f>
        <v>【進捗ID】
1
【氏名】
1
【携帯番号】
1
【現在お住まいの住所】
1
【入居希望日】
2025年10月15日
【引越し業者手配】
必要
【性別】
女性
【国籍】
日本
【荷物量】
段ボール数: 1
家電: 1
家具: 1
その他: 
【駐車場手配】
不要
【車両情報】
車種: 
ナンバープレート: 
色: 
【社宅希望タイプ】
家具家電付き社宅
【レンタル家具】
希望の有無: 利用しない
レンタル希望品目: 
【通勤方法】
徒歩
【通勤希望時間】
～45分以内
【現在のお住まいの物件】
ご自身で契約中の物件
【レンタル家具利用状況】
【ライフライン】
希望しない
【入居形態】
単身
【同居者情報】
【緊急連絡先】
o
【ご要望】
</v>
      </c>
      <c r="AJ15" s="6" t="str">
        <v/>
      </c>
      <c r="AK15" s="6" t="str">
        <v/>
      </c>
      <c r="AL15" s="6" t="str">
        <v/>
      </c>
      <c r="AM15" s="6" t="str">
        <v/>
      </c>
      <c r="AN15" s="6" t="n">
        <f aca="false">FALSE()</f>
        <v>0</v>
      </c>
    </row>
    <row r="16" customFormat="false" ht="52.5" hidden="true" customHeight="true" outlineLevel="0" collapsed="false">
      <c r="A16" s="6" t="str">
        <f aca="false">IFERROR(__xludf.dummyfunction("""COMPUTED_VALUE"""),"2025/12/05 11:18:46")</f>
        <v>2025/12/05 11:18:46</v>
      </c>
      <c r="B16" s="6" t="str">
        <f aca="false">IFERROR(__xludf.dummyfunction("""COMPUTED_VALUE"""),"kana.osumi@shataku.com")</f>
        <v>kana.osumi@shataku.com</v>
      </c>
      <c r="C16" s="6" t="str">
        <f aca="false">IFERROR(__xludf.dummyfunction("""COMPUTED_VALUE"""),"11111")</f>
        <v>11111</v>
      </c>
      <c r="D16" s="6"/>
      <c r="E16" s="6" t="str">
        <f aca="false">IFERROR(__xludf.dummyfunction("""COMPUTED_VALUE"""),"09061695555")</f>
        <v>09061695555</v>
      </c>
      <c r="F16" s="6" t="str">
        <f aca="false">IFERROR(__xludf.dummyfunction("""COMPUTED_VALUE"""),"〒105-0003 東京都港区西新橋1丁目24-16 平和ビル9F")</f>
        <v>〒105-0003 東京都港区西新橋1丁目24-16 平和ビル9F</v>
      </c>
      <c r="G16" s="6" t="str">
        <f aca="false">IFERROR(__xludf.dummyfunction("""COMPUTED_VALUE"""),"2025/12/20")</f>
        <v>2025/12/20</v>
      </c>
      <c r="H16" s="6" t="str">
        <f aca="false">IFERROR(__xludf.dummyfunction("""COMPUTED_VALUE"""),"必要")</f>
        <v>必要</v>
      </c>
      <c r="I16" s="6" t="str">
        <f aca="false">IFERROR(__xludf.dummyfunction("""COMPUTED_VALUE"""),"女性")</f>
        <v>女性</v>
      </c>
      <c r="J16" s="6" t="str">
        <f aca="false">IFERROR(__xludf.dummyfunction("""COMPUTED_VALUE"""),"日本")</f>
        <v>日本</v>
      </c>
      <c r="K16" s="6" t="str">
        <f aca="false">IFERROR(__xludf.dummyfunction("""COMPUTED_VALUE"""),"25")</f>
        <v>25</v>
      </c>
      <c r="L16" s="6" t="str">
        <f aca="false">IFERROR(__xludf.dummyfunction("""COMPUTED_VALUE"""),"冷蔵庫単身用(2ドア)　W48cm H134cm D58cm
テレビ40型　W111cm H72cm D12cm")</f>
        <v>冷蔵庫単身用(2ドア)　W48cm H134cm D58cm
テレビ40型　W111cm H72cm D12cm</v>
      </c>
      <c r="M16" s="6" t="str">
        <f aca="false">IFERROR(__xludf.dummyfunction("""COMPUTED_VALUE"""),"布団セット1式(敷布団、掛布団、毛布、枕)")</f>
        <v>布団セット1式(敷布団、掛布団、毛布、枕)</v>
      </c>
      <c r="N16" s="6" t="str">
        <f aca="false">IFERROR(__xludf.dummyfunction("""COMPUTED_VALUE"""),"自転車")</f>
        <v>自転車</v>
      </c>
      <c r="O16" s="6" t="str">
        <f aca="false">IFERROR(__xludf.dummyfunction("""COMPUTED_VALUE"""),"必要")</f>
        <v>必要</v>
      </c>
      <c r="P16" s="6" t="str">
        <f aca="false">IFERROR(__xludf.dummyfunction("""COMPUTED_VALUE"""),"カローラ")</f>
        <v>カローラ</v>
      </c>
      <c r="Q16" s="6" t="str">
        <f aca="false">IFERROR(__xludf.dummyfunction("""COMPUTED_VALUE"""),"あ12-34")</f>
        <v>あ12-34</v>
      </c>
      <c r="R16" s="6" t="str">
        <f aca="false">IFERROR(__xludf.dummyfunction("""COMPUTED_VALUE"""),"赤")</f>
        <v>赤</v>
      </c>
      <c r="S16" s="6" t="str">
        <f aca="false">IFERROR(__xludf.dummyfunction("""COMPUTED_VALUE"""),"家具家電なし社宅")</f>
        <v>家具家電なし社宅</v>
      </c>
      <c r="T16" s="6" t="str">
        <f aca="false">IFERROR(__xludf.dummyfunction("""COMPUTED_VALUE"""),"利用する")</f>
        <v>利用する</v>
      </c>
      <c r="U16" s="6" t="str">
        <f aca="false">IFERROR(__xludf.dummyfunction("""COMPUTED_VALUE"""),"炊飯器")</f>
        <v>炊飯器</v>
      </c>
      <c r="V16" s="6" t="str">
        <f aca="false">IFERROR(__xludf.dummyfunction("""COMPUTED_VALUE"""),"徒歩")</f>
        <v>徒歩</v>
      </c>
      <c r="W16" s="6" t="str">
        <f aca="false">IFERROR(__xludf.dummyfunction("""COMPUTED_VALUE"""),"～30分以内")</f>
        <v>～30分以内</v>
      </c>
      <c r="X16" s="6" t="str">
        <f aca="false">IFERROR(__xludf.dummyfunction("""COMPUTED_VALUE"""),"ご自身で契約中の物件")</f>
        <v>ご自身で契約中の物件</v>
      </c>
      <c r="Y16" s="6"/>
      <c r="Z16" s="6" t="str">
        <f aca="false">IFERROR(__xludf.dummyfunction("""COMPUTED_VALUE"""),"希望する")</f>
        <v>希望する</v>
      </c>
      <c r="AA16" s="6" t="str">
        <f aca="false">IFERROR(__xludf.dummyfunction("""COMPUTED_VALUE"""),"単身")</f>
        <v>単身</v>
      </c>
      <c r="AB16" s="6"/>
      <c r="AC16" s="6" t="str">
        <f aca="false">IFERROR(__xludf.dummyfunction("""COMPUTED_VALUE"""),"住所：
氏名：
フリガナ：
生年月日：
電話番号：
続柄：")</f>
        <v>住所：
氏名：
フリガナ：
生年月日：
電話番号：
続柄：</v>
      </c>
      <c r="AD16" s="6"/>
      <c r="AE16" s="6" t="str">
        <f aca="false">IFERROR(__xludf.dummyfunction("""COMPUTED_VALUE"""),"確認しました。")</f>
        <v>確認しました。</v>
      </c>
      <c r="AF16" s="6" t="str">
        <f aca="false">IFERROR(__xludf.dummyfunction("""COMPUTED_VALUE"""),"確認しました。")</f>
        <v>確認しました。</v>
      </c>
      <c r="AG16" s="6" t="str">
        <f aca="false">IFERROR(__xludf.dummyfunction("""COMPUTED_VALUE"""),"確認しました")</f>
        <v>確認しました</v>
      </c>
      <c r="AH16" s="6"/>
      <c r="AI16" s="6" t="str">
        <f aca="false">IFERROR(__xludf.dummyfunction("""COMPUTED_VALUE"""),"【進捗ID】
11111
【氏名】
大角可奈
【携帯番号】
09061695555
【現在お住まいの住所】
〒105-0003 東京都港区西新橋1丁目24-16 平和ビル9F
【入居希望日】
2025年12月20日
【引越し業者手配】
必要
【性別】
女性
【国籍】
日本
【荷物量】
段ボール数: 25
家電: 冷蔵庫単身用(2ドア)　W48cm H134cm D58cm
テレビ40型　W111cm H72cm D12cm
家具: 布団セット1式(敷布団、掛布団、毛布、枕)
その他: 自転"&amp;"車
【駐車場手配】
必要
【車両情報】
車種: カローラ
ナンバープレート: あ12-34
色: 赤
【社宅希望タイプ】
家具家電なし社宅
【レンタル家具】
希望の有無: 利用する
レンタル希望品目: 炊飯器
【通勤方法】
徒歩
【通勤希望時間】
～30分以内
【現在のお住まいの物件】
ご自身で契約中の物件
【レンタル家具利用状況】
【ライフライン】
希望する
【入居形態】
単身
【同居者情報】
【緊急連絡先】
住所：
氏名：
フリガナ：
生年月日：
電話番号：
続柄：
【ご"&amp;"要望】
")</f>
        <v>【進捗ID】
11111
【氏名】
大角可奈
【携帯番号】
09061695555
【現在お住まいの住所】
〒105-0003 東京都港区西新橋1丁目24-16 平和ビル9F
【入居希望日】
2025年12月20日
【引越し業者手配】
必要
【性別】
女性
【国籍】
日本
【荷物量】
段ボール数: 25
家電: 冷蔵庫単身用(2ドア)　W48cm H134cm D58cm
テレビ40型　W111cm H72cm D12cm
家具: 布団セット1式(敷布団、掛布団、毛布、枕)
その他: 自転車
【駐車場手配】
必要
【車両情報】
車種: カローラ
ナンバープレート: あ12-34
色: 赤
【社宅希望タイプ】
家具家電なし社宅
【レンタル家具】
希望の有無: 利用する
レンタル希望品目: 炊飯器
【通勤方法】
徒歩
【通勤希望時間】
～30分以内
【現在のお住まいの物件】
ご自身で契約中の物件
【レンタル家具利用状況】
【ライフライン】
希望する
【入居形態】
単身
【同居者情報】
【緊急連絡先】
住所：
氏名：
フリガナ：
生年月日：
電話番号：
続柄：
【ご要望】
</v>
      </c>
      <c r="AJ16" s="6" t="str">
        <v/>
      </c>
      <c r="AK16" s="6" t="str">
        <v/>
      </c>
      <c r="AL16" s="6" t="str">
        <v/>
      </c>
      <c r="AM16" s="6" t="str">
        <v/>
      </c>
      <c r="AN16" s="6" t="n">
        <f aca="false">FALSE()</f>
        <v>0</v>
      </c>
    </row>
    <row r="17" customFormat="false" ht="52.5" hidden="true" customHeight="true" outlineLevel="0" collapsed="false">
      <c r="A17" s="6" t="str">
        <f aca="false">IFERROR(__xludf.dummyfunction("""COMPUTED_VALUE"""),"2026/01/07 14:12:14")</f>
        <v>2026/01/07 14:12:14</v>
      </c>
      <c r="B17" s="6" t="str">
        <f aca="false">IFERROR(__xludf.dummyfunction("""COMPUTED_VALUE"""),"osumi.kana@shataku.com")</f>
        <v>osumi.kana@shataku.com</v>
      </c>
      <c r="C17" s="6" t="str">
        <f aca="false">IFERROR(__xludf.dummyfunction("""COMPUTED_VALUE"""),"11111")</f>
        <v>11111</v>
      </c>
      <c r="D17" s="6"/>
      <c r="E17" s="6" t="str">
        <f aca="false">IFERROR(__xludf.dummyfunction("""COMPUTED_VALUE"""),"07013293728")</f>
        <v>07013293728</v>
      </c>
      <c r="F17" s="6" t="str">
        <f aca="false">IFERROR(__xludf.dummyfunction("""COMPUTED_VALUE"""),"住所")</f>
        <v>住所</v>
      </c>
      <c r="G17" s="6" t="str">
        <f aca="false">IFERROR(__xludf.dummyfunction("""COMPUTED_VALUE"""),"2026/01/08")</f>
        <v>2026/01/08</v>
      </c>
      <c r="H17" s="6" t="str">
        <f aca="false">IFERROR(__xludf.dummyfunction("""COMPUTED_VALUE"""),"必要")</f>
        <v>必要</v>
      </c>
      <c r="I17" s="6" t="str">
        <f aca="false">IFERROR(__xludf.dummyfunction("""COMPUTED_VALUE"""),"男性")</f>
        <v>男性</v>
      </c>
      <c r="J17" s="6" t="str">
        <f aca="false">IFERROR(__xludf.dummyfunction("""COMPUTED_VALUE"""),"日本")</f>
        <v>日本</v>
      </c>
      <c r="K17" s="6" t="str">
        <f aca="false">IFERROR(__xludf.dummyfunction("""COMPUTED_VALUE"""),"10")</f>
        <v>10</v>
      </c>
      <c r="L17" s="6" t="str">
        <f aca="false">IFERROR(__xludf.dummyfunction("""COMPUTED_VALUE"""),"冷蔵庫　洗濯機")</f>
        <v>冷蔵庫　洗濯機</v>
      </c>
      <c r="M17" s="6" t="str">
        <f aca="false">IFERROR(__xludf.dummyfunction("""COMPUTED_VALUE"""),"机")</f>
        <v>机</v>
      </c>
      <c r="N17" s="6" t="str">
        <f aca="false">IFERROR(__xludf.dummyfunction("""COMPUTED_VALUE"""),"自転車")</f>
        <v>自転車</v>
      </c>
      <c r="O17" s="6" t="str">
        <f aca="false">IFERROR(__xludf.dummyfunction("""COMPUTED_VALUE"""),"必要")</f>
        <v>必要</v>
      </c>
      <c r="P17" s="6" t="str">
        <f aca="false">IFERROR(__xludf.dummyfunction("""COMPUTED_VALUE"""),"カローラ")</f>
        <v>カローラ</v>
      </c>
      <c r="Q17" s="6" t="str">
        <f aca="false">IFERROR(__xludf.dummyfunction("""COMPUTED_VALUE"""),"あ12-34")</f>
        <v>あ12-34</v>
      </c>
      <c r="R17" s="6" t="str">
        <f aca="false">IFERROR(__xludf.dummyfunction("""COMPUTED_VALUE"""),"しろ")</f>
        <v>しろ</v>
      </c>
      <c r="S17" s="6" t="str">
        <f aca="false">IFERROR(__xludf.dummyfunction("""COMPUTED_VALUE"""),"家具家電なし社宅")</f>
        <v>家具家電なし社宅</v>
      </c>
      <c r="T17" s="6" t="str">
        <f aca="false">IFERROR(__xludf.dummyfunction("""COMPUTED_VALUE"""),"利用する")</f>
        <v>利用する</v>
      </c>
      <c r="U17" s="6" t="str">
        <f aca="false">IFERROR(__xludf.dummyfunction("""COMPUTED_VALUE"""),"なし")</f>
        <v>なし</v>
      </c>
      <c r="V17" s="6" t="str">
        <f aca="false">IFERROR(__xludf.dummyfunction("""COMPUTED_VALUE"""),"徒歩")</f>
        <v>徒歩</v>
      </c>
      <c r="W17" s="6" t="str">
        <f aca="false">IFERROR(__xludf.dummyfunction("""COMPUTED_VALUE"""),"～30分以内")</f>
        <v>～30分以内</v>
      </c>
      <c r="X17" s="6" t="str">
        <f aca="false">IFERROR(__xludf.dummyfunction("""COMPUTED_VALUE"""),"株式会社ビーネックステクノロジーズの社宅")</f>
        <v>株式会社ビーネックステクノロジーズの社宅</v>
      </c>
      <c r="Y17" s="6" t="str">
        <f aca="false">IFERROR(__xludf.dummyfunction("""COMPUTED_VALUE"""),"利用なし")</f>
        <v>利用なし</v>
      </c>
      <c r="Z17" s="6" t="str">
        <f aca="false">IFERROR(__xludf.dummyfunction("""COMPUTED_VALUE"""),"希望する")</f>
        <v>希望する</v>
      </c>
      <c r="AA17" s="6" t="str">
        <f aca="false">IFERROR(__xludf.dummyfunction("""COMPUTED_VALUE"""),"家族")</f>
        <v>家族</v>
      </c>
      <c r="AB17" s="6" t="str">
        <f aca="false">IFERROR(__xludf.dummyfunction("""COMPUTED_VALUE"""),"氏名：
フリガナ：
生年月日：
携帯番号：
続柄：")</f>
        <v>氏名：
フリガナ：
生年月日：
携帯番号：
続柄：</v>
      </c>
      <c r="AC17" s="6" t="str">
        <f aca="false">IFERROR(__xludf.dummyfunction("""COMPUTED_VALUE"""),"住所：
氏名：
フリガナ：
生年月日：
電話番号：
続柄：")</f>
        <v>住所：
氏名：
フリガナ：
生年月日：
電話番号：
続柄：</v>
      </c>
      <c r="AD17" s="6" t="str">
        <f aca="false">IFERROR(__xludf.dummyfunction("""COMPUTED_VALUE"""),"BT別")</f>
        <v>BT別</v>
      </c>
      <c r="AE17" s="6" t="str">
        <f aca="false">IFERROR(__xludf.dummyfunction("""COMPUTED_VALUE"""),"確認しました。")</f>
        <v>確認しました。</v>
      </c>
      <c r="AF17" s="6" t="str">
        <f aca="false">IFERROR(__xludf.dummyfunction("""COMPUTED_VALUE"""),"確認しました。")</f>
        <v>確認しました。</v>
      </c>
      <c r="AG17" s="6" t="str">
        <f aca="false">IFERROR(__xludf.dummyfunction("""COMPUTED_VALUE"""),"確認しました")</f>
        <v>確認しました</v>
      </c>
      <c r="AH17" s="6"/>
      <c r="AI17" s="6" t="str">
        <f aca="false">IFERROR(__xludf.dummyfunction("""COMPUTED_VALUE"""),"【進捗ID】
11111
【氏名】
大角可奈
【携帯番号】
07013293728
【現在お住まいの住所】
住所
【入居希望日】
2026年01月08日
【引越し業者手配】
必要
【性別】
男性
【国籍】
日本
【荷物量】
段ボール数: 10
家電: 冷蔵庫　洗濯機
家具: 机
その他: 自転車
【駐車場手配】
必要
【車両情報】
車種: カローラ
ナンバープレート: あ12-34
色: しろ
【社宅希望タイプ】
家具家電なし社宅
【レンタル家具】
希望の有無: 利用する
レンタル"&amp;"希望品目: なし
【通勤方法】
徒歩
【通勤希望時間】
～30分以内
【現在のお住まいの物件】
株式会社ビーネックステクノロジーズの社宅
【レンタル家具利用状況】
利用なし
【ライフライン】
希望する
【入居形態】
家族
【同居者情報】
氏名：
フリガナ：
生年月日：
携帯番号：
続柄：
【緊急連絡先】
住所：
氏名：
フリガナ：
生年月日：
電話番号：
続柄：
【ご要望】
BT別")</f>
        <v>【進捗ID】
11111
【氏名】
大角可奈
【携帯番号】
07013293728
【現在お住まいの住所】
住所
【入居希望日】
2026年01月08日
【引越し業者手配】
必要
【性別】
男性
【国籍】
日本
【荷物量】
段ボール数: 10
家電: 冷蔵庫　洗濯機
家具: 机
その他: 自転車
【駐車場手配】
必要
【車両情報】
車種: カローラ
ナンバープレート: あ12-34
色: しろ
【社宅希望タイプ】
家具家電なし社宅
【レンタル家具】
希望の有無: 利用する
レンタル希望品目: なし
【通勤方法】
徒歩
【通勤希望時間】
～30分以内
【現在のお住まいの物件】
株式会社ビーネックステクノロジーズの社宅
【レンタル家具利用状況】
利用なし
【ライフライン】
希望する
【入居形態】
家族
【同居者情報】
氏名：
フリガナ：
生年月日：
携帯番号：
続柄：
【緊急連絡先】
住所：
氏名：
フリガナ：
生年月日：
電話番号：
続柄：
【ご要望】
BT別</v>
      </c>
      <c r="AJ17" s="6" t="str">
        <v/>
      </c>
      <c r="AK17" s="6" t="str">
        <v/>
      </c>
      <c r="AL17" s="6" t="str">
        <v/>
      </c>
      <c r="AM17" s="6" t="str">
        <v/>
      </c>
      <c r="AN17" s="6" t="n">
        <f aca="false">FALSE()</f>
        <v>0</v>
      </c>
    </row>
    <row r="18" customFormat="false" ht="52.5" hidden="true" customHeight="true" outlineLevel="0" collapsed="false">
      <c r="A18" s="6" t="str">
        <f aca="false">IFERROR(__xludf.dummyfunction("""COMPUTED_VALUE"""),"2026/01/07 23:09:10")</f>
        <v>2026/01/07 23:09:10</v>
      </c>
      <c r="B18" s="6" t="str">
        <f aca="false">IFERROR(__xludf.dummyfunction("""COMPUTED_VALUE"""),"kana.osumi@shataku.com")</f>
        <v>kana.osumi@shataku.com</v>
      </c>
      <c r="C18" s="6" t="str">
        <f aca="false">IFERROR(__xludf.dummyfunction("""COMPUTED_VALUE"""),"1111")</f>
        <v>1111</v>
      </c>
      <c r="D18" s="6"/>
      <c r="E18" s="6" t="str">
        <f aca="false">IFERROR(__xludf.dummyfunction("""COMPUTED_VALUE"""),"07013293728")</f>
        <v>07013293728</v>
      </c>
      <c r="F18" s="6" t="str">
        <f aca="false">IFERROR(__xludf.dummyfunction("""COMPUTED_VALUE"""),"〒179-0083 東京都練馬区平和台3-15-1")</f>
        <v>〒179-0083 東京都練馬区平和台3-15-1</v>
      </c>
      <c r="G18" s="6" t="str">
        <f aca="false">IFERROR(__xludf.dummyfunction("""COMPUTED_VALUE"""),"2026/01/10")</f>
        <v>2026/01/10</v>
      </c>
      <c r="H18" s="6" t="str">
        <f aca="false">IFERROR(__xludf.dummyfunction("""COMPUTED_VALUE"""),"必要")</f>
        <v>必要</v>
      </c>
      <c r="I18" s="6" t="str">
        <f aca="false">IFERROR(__xludf.dummyfunction("""COMPUTED_VALUE"""),"女性")</f>
        <v>女性</v>
      </c>
      <c r="J18" s="6" t="str">
        <f aca="false">IFERROR(__xludf.dummyfunction("""COMPUTED_VALUE"""),"日本")</f>
        <v>日本</v>
      </c>
      <c r="K18" s="6" t="str">
        <f aca="false">IFERROR(__xludf.dummyfunction("""COMPUTED_VALUE"""),"10")</f>
        <v>10</v>
      </c>
      <c r="L18" s="6" t="str">
        <f aca="false">IFERROR(__xludf.dummyfunction("""COMPUTED_VALUE"""),"洗濯機")</f>
        <v>洗濯機</v>
      </c>
      <c r="M18" s="6" t="str">
        <f aca="false">IFERROR(__xludf.dummyfunction("""COMPUTED_VALUE"""),"ベッド")</f>
        <v>ベッド</v>
      </c>
      <c r="N18" s="6" t="str">
        <f aca="false">IFERROR(__xludf.dummyfunction("""COMPUTED_VALUE"""),"自転車")</f>
        <v>自転車</v>
      </c>
      <c r="O18" s="6" t="str">
        <f aca="false">IFERROR(__xludf.dummyfunction("""COMPUTED_VALUE"""),"必要")</f>
        <v>必要</v>
      </c>
      <c r="P18" s="6" t="str">
        <f aca="false">IFERROR(__xludf.dummyfunction("""COMPUTED_VALUE"""),"プリウス")</f>
        <v>プリウス</v>
      </c>
      <c r="Q18" s="6" t="str">
        <f aca="false">IFERROR(__xludf.dummyfunction("""COMPUTED_VALUE"""),"あ12-34")</f>
        <v>あ12-34</v>
      </c>
      <c r="R18" s="6" t="str">
        <f aca="false">IFERROR(__xludf.dummyfunction("""COMPUTED_VALUE"""),"黒")</f>
        <v>黒</v>
      </c>
      <c r="S18" s="6" t="str">
        <f aca="false">IFERROR(__xludf.dummyfunction("""COMPUTED_VALUE"""),"家具家電付き社宅")</f>
        <v>家具家電付き社宅</v>
      </c>
      <c r="T18" s="6" t="str">
        <f aca="false">IFERROR(__xludf.dummyfunction("""COMPUTED_VALUE"""),"利用しない")</f>
        <v>利用しない</v>
      </c>
      <c r="U18" s="6"/>
      <c r="V18" s="6" t="str">
        <f aca="false">IFERROR(__xludf.dummyfunction("""COMPUTED_VALUE"""),"徒歩")</f>
        <v>徒歩</v>
      </c>
      <c r="W18" s="6"/>
      <c r="X18" s="6" t="str">
        <f aca="false">IFERROR(__xludf.dummyfunction("""COMPUTED_VALUE"""),"実家")</f>
        <v>実家</v>
      </c>
      <c r="Y18" s="6"/>
      <c r="Z18" s="6" t="str">
        <f aca="false">IFERROR(__xludf.dummyfunction("""COMPUTED_VALUE"""),"希望する")</f>
        <v>希望する</v>
      </c>
      <c r="AA18" s="6" t="str">
        <f aca="false">IFERROR(__xludf.dummyfunction("""COMPUTED_VALUE"""),"単身")</f>
        <v>単身</v>
      </c>
      <c r="AB18" s="6"/>
      <c r="AC18" s="6" t="str">
        <f aca="false">IFERROR(__xludf.dummyfunction("""COMPUTED_VALUE"""),"住所：
氏名：
フリガナ：
生年月日：
電話番号：
続柄：")</f>
        <v>住所：
氏名：
フリガナ：
生年月日：
電話番号：
続柄：</v>
      </c>
      <c r="AD18" s="6" t="str">
        <f aca="false">IFERROR(__xludf.dummyfunction("""COMPUTED_VALUE"""),"エアコン")</f>
        <v>エアコン</v>
      </c>
      <c r="AE18" s="6" t="str">
        <f aca="false">IFERROR(__xludf.dummyfunction("""COMPUTED_VALUE"""),"確認しました。")</f>
        <v>確認しました。</v>
      </c>
      <c r="AF18" s="6" t="str">
        <f aca="false">IFERROR(__xludf.dummyfunction("""COMPUTED_VALUE"""),"確認しました。")</f>
        <v>確認しました。</v>
      </c>
      <c r="AG18" s="6" t="str">
        <f aca="false">IFERROR(__xludf.dummyfunction("""COMPUTED_VALUE"""),"確認しました")</f>
        <v>確認しました</v>
      </c>
      <c r="AH18" s="6" t="str">
        <f aca="false">IFERROR(__xludf.dummyfunction("""COMPUTED_VALUE"""),"【進捗ID】
1111
【氏名】
大角可奈
【携帯番号】
07013293728
【現在お住まいの住所】
〒179-0083 東京都練馬区平和台3-15-1
【入居希望日】
2026年01月10日
【引越し業者手配】
必要
【性別】
女性
【国籍】
日本
【荷物量】
段ボール数: 10
家電: 洗濯機
家具: ベッド
その他: 自転車
【駐車場手配】
必要
【車両情報】
車種: プリウス
ナンバープレート: あ12-34
色: 黒
【社宅希望タイプ】
家具家電付き社宅
【レンタル家"&amp;"具】
希望の有無: 利用しない
レンタル希望品目: 
【通勤方法】
徒歩
【通勤希望時間】
【現在のお住まいの物件】
実家
【レンタル家具利用状況】
【ライフライン】
希望する
【入居形態】
単身
【同居者情報】
【緊急連絡先】
住所：
氏名：
フリガナ：
生年月日：
電話番号：
続柄：
【ご要望】
エアコン")</f>
        <v>【進捗ID】
1111
【氏名】
大角可奈
【携帯番号】
07013293728
【現在お住まいの住所】
〒179-0083 東京都練馬区平和台3-15-1
【入居希望日】
2026年01月10日
【引越し業者手配】
必要
【性別】
女性
【国籍】
日本
【荷物量】
段ボール数: 10
家電: 洗濯機
家具: ベッド
その他: 自転車
【駐車場手配】
必要
【車両情報】
車種: プリウス
ナンバープレート: あ12-34
色: 黒
【社宅希望タイプ】
家具家電付き社宅
【レンタル家具】
希望の有無: 利用しない
レンタル希望品目: 
【通勤方法】
徒歩
【通勤希望時間】
【現在のお住まいの物件】
実家
【レンタル家具利用状況】
【ライフライン】
希望する
【入居形態】
単身
【同居者情報】
【緊急連絡先】
住所：
氏名：
フリガナ：
生年月日：
電話番号：
続柄：
【ご要望】
エアコン</v>
      </c>
      <c r="AI18" s="6"/>
      <c r="AJ18" s="6" t="str">
        <v/>
      </c>
      <c r="AK18" s="6" t="str">
        <v/>
      </c>
      <c r="AL18" s="6" t="str">
        <v/>
      </c>
      <c r="AM18" s="6" t="str">
        <v/>
      </c>
      <c r="AN18" s="6" t="n">
        <f aca="false">FALSE()</f>
        <v>0</v>
      </c>
    </row>
    <row r="19" customFormat="false" ht="52.5" hidden="true" customHeight="true" outlineLevel="0" collapsed="false">
      <c r="A19" s="6" t="str">
        <f aca="false">IFERROR(__xludf.dummyfunction("""COMPUTED_VALUE"""),"2026/01/07 23:21:39")</f>
        <v>2026/01/07 23:21:39</v>
      </c>
      <c r="B19" s="6" t="str">
        <f aca="false">IFERROR(__xludf.dummyfunction("""COMPUTED_VALUE"""),"kana.osumii26@gmail.com")</f>
        <v>kana.osumii26@gmail.com</v>
      </c>
      <c r="C19" s="6" t="str">
        <f aca="false">IFERROR(__xludf.dummyfunction("""COMPUTED_VALUE"""),"1111")</f>
        <v>1111</v>
      </c>
      <c r="D19" s="6"/>
      <c r="E19" s="6" t="str">
        <f aca="false">IFERROR(__xludf.dummyfunction("""COMPUTED_VALUE"""),"1")</f>
        <v>1</v>
      </c>
      <c r="F19" s="6" t="str">
        <f aca="false">IFERROR(__xludf.dummyfunction("""COMPUTED_VALUE"""),"1")</f>
        <v>1</v>
      </c>
      <c r="G19" s="6" t="str">
        <f aca="false">IFERROR(__xludf.dummyfunction("""COMPUTED_VALUE"""),"2026/01/08")</f>
        <v>2026/01/08</v>
      </c>
      <c r="H19" s="6" t="str">
        <f aca="false">IFERROR(__xludf.dummyfunction("""COMPUTED_VALUE"""),"必要")</f>
        <v>必要</v>
      </c>
      <c r="I19" s="6" t="str">
        <f aca="false">IFERROR(__xludf.dummyfunction("""COMPUTED_VALUE"""),"男性")</f>
        <v>男性</v>
      </c>
      <c r="J19" s="6" t="str">
        <f aca="false">IFERROR(__xludf.dummyfunction("""COMPUTED_VALUE"""),"日本")</f>
        <v>日本</v>
      </c>
      <c r="K19" s="6" t="str">
        <f aca="false">IFERROR(__xludf.dummyfunction("""COMPUTED_VALUE"""),"1")</f>
        <v>1</v>
      </c>
      <c r="L19" s="6" t="str">
        <f aca="false">IFERROR(__xludf.dummyfunction("""COMPUTED_VALUE"""),"1")</f>
        <v>1</v>
      </c>
      <c r="M19" s="6" t="str">
        <f aca="false">IFERROR(__xludf.dummyfunction("""COMPUTED_VALUE"""),"1")</f>
        <v>1</v>
      </c>
      <c r="N19" s="6" t="str">
        <f aca="false">IFERROR(__xludf.dummyfunction("""COMPUTED_VALUE"""),"1")</f>
        <v>1</v>
      </c>
      <c r="O19" s="6" t="str">
        <f aca="false">IFERROR(__xludf.dummyfunction("""COMPUTED_VALUE"""),"必要")</f>
        <v>必要</v>
      </c>
      <c r="P19" s="6" t="str">
        <f aca="false">IFERROR(__xludf.dummyfunction("""COMPUTED_VALUE"""),"1")</f>
        <v>1</v>
      </c>
      <c r="Q19" s="6" t="str">
        <f aca="false">IFERROR(__xludf.dummyfunction("""COMPUTED_VALUE"""),"1")</f>
        <v>1</v>
      </c>
      <c r="R19" s="6" t="str">
        <f aca="false">IFERROR(__xludf.dummyfunction("""COMPUTED_VALUE"""),"1")</f>
        <v>1</v>
      </c>
      <c r="S19" s="6" t="str">
        <f aca="false">IFERROR(__xludf.dummyfunction("""COMPUTED_VALUE"""),"家具家電付き社宅")</f>
        <v>家具家電付き社宅</v>
      </c>
      <c r="T19" s="6" t="str">
        <f aca="false">IFERROR(__xludf.dummyfunction("""COMPUTED_VALUE"""),"利用する")</f>
        <v>利用する</v>
      </c>
      <c r="U19" s="6" t="str">
        <f aca="false">IFERROR(__xludf.dummyfunction("""COMPUTED_VALUE"""),"1")</f>
        <v>1</v>
      </c>
      <c r="V19" s="6" t="str">
        <f aca="false">IFERROR(__xludf.dummyfunction("""COMPUTED_VALUE"""),"徒歩")</f>
        <v>徒歩</v>
      </c>
      <c r="W19" s="6"/>
      <c r="X19" s="6" t="str">
        <f aca="false">IFERROR(__xludf.dummyfunction("""COMPUTED_VALUE"""),"実家")</f>
        <v>実家</v>
      </c>
      <c r="Y19" s="6"/>
      <c r="Z19" s="6" t="str">
        <f aca="false">IFERROR(__xludf.dummyfunction("""COMPUTED_VALUE"""),"希望する")</f>
        <v>希望する</v>
      </c>
      <c r="AA19" s="6" t="str">
        <f aca="false">IFERROR(__xludf.dummyfunction("""COMPUTED_VALUE"""),"単身")</f>
        <v>単身</v>
      </c>
      <c r="AB19" s="6"/>
      <c r="AC19" s="6" t="str">
        <f aca="false">IFERROR(__xludf.dummyfunction("""COMPUTED_VALUE"""),"1")</f>
        <v>1</v>
      </c>
      <c r="AD19" s="6" t="str">
        <f aca="false">IFERROR(__xludf.dummyfunction("""COMPUTED_VALUE"""),"1")</f>
        <v>1</v>
      </c>
      <c r="AE19" s="6" t="str">
        <f aca="false">IFERROR(__xludf.dummyfunction("""COMPUTED_VALUE"""),"確認しました。")</f>
        <v>確認しました。</v>
      </c>
      <c r="AF19" s="6" t="str">
        <f aca="false">IFERROR(__xludf.dummyfunction("""COMPUTED_VALUE"""),"確認しました。")</f>
        <v>確認しました。</v>
      </c>
      <c r="AG19" s="6" t="str">
        <f aca="false">IFERROR(__xludf.dummyfunction("""COMPUTED_VALUE"""),"確認しました")</f>
        <v>確認しました</v>
      </c>
      <c r="AH19" s="6" t="str">
        <f aca="false">IFERROR(__xludf.dummyfunction("""COMPUTED_VALUE"""),"確認しました")</f>
        <v>確認しました</v>
      </c>
      <c r="AI19" s="6" t="str">
        <f aca="false">IFERROR(__xludf.dummyfunction("""COMPUTED_VALUE"""),"【進捗ID】
1111
【氏名】
1
【携帯番号】
1
【現在お住まいの住所】
1
【入居希望日】
2026年01月08日
【引越し業者手配】
必要
【性別】
男性
【国籍】
日本
【荷物量】
段ボール数: 1
家電: 1
家具: 1
その他: 1
【駐車場手配】
必要
【車両情報】
車種: 1
ナンバープレート: 1
色: 1
【社宅希望タイプ】
家具家電付き社宅
【レンタル家具】
希望の有無: 利用する
レンタル希望品目: 1
【通勤方法】
徒歩
【現在のお住まいの物件】
"&amp;"実家
【レンタル家具利用状況】
【ライフライン】
希望する
【入居形態】
単身
【同居者情報】
【緊急連絡先】
1
【ご要望】
1")</f>
        <v>【進捗ID】
1111
【氏名】
1
【携帯番号】
1
【現在お住まいの住所】
1
【入居希望日】
2026年01月08日
【引越し業者手配】
必要
【性別】
男性
【国籍】
日本
【荷物量】
段ボール数: 1
家電: 1
家具: 1
その他: 1
【駐車場手配】
必要
【車両情報】
車種: 1
ナンバープレート: 1
色: 1
【社宅希望タイプ】
家具家電付き社宅
【レンタル家具】
希望の有無: 利用する
レンタル希望品目: 1
【通勤方法】
徒歩
【現在のお住まいの物件】
実家
【レンタル家具利用状況】
【ライフライン】
希望する
【入居形態】
単身
【同居者情報】
【緊急連絡先】
1
【ご要望】
1</v>
      </c>
      <c r="AJ19" s="6" t="str">
        <v/>
      </c>
      <c r="AK19" s="6" t="str">
        <v/>
      </c>
      <c r="AL19" s="6" t="str">
        <v/>
      </c>
      <c r="AM19" s="6" t="str">
        <v/>
      </c>
      <c r="AN19" s="6" t="n">
        <f aca="false">FALSE()</f>
        <v>0</v>
      </c>
    </row>
    <row r="20" customFormat="false" ht="52.5" hidden="true" customHeight="true" outlineLevel="0" collapsed="false">
      <c r="A20" s="6" t="str">
        <f aca="false">IFERROR(__xludf.dummyfunction("""COMPUTED_VALUE"""),"2026/01/09 11:19:54")</f>
        <v>2026/01/09 11:19:54</v>
      </c>
      <c r="B20" s="6" t="str">
        <f aca="false">IFERROR(__xludf.dummyfunction("""COMPUTED_VALUE"""),"kana.osumi@shataku.com")</f>
        <v>kana.osumi@shataku.com</v>
      </c>
      <c r="C20" s="6" t="str">
        <f aca="false">IFERROR(__xludf.dummyfunction("""COMPUTED_VALUE"""),"12345")</f>
        <v>12345</v>
      </c>
      <c r="D20" s="6"/>
      <c r="E20" s="6" t="str">
        <f aca="false">IFERROR(__xludf.dummyfunction("""COMPUTED_VALUE"""),"07013293728")</f>
        <v>07013293728</v>
      </c>
      <c r="F20" s="6" t="str">
        <f aca="false">IFERROR(__xludf.dummyfunction("""COMPUTED_VALUE"""),"１")</f>
        <v>１</v>
      </c>
      <c r="G20" s="6" t="str">
        <f aca="false">IFERROR(__xludf.dummyfunction("""COMPUTED_VALUE"""),"2026/01/21")</f>
        <v>2026/01/21</v>
      </c>
      <c r="H20" s="6" t="str">
        <f aca="false">IFERROR(__xludf.dummyfunction("""COMPUTED_VALUE"""),"必要")</f>
        <v>必要</v>
      </c>
      <c r="I20" s="6" t="str">
        <f aca="false">IFERROR(__xludf.dummyfunction("""COMPUTED_VALUE"""),"男性")</f>
        <v>男性</v>
      </c>
      <c r="J20" s="6" t="str">
        <f aca="false">IFERROR(__xludf.dummyfunction("""COMPUTED_VALUE"""),"日本")</f>
        <v>日本</v>
      </c>
      <c r="K20" s="6" t="str">
        <f aca="false">IFERROR(__xludf.dummyfunction("""COMPUTED_VALUE"""),"10")</f>
        <v>10</v>
      </c>
      <c r="L20" s="6" t="str">
        <f aca="false">IFERROR(__xludf.dummyfunction("""COMPUTED_VALUE"""),"１")</f>
        <v>１</v>
      </c>
      <c r="M20" s="6" t="str">
        <f aca="false">IFERROR(__xludf.dummyfunction("""COMPUTED_VALUE"""),"１")</f>
        <v>１</v>
      </c>
      <c r="N20" s="6"/>
      <c r="O20" s="6" t="str">
        <f aca="false">IFERROR(__xludf.dummyfunction("""COMPUTED_VALUE"""),"必要")</f>
        <v>必要</v>
      </c>
      <c r="P20" s="6" t="str">
        <f aca="false">IFERROR(__xludf.dummyfunction("""COMPUTED_VALUE"""),"カローラ")</f>
        <v>カローラ</v>
      </c>
      <c r="Q20" s="6" t="str">
        <f aca="false">IFERROR(__xludf.dummyfunction("""COMPUTED_VALUE"""),"あ12-34")</f>
        <v>あ12-34</v>
      </c>
      <c r="R20" s="6" t="str">
        <f aca="false">IFERROR(__xludf.dummyfunction("""COMPUTED_VALUE"""),"黒")</f>
        <v>黒</v>
      </c>
      <c r="S20" s="6" t="str">
        <f aca="false">IFERROR(__xludf.dummyfunction("""COMPUTED_VALUE"""),"家具家電付き社宅")</f>
        <v>家具家電付き社宅</v>
      </c>
      <c r="T20" s="6" t="str">
        <f aca="false">IFERROR(__xludf.dummyfunction("""COMPUTED_VALUE"""),"利用する")</f>
        <v>利用する</v>
      </c>
      <c r="U20" s="6" t="str">
        <f aca="false">IFERROR(__xludf.dummyfunction("""COMPUTED_VALUE"""),"机")</f>
        <v>机</v>
      </c>
      <c r="V20" s="6" t="str">
        <f aca="false">IFERROR(__xludf.dummyfunction("""COMPUTED_VALUE"""),"徒歩")</f>
        <v>徒歩</v>
      </c>
      <c r="W20" s="6"/>
      <c r="X20" s="6" t="str">
        <f aca="false">IFERROR(__xludf.dummyfunction("""COMPUTED_VALUE"""),"実家")</f>
        <v>実家</v>
      </c>
      <c r="Y20" s="6"/>
      <c r="Z20" s="6" t="str">
        <f aca="false">IFERROR(__xludf.dummyfunction("""COMPUTED_VALUE"""),"希望する")</f>
        <v>希望する</v>
      </c>
      <c r="AA20" s="6" t="str">
        <f aca="false">IFERROR(__xludf.dummyfunction("""COMPUTED_VALUE"""),"単身")</f>
        <v>単身</v>
      </c>
      <c r="AB20" s="6"/>
      <c r="AC20" s="6" t="str">
        <f aca="false">IFERROR(__xludf.dummyfunction("""COMPUTED_VALUE"""),"住所：
氏名：
フリガナ：
生年月日：
電話番号：
続柄：")</f>
        <v>住所：
氏名：
フリガナ：
生年月日：
電話番号：
続柄：</v>
      </c>
      <c r="AD20" s="6"/>
      <c r="AE20" s="6" t="str">
        <f aca="false">IFERROR(__xludf.dummyfunction("""COMPUTED_VALUE"""),"確認しました。")</f>
        <v>確認しました。</v>
      </c>
      <c r="AF20" s="6" t="str">
        <f aca="false">IFERROR(__xludf.dummyfunction("""COMPUTED_VALUE"""),"確認しました。")</f>
        <v>確認しました。</v>
      </c>
      <c r="AG20" s="6" t="str">
        <f aca="false">IFERROR(__xludf.dummyfunction("""COMPUTED_VALUE"""),"確認しました")</f>
        <v>確認しました</v>
      </c>
      <c r="AH20" s="6" t="str">
        <f aca="false">IFERROR(__xludf.dummyfunction("""COMPUTED_VALUE"""),"確認しました")</f>
        <v>確認しました</v>
      </c>
      <c r="AI20" s="6" t="str">
        <f aca="false">IFERROR(__xludf.dummyfunction("""COMPUTED_VALUE"""),"【進捗ID】
12345
【氏名】
大角可奈
【携帯番号】
07013293728
【現在お住まいの住所】
１
【入居希望日】
2026年01月21日
【引越し業者手配】
必要
【性別】
男性
【国籍】
日本
【荷物量】
段ボール数: 10
家電: １
家具: １
その他: 
【駐車場手配】
必要
【車両情報】
車種: カローラ
ナンバープレート: あ12-34
色: 黒
【社宅希望タイプ】
家具家電付き社宅
【レンタル家具】
希望の有無: 利用する
レンタル希望品目: 机
【通"&amp;"勤方法】
徒歩
【現在のお住まいの物件】
実家
【レンタル家具利用状況】
【ライフライン】
希望する
【入居形態】
単身
【同居者情報】
【緊急連絡先】
住所：
氏名：
フリガナ：
生年月日：
電話番号：
続柄：
【ご要望】
")</f>
        <v>【進捗ID】
12345
【氏名】
大角可奈
【携帯番号】
07013293728
【現在お住まいの住所】
１
【入居希望日】
2026年01月21日
【引越し業者手配】
必要
【性別】
男性
【国籍】
日本
【荷物量】
段ボール数: 10
家電: １
家具: １
その他: 
【駐車場手配】
必要
【車両情報】
車種: カローラ
ナンバープレート: あ12-34
色: 黒
【社宅希望タイプ】
家具家電付き社宅
【レンタル家具】
希望の有無: 利用する
レンタル希望品目: 机
【通勤方法】
徒歩
【現在のお住まいの物件】
実家
【レンタル家具利用状況】
【ライフライン】
希望する
【入居形態】
単身
【同居者情報】
【緊急連絡先】
住所：
氏名：
フリガナ：
生年月日：
電話番号：
続柄：
【ご要望】
</v>
      </c>
      <c r="AJ20" s="6" t="str">
        <v/>
      </c>
      <c r="AK20" s="6" t="str">
        <v/>
      </c>
      <c r="AL20" s="6" t="str">
        <v/>
      </c>
      <c r="AM20" s="6" t="str">
        <v/>
      </c>
      <c r="AN20" s="6" t="n">
        <f aca="false">FALSE()</f>
        <v>0</v>
      </c>
    </row>
    <row r="21" customFormat="false" ht="52.5" hidden="true" customHeight="true" outlineLevel="0" collapsed="false">
      <c r="A21" s="6" t="str">
        <f aca="false">IFERROR(__xludf.dummyfunction("""COMPUTED_VALUE"""),"2026/01/09 13:40:26")</f>
        <v>2026/01/09 13:40:26</v>
      </c>
      <c r="B21" s="6" t="str">
        <f aca="false">IFERROR(__xludf.dummyfunction("""COMPUTED_VALUE"""),"kana.osumi@shataku.com")</f>
        <v>kana.osumi@shataku.com</v>
      </c>
      <c r="C21" s="6" t="str">
        <f aca="false">IFERROR(__xludf.dummyfunction("""COMPUTED_VALUE"""),"58563")</f>
        <v>58563</v>
      </c>
      <c r="D21" s="6"/>
      <c r="E21" s="6" t="str">
        <f aca="false">IFERROR(__xludf.dummyfunction("""COMPUTED_VALUE"""),"あ")</f>
        <v>あ</v>
      </c>
      <c r="F21" s="6" t="str">
        <f aca="false">IFERROR(__xludf.dummyfunction("""COMPUTED_VALUE"""),"あ")</f>
        <v>あ</v>
      </c>
      <c r="G21" s="6" t="str">
        <f aca="false">IFERROR(__xludf.dummyfunction("""COMPUTED_VALUE"""),"2026/01/21")</f>
        <v>2026/01/21</v>
      </c>
      <c r="H21" s="6" t="str">
        <f aca="false">IFERROR(__xludf.dummyfunction("""COMPUTED_VALUE"""),"必要")</f>
        <v>必要</v>
      </c>
      <c r="I21" s="6" t="str">
        <f aca="false">IFERROR(__xludf.dummyfunction("""COMPUTED_VALUE"""),"男性")</f>
        <v>男性</v>
      </c>
      <c r="J21" s="6" t="str">
        <f aca="false">IFERROR(__xludf.dummyfunction("""COMPUTED_VALUE"""),"日本")</f>
        <v>日本</v>
      </c>
      <c r="K21" s="6" t="str">
        <f aca="false">IFERROR(__xludf.dummyfunction("""COMPUTED_VALUE"""),"1")</f>
        <v>1</v>
      </c>
      <c r="L21" s="6" t="str">
        <f aca="false">IFERROR(__xludf.dummyfunction("""COMPUTED_VALUE"""),"1")</f>
        <v>1</v>
      </c>
      <c r="M21" s="6" t="str">
        <f aca="false">IFERROR(__xludf.dummyfunction("""COMPUTED_VALUE"""),"1")</f>
        <v>1</v>
      </c>
      <c r="N21" s="6"/>
      <c r="O21" s="6" t="str">
        <f aca="false">IFERROR(__xludf.dummyfunction("""COMPUTED_VALUE"""),"不要")</f>
        <v>不要</v>
      </c>
      <c r="P21" s="6"/>
      <c r="Q21" s="6"/>
      <c r="R21" s="6"/>
      <c r="S21" s="6" t="str">
        <f aca="false">IFERROR(__xludf.dummyfunction("""COMPUTED_VALUE"""),"家具家電なし社宅")</f>
        <v>家具家電なし社宅</v>
      </c>
      <c r="T21" s="6" t="str">
        <f aca="false">IFERROR(__xludf.dummyfunction("""COMPUTED_VALUE"""),"利用する")</f>
        <v>利用する</v>
      </c>
      <c r="U21" s="6" t="str">
        <f aca="false">IFERROR(__xludf.dummyfunction("""COMPUTED_VALUE"""),"1")</f>
        <v>1</v>
      </c>
      <c r="V21" s="6" t="str">
        <f aca="false">IFERROR(__xludf.dummyfunction("""COMPUTED_VALUE"""),"徒歩")</f>
        <v>徒歩</v>
      </c>
      <c r="W21" s="6"/>
      <c r="X21" s="6" t="str">
        <f aca="false">IFERROR(__xludf.dummyfunction("""COMPUTED_VALUE"""),"実家")</f>
        <v>実家</v>
      </c>
      <c r="Y21" s="6"/>
      <c r="Z21" s="6" t="str">
        <f aca="false">IFERROR(__xludf.dummyfunction("""COMPUTED_VALUE"""),"希望する")</f>
        <v>希望する</v>
      </c>
      <c r="AA21" s="6" t="str">
        <f aca="false">IFERROR(__xludf.dummyfunction("""COMPUTED_VALUE"""),"単身")</f>
        <v>単身</v>
      </c>
      <c r="AB21" s="6"/>
      <c r="AC21" s="6" t="str">
        <f aca="false">IFERROR(__xludf.dummyfunction("""COMPUTED_VALUE"""),"あ")</f>
        <v>あ</v>
      </c>
      <c r="AD21" s="6"/>
      <c r="AE21" s="6" t="str">
        <f aca="false">IFERROR(__xludf.dummyfunction("""COMPUTED_VALUE"""),"確認しました。")</f>
        <v>確認しました。</v>
      </c>
      <c r="AF21" s="6" t="str">
        <f aca="false">IFERROR(__xludf.dummyfunction("""COMPUTED_VALUE"""),"確認しました。")</f>
        <v>確認しました。</v>
      </c>
      <c r="AG21" s="6" t="str">
        <f aca="false">IFERROR(__xludf.dummyfunction("""COMPUTED_VALUE"""),"確認しました")</f>
        <v>確認しました</v>
      </c>
      <c r="AH21" s="6" t="str">
        <f aca="false">IFERROR(__xludf.dummyfunction("""COMPUTED_VALUE"""),"確認しました")</f>
        <v>確認しました</v>
      </c>
      <c r="AI21" s="6" t="str">
        <f aca="false">IFERROR(__xludf.dummyfunction("""COMPUTED_VALUE"""),"【進捗ID】
58563
【氏名】
大角可奈
【携帯番号】
あ
【現在お住まいの住所】
あ
【入居希望日】
2026年01月21日
【引越し業者手配】
必要
【性別】
男性
【国籍】
日本
【荷物量】
段ボール数: 1
家電: 1
家具: 1
その他: 
【駐車場手配】
不要
【車両情報】
車種: 
ナンバープレート: 
色: 
【社宅希望タイプ】
家具家電なし社宅
【レンタル家具】
希望の有無: 利用する
レンタル希望品目: 1
【通勤方法】
徒歩
【現在のお住まいの物件】
"&amp;"実家
【レンタル家具利用状況】
【ライフライン】
希望する
【入居形態】
単身
【同居者情報】
【緊急連絡先】
あ
【ご要望】
")</f>
        <v>【進捗ID】
58563
【氏名】
大角可奈
【携帯番号】
あ
【現在お住まいの住所】
あ
【入居希望日】
2026年01月21日
【引越し業者手配】
必要
【性別】
男性
【国籍】
日本
【荷物量】
段ボール数: 1
家電: 1
家具: 1
その他: 
【駐車場手配】
不要
【車両情報】
車種: 
ナンバープレート: 
色: 
【社宅希望タイプ】
家具家電なし社宅
【レンタル家具】
希望の有無: 利用する
レンタル希望品目: 1
【通勤方法】
徒歩
【現在のお住まいの物件】
実家
【レンタル家具利用状況】
【ライフライン】
希望する
【入居形態】
単身
【同居者情報】
【緊急連絡先】
あ
【ご要望】
</v>
      </c>
      <c r="AJ21" s="6" t="str">
        <v/>
      </c>
      <c r="AK21" s="6" t="str">
        <v/>
      </c>
      <c r="AL21" s="6" t="str">
        <v/>
      </c>
      <c r="AM21" s="6" t="str">
        <v/>
      </c>
      <c r="AN21" s="6" t="n">
        <f aca="false">FALSE()</f>
        <v>0</v>
      </c>
    </row>
    <row r="22" customFormat="false" ht="52.5" hidden="true" customHeight="true" outlineLevel="0" collapsed="false">
      <c r="A22" s="6" t="str">
        <f aca="false">IFERROR(__xludf.dummyfunction("""COMPUTED_VALUE"""),"2026/01/14 11:10:39")</f>
        <v>2026/01/14 11:10:39</v>
      </c>
      <c r="B22" s="6" t="str">
        <f aca="false">IFERROR(__xludf.dummyfunction("""COMPUTED_VALUE"""),"kana.osumi@shataku.com")</f>
        <v>kana.osumi@shataku.com</v>
      </c>
      <c r="C22" s="6" t="str">
        <f aca="false">IFERROR(__xludf.dummyfunction("""COMPUTED_VALUE"""),"11111")</f>
        <v>11111</v>
      </c>
      <c r="D22" s="6"/>
      <c r="E22" s="6" t="str">
        <f aca="false">IFERROR(__xludf.dummyfunction("""COMPUTED_VALUE"""),"07013293728")</f>
        <v>07013293728</v>
      </c>
      <c r="F22" s="6" t="str">
        <f aca="false">IFERROR(__xludf.dummyfunction("""COMPUTED_VALUE"""),"q")</f>
        <v>q</v>
      </c>
      <c r="G22" s="6" t="str">
        <f aca="false">IFERROR(__xludf.dummyfunction("""COMPUTED_VALUE"""),"2026/01/15")</f>
        <v>2026/01/15</v>
      </c>
      <c r="H22" s="6" t="str">
        <f aca="false">IFERROR(__xludf.dummyfunction("""COMPUTED_VALUE"""),"必要")</f>
        <v>必要</v>
      </c>
      <c r="I22" s="6" t="str">
        <f aca="false">IFERROR(__xludf.dummyfunction("""COMPUTED_VALUE"""),"女性")</f>
        <v>女性</v>
      </c>
      <c r="J22" s="6" t="str">
        <f aca="false">IFERROR(__xludf.dummyfunction("""COMPUTED_VALUE"""),"日本")</f>
        <v>日本</v>
      </c>
      <c r="K22" s="6" t="str">
        <f aca="false">IFERROR(__xludf.dummyfunction("""COMPUTED_VALUE"""),"10")</f>
        <v>10</v>
      </c>
      <c r="L22" s="6" t="str">
        <f aca="false">IFERROR(__xludf.dummyfunction("""COMPUTED_VALUE"""),"1")</f>
        <v>1</v>
      </c>
      <c r="M22" s="6" t="str">
        <f aca="false">IFERROR(__xludf.dummyfunction("""COMPUTED_VALUE"""),"1")</f>
        <v>1</v>
      </c>
      <c r="N22" s="6"/>
      <c r="O22" s="6" t="str">
        <f aca="false">IFERROR(__xludf.dummyfunction("""COMPUTED_VALUE"""),"必要")</f>
        <v>必要</v>
      </c>
      <c r="P22" s="6" t="str">
        <f aca="false">IFERROR(__xludf.dummyfunction("""COMPUTED_VALUE"""),"1")</f>
        <v>1</v>
      </c>
      <c r="Q22" s="6" t="str">
        <f aca="false">IFERROR(__xludf.dummyfunction("""COMPUTED_VALUE"""),"1")</f>
        <v>1</v>
      </c>
      <c r="R22" s="6" t="str">
        <f aca="false">IFERROR(__xludf.dummyfunction("""COMPUTED_VALUE"""),"1")</f>
        <v>1</v>
      </c>
      <c r="S22" s="6" t="str">
        <f aca="false">IFERROR(__xludf.dummyfunction("""COMPUTED_VALUE"""),"家具家電付き社宅")</f>
        <v>家具家電付き社宅</v>
      </c>
      <c r="T22" s="6" t="str">
        <f aca="false">IFERROR(__xludf.dummyfunction("""COMPUTED_VALUE"""),"利用する")</f>
        <v>利用する</v>
      </c>
      <c r="U22" s="6" t="str">
        <f aca="false">IFERROR(__xludf.dummyfunction("""COMPUTED_VALUE"""),"1")</f>
        <v>1</v>
      </c>
      <c r="V22" s="6" t="str">
        <f aca="false">IFERROR(__xludf.dummyfunction("""COMPUTED_VALUE"""),"徒歩")</f>
        <v>徒歩</v>
      </c>
      <c r="W22" s="6"/>
      <c r="X22" s="6" t="str">
        <f aca="false">IFERROR(__xludf.dummyfunction("""COMPUTED_VALUE"""),"実家")</f>
        <v>実家</v>
      </c>
      <c r="Y22" s="6"/>
      <c r="Z22" s="6" t="str">
        <f aca="false">IFERROR(__xludf.dummyfunction("""COMPUTED_VALUE"""),"希望する")</f>
        <v>希望する</v>
      </c>
      <c r="AA22" s="6" t="str">
        <f aca="false">IFERROR(__xludf.dummyfunction("""COMPUTED_VALUE"""),"単身")</f>
        <v>単身</v>
      </c>
      <c r="AB22" s="6"/>
      <c r="AC22" s="6" t="str">
        <f aca="false">IFERROR(__xludf.dummyfunction("""COMPUTED_VALUE"""),"住所：
氏名：
フリガナ：
生年月日：
電話番号：
続柄：")</f>
        <v>住所：
氏名：
フリガナ：
生年月日：
電話番号：
続柄：</v>
      </c>
      <c r="AD22" s="6"/>
      <c r="AE22" s="6" t="str">
        <f aca="false">IFERROR(__xludf.dummyfunction("""COMPUTED_VALUE"""),"確認しました。")</f>
        <v>確認しました。</v>
      </c>
      <c r="AF22" s="6" t="str">
        <f aca="false">IFERROR(__xludf.dummyfunction("""COMPUTED_VALUE"""),"社宅基準の内容についてご確認しました")</f>
        <v>社宅基準の内容についてご確認しました</v>
      </c>
      <c r="AG22" s="6" t="str">
        <f aca="false">IFERROR(__xludf.dummyfunction("""COMPUTED_VALUE"""),"入居のしおりの内容についてご確認しました")</f>
        <v>入居のしおりの内容についてご確認しました</v>
      </c>
      <c r="AH22" s="6" t="str">
        <f aca="false">IFERROR(__xludf.dummyfunction("""COMPUTED_VALUE"""),"確認しました")</f>
        <v>確認しました</v>
      </c>
      <c r="AI22" s="6" t="str">
        <f aca="false">IFERROR(__xludf.dummyfunction("""COMPUTED_VALUE"""),"【進捗ID】
11111
【氏名】
q
【携帯番号】
07013293728
【現在お住まいの住所】
q
【入居希望日】
2026年01月15日
【引越し業者手配】
必要
【性別】
女性
【国籍】
日本
【荷物量】
段ボール数: 10
家電: 1
家具: 1
その他: 
【駐車場手配】
必要
【車両情報】
車種: 1
ナンバープレート: 1
色: 1
【社宅希望タイプ】
家具家電付き社宅
【レンタル家具】
希望の有無: 利用する
レンタル希望品目: 1
【通勤方法】
徒歩
【現"&amp;"在のお住まいの物件】
実家
【レンタル家具利用状況】
【ライフライン】
希望する
【入居形態】
単身
【同居者情報】
【緊急連絡先】
住所：
氏名：
フリガナ：
生年月日：
電話番号：
続柄：
【ご要望】
")</f>
        <v>【進捗ID】
11111
【氏名】
q
【携帯番号】
07013293728
【現在お住まいの住所】
q
【入居希望日】
2026年01月15日
【引越し業者手配】
必要
【性別】
女性
【国籍】
日本
【荷物量】
段ボール数: 10
家電: 1
家具: 1
その他: 
【駐車場手配】
必要
【車両情報】
車種: 1
ナンバープレート: 1
色: 1
【社宅希望タイプ】
家具家電付き社宅
【レンタル家具】
希望の有無: 利用する
レンタル希望品目: 1
【通勤方法】
徒歩
【現在のお住まいの物件】
実家
【レンタル家具利用状況】
【ライフライン】
希望する
【入居形態】
単身
【同居者情報】
【緊急連絡先】
住所：
氏名：
フリガナ：
生年月日：
電話番号：
続柄：
【ご要望】
</v>
      </c>
      <c r="AJ22" s="6" t="str">
        <v/>
      </c>
      <c r="AK22" s="6" t="str">
        <v/>
      </c>
      <c r="AL22" s="6" t="str">
        <v/>
      </c>
      <c r="AM22" s="6" t="str">
        <v/>
      </c>
      <c r="AN22" s="6" t="n">
        <f aca="false">FALSE()</f>
        <v>0</v>
      </c>
    </row>
    <row r="23" customFormat="false" ht="52.5" hidden="true" customHeight="true" outlineLevel="0" collapsed="false">
      <c r="A23" s="6" t="str">
        <f aca="false">IFERROR(__xludf.dummyfunction("""COMPUTED_VALUE"""),"2026/01/14 12:13:17")</f>
        <v>2026/01/14 12:13:17</v>
      </c>
      <c r="B23" s="6" t="str">
        <f aca="false">IFERROR(__xludf.dummyfunction("""COMPUTED_VALUE"""),"yuka.torii@shataku.com")</f>
        <v>yuka.torii@shataku.com</v>
      </c>
      <c r="C23" s="6" t="str">
        <f aca="false">IFERROR(__xludf.dummyfunction("""COMPUTED_VALUE"""),"99999")</f>
        <v>99999</v>
      </c>
      <c r="D23" s="6"/>
      <c r="E23" s="6" t="str">
        <f aca="false">IFERROR(__xludf.dummyfunction("""COMPUTED_VALUE"""),"08073016163")</f>
        <v>08073016163</v>
      </c>
      <c r="F23" s="6" t="str">
        <f aca="false">IFERROR(__xludf.dummyfunction("""COMPUTED_VALUE"""),"〒123-456 東京都荒川区")</f>
        <v>〒123-456 東京都荒川区</v>
      </c>
      <c r="G23" s="6" t="str">
        <f aca="false">IFERROR(__xludf.dummyfunction("""COMPUTED_VALUE"""),"2026/01/31")</f>
        <v>2026/01/31</v>
      </c>
      <c r="H23" s="6" t="str">
        <f aca="false">IFERROR(__xludf.dummyfunction("""COMPUTED_VALUE"""),"必要")</f>
        <v>必要</v>
      </c>
      <c r="I23" s="6" t="str">
        <f aca="false">IFERROR(__xludf.dummyfunction("""COMPUTED_VALUE"""),"女性")</f>
        <v>女性</v>
      </c>
      <c r="J23" s="6" t="str">
        <f aca="false">IFERROR(__xludf.dummyfunction("""COMPUTED_VALUE"""),"日本")</f>
        <v>日本</v>
      </c>
      <c r="K23" s="6" t="str">
        <f aca="false">IFERROR(__xludf.dummyfunction("""COMPUTED_VALUE"""),"20")</f>
        <v>20</v>
      </c>
      <c r="L23" s="6" t="str">
        <f aca="false">IFERROR(__xludf.dummyfunction("""COMPUTED_VALUE"""),"冷蔵庫、洗濯機、電子レンジ、TV")</f>
        <v>冷蔵庫、洗濯機、電子レンジ、TV</v>
      </c>
      <c r="M23" s="6" t="str">
        <f aca="false">IFERROR(__xludf.dummyfunction("""COMPUTED_VALUE"""),"シングルベッド、机、いす")</f>
        <v>シングルベッド、机、いす</v>
      </c>
      <c r="N23" s="6" t="str">
        <f aca="false">IFERROR(__xludf.dummyfunction("""COMPUTED_VALUE"""),"観葉植物")</f>
        <v>観葉植物</v>
      </c>
      <c r="O23" s="6" t="str">
        <f aca="false">IFERROR(__xludf.dummyfunction("""COMPUTED_VALUE"""),"不要")</f>
        <v>不要</v>
      </c>
      <c r="P23" s="6"/>
      <c r="Q23" s="6"/>
      <c r="R23" s="6"/>
      <c r="S23" s="6" t="str">
        <f aca="false">IFERROR(__xludf.dummyfunction("""COMPUTED_VALUE"""),"家具家電なし社宅")</f>
        <v>家具家電なし社宅</v>
      </c>
      <c r="T23" s="6" t="str">
        <f aca="false">IFERROR(__xludf.dummyfunction("""COMPUTED_VALUE"""),"利用しない")</f>
        <v>利用しない</v>
      </c>
      <c r="U23" s="6"/>
      <c r="V23" s="6" t="str">
        <f aca="false">IFERROR(__xludf.dummyfunction("""COMPUTED_VALUE"""),"電車")</f>
        <v>電車</v>
      </c>
      <c r="W23" s="6"/>
      <c r="X23" s="6" t="str">
        <f aca="false">IFERROR(__xludf.dummyfunction("""COMPUTED_VALUE"""),"ご自身で契約中の物件")</f>
        <v>ご自身で契約中の物件</v>
      </c>
      <c r="Y23" s="6"/>
      <c r="Z23" s="6" t="str">
        <f aca="false">IFERROR(__xludf.dummyfunction("""COMPUTED_VALUE"""),"希望する")</f>
        <v>希望する</v>
      </c>
      <c r="AA23" s="6" t="str">
        <f aca="false">IFERROR(__xludf.dummyfunction("""COMPUTED_VALUE"""),"単身")</f>
        <v>単身</v>
      </c>
      <c r="AB23" s="6"/>
      <c r="AC23" s="6" t="str">
        <f aca="false">IFERROR(__xludf.dummyfunction("""COMPUTED_VALUE"""),"住所：
氏名：
フリガナ：
生年月日：
電話番号：
続柄：")</f>
        <v>住所：
氏名：
フリガナ：
生年月日：
電話番号：
続柄：</v>
      </c>
      <c r="AD23" s="6"/>
      <c r="AE23" s="6" t="str">
        <f aca="false">IFERROR(__xludf.dummyfunction("""COMPUTED_VALUE"""),"確認しました。")</f>
        <v>確認しました。</v>
      </c>
      <c r="AF23" s="6" t="str">
        <f aca="false">IFERROR(__xludf.dummyfunction("""COMPUTED_VALUE"""),"社宅基準の内容についてご確認しました")</f>
        <v>社宅基準の内容についてご確認しました</v>
      </c>
      <c r="AG23" s="6" t="str">
        <f aca="false">IFERROR(__xludf.dummyfunction("""COMPUTED_VALUE"""),"入居のしおりの内容についてご確認しました")</f>
        <v>入居のしおりの内容についてご確認しました</v>
      </c>
      <c r="AH23" s="6" t="str">
        <f aca="false">IFERROR(__xludf.dummyfunction("""COMPUTED_VALUE"""),"確認しました")</f>
        <v>確認しました</v>
      </c>
      <c r="AI23" s="6" t="str">
        <f aca="false">IFERROR(__xludf.dummyfunction("""COMPUTED_VALUE"""),"【進捗ID】
99999
【氏名】
鳥井 祐香
【携帯番号】
08073016163
【現在お住まいの住所】
〒123-456 東京都荒川区
【入居希望日】
2026年01月31日
【引越し業者手配】
必要
【性別】
女性
【国籍】
日本
【荷物量】
段ボール数: 20
家電: 冷蔵庫、洗濯機、電子レンジ、TV
家具: シングルベッド、机、いす
その他: 観葉植物
【駐車場手配】
不要
【車両情報】
車種: 
ナンバープレート: 
色: 
【社宅希望タイプ】
家具家電なし社宅
【レ"&amp;"ンタル家具】
希望の有無: 利用しない
レンタル希望品目: 
【通勤方法】
電車
【現在のお住まいの物件】
ご自身で契約中の物件
【レンタル家具利用状況】
【ライフライン】
希望する
【入居形態】
単身
【同居者情報】
【緊急連絡先】
住所：
氏名：
フリガナ：
生年月日：
電話番号：
続柄：
【ご要望】
")</f>
        <v>【進捗ID】
99999
【氏名】
鳥井 祐香
【携帯番号】
08073016163
【現在お住まいの住所】
〒123-456 東京都荒川区
【入居希望日】
2026年01月31日
【引越し業者手配】
必要
【性別】
女性
【国籍】
日本
【荷物量】
段ボール数: 20
家電: 冷蔵庫、洗濯機、電子レンジ、TV
家具: シングルベッド、机、いす
その他: 観葉植物
【駐車場手配】
不要
【車両情報】
車種: 
ナンバープレート: 
色: 
【社宅希望タイプ】
家具家電なし社宅
【レンタル家具】
希望の有無: 利用しない
レンタル希望品目: 
【通勤方法】
電車
【現在のお住まいの物件】
ご自身で契約中の物件
【レンタル家具利用状況】
【ライフライン】
希望する
【入居形態】
単身
【同居者情報】
【緊急連絡先】
住所：
氏名：
フリガナ：
生年月日：
電話番号：
続柄：
【ご要望】
</v>
      </c>
      <c r="AJ23" s="6" t="str">
        <v/>
      </c>
      <c r="AK23" s="6" t="str">
        <v/>
      </c>
      <c r="AL23" s="6" t="str">
        <v/>
      </c>
      <c r="AM23" s="6" t="str">
        <v/>
      </c>
      <c r="AN23" s="6" t="n">
        <f aca="false">FALSE()</f>
        <v>0</v>
      </c>
    </row>
    <row r="24" customFormat="false" ht="52.5" hidden="true" customHeight="true" outlineLevel="0" collapsed="false">
      <c r="A24" s="6" t="str">
        <f aca="false">IFERROR(__xludf.dummyfunction("""COMPUTED_VALUE"""),"2026/01/14 12:23:55")</f>
        <v>2026/01/14 12:23:55</v>
      </c>
      <c r="B24" s="6" t="str">
        <f aca="false">IFERROR(__xludf.dummyfunction("""COMPUTED_VALUE"""),"shimizuyuichiro127@gmail.com")</f>
        <v>shimizuyuichiro127@gmail.com</v>
      </c>
      <c r="C24" s="6" t="str">
        <f aca="false">IFERROR(__xludf.dummyfunction("""COMPUTED_VALUE"""),"00000")</f>
        <v>00000</v>
      </c>
      <c r="D24" s="6"/>
      <c r="E24" s="6" t="str">
        <f aca="false">IFERROR(__xludf.dummyfunction("""COMPUTED_VALUE"""),"09027838211")</f>
        <v>09027838211</v>
      </c>
      <c r="F24" s="6" t="str">
        <f aca="false">IFERROR(__xludf.dummyfunction("""COMPUTED_VALUE"""),"110-0005 東京都台東区上野3-10-11 ザパークハビオ上野レジデンス1101")</f>
        <v>110-0005 東京都台東区上野3-10-11 ザパークハビオ上野レジデンス1101</v>
      </c>
      <c r="G24" s="6" t="str">
        <f aca="false">IFERROR(__xludf.dummyfunction("""COMPUTED_VALUE"""),"2026/01/31")</f>
        <v>2026/01/31</v>
      </c>
      <c r="H24" s="6" t="str">
        <f aca="false">IFERROR(__xludf.dummyfunction("""COMPUTED_VALUE"""),"必要")</f>
        <v>必要</v>
      </c>
      <c r="I24" s="6" t="str">
        <f aca="false">IFERROR(__xludf.dummyfunction("""COMPUTED_VALUE"""),"男性")</f>
        <v>男性</v>
      </c>
      <c r="J24" s="6" t="str">
        <f aca="false">IFERROR(__xludf.dummyfunction("""COMPUTED_VALUE"""),"日本")</f>
        <v>日本</v>
      </c>
      <c r="K24" s="6" t="str">
        <f aca="false">IFERROR(__xludf.dummyfunction("""COMPUTED_VALUE"""),"20")</f>
        <v>20</v>
      </c>
      <c r="L24" s="6" t="str">
        <f aca="false">IFERROR(__xludf.dummyfunction("""COMPUTED_VALUE"""),"とくになし")</f>
        <v>とくになし</v>
      </c>
      <c r="M24" s="6" t="str">
        <f aca="false">IFERROR(__xludf.dummyfunction("""COMPUTED_VALUE"""),"とくになし")</f>
        <v>とくになし</v>
      </c>
      <c r="N24" s="6"/>
      <c r="O24" s="6" t="str">
        <f aca="false">IFERROR(__xludf.dummyfunction("""COMPUTED_VALUE"""),"必要")</f>
        <v>必要</v>
      </c>
      <c r="P24" s="6" t="str">
        <f aca="false">IFERROR(__xludf.dummyfunction("""COMPUTED_VALUE"""),"プリウス")</f>
        <v>プリウス</v>
      </c>
      <c r="Q24" s="6" t="str">
        <f aca="false">IFERROR(__xludf.dummyfunction("""COMPUTED_VALUE"""),"1111")</f>
        <v>1111</v>
      </c>
      <c r="R24" s="6" t="str">
        <f aca="false">IFERROR(__xludf.dummyfunction("""COMPUTED_VALUE"""),"くろ")</f>
        <v>くろ</v>
      </c>
      <c r="S24" s="6" t="str">
        <f aca="false">IFERROR(__xludf.dummyfunction("""COMPUTED_VALUE"""),"家具家電なし社宅")</f>
        <v>家具家電なし社宅</v>
      </c>
      <c r="T24" s="6" t="str">
        <f aca="false">IFERROR(__xludf.dummyfunction("""COMPUTED_VALUE"""),"利用する")</f>
        <v>利用する</v>
      </c>
      <c r="U24" s="6" t="str">
        <f aca="false">IFERROR(__xludf.dummyfunction("""COMPUTED_VALUE"""),"冷蔵庫、洗濯機")</f>
        <v>冷蔵庫、洗濯機</v>
      </c>
      <c r="V24" s="6" t="str">
        <f aca="false">IFERROR(__xludf.dummyfunction("""COMPUTED_VALUE"""),"徒歩")</f>
        <v>徒歩</v>
      </c>
      <c r="W24" s="6"/>
      <c r="X24" s="6" t="str">
        <f aca="false">IFERROR(__xludf.dummyfunction("""COMPUTED_VALUE"""),"実家")</f>
        <v>実家</v>
      </c>
      <c r="Y24" s="6"/>
      <c r="Z24" s="6" t="str">
        <f aca="false">IFERROR(__xludf.dummyfunction("""COMPUTED_VALUE"""),"希望する")</f>
        <v>希望する</v>
      </c>
      <c r="AA24" s="6" t="str">
        <f aca="false">IFERROR(__xludf.dummyfunction("""COMPUTED_VALUE"""),"単身")</f>
        <v>単身</v>
      </c>
      <c r="AB24" s="6"/>
      <c r="AC24" s="6" t="str">
        <f aca="false">IFERROR(__xludf.dummyfunction("""COMPUTED_VALUE"""),"あ")</f>
        <v>あ</v>
      </c>
      <c r="AD24" s="6"/>
      <c r="AE24" s="6" t="str">
        <f aca="false">IFERROR(__xludf.dummyfunction("""COMPUTED_VALUE"""),"確認しました。")</f>
        <v>確認しました。</v>
      </c>
      <c r="AF24" s="6" t="str">
        <f aca="false">IFERROR(__xludf.dummyfunction("""COMPUTED_VALUE"""),"社宅基準の内容についてご確認しました")</f>
        <v>社宅基準の内容についてご確認しました</v>
      </c>
      <c r="AG24" s="6" t="str">
        <f aca="false">IFERROR(__xludf.dummyfunction("""COMPUTED_VALUE"""),"入居のしおりの内容についてご確認しました")</f>
        <v>入居のしおりの内容についてご確認しました</v>
      </c>
      <c r="AH24" s="6" t="str">
        <f aca="false">IFERROR(__xludf.dummyfunction("""COMPUTED_VALUE"""),"確認しました")</f>
        <v>確認しました</v>
      </c>
      <c r="AI24" s="6" t="str">
        <f aca="false">IFERROR(__xludf.dummyfunction("""COMPUTED_VALUE"""),"【進捗ID】
00000
【氏名】
清水雄一朗
【携帯番号】
09027838211
【現在お住まいの住所】
110-0005 東京都台東区上野3-10-11 ザパークハビオ上野レジデンス1101
【入居希望日】
2026年01月31日
【引越し業者手配】
必要
【性別】
男性
【国籍】
日本
【荷物量】
段ボール数: 20
家電: とくになし
家具: とくになし
その他: 
【駐車場手配】
必要
【車両情報】
車種: プリウス
ナンバープレート: 1111
色: くろ
【社宅希望タ"&amp;"イプ】
家具家電なし社宅
【レンタル家具】
希望の有無: 利用する
レンタル希望品目: 冷蔵庫、洗濯機
【通勤方法】
徒歩
【現在のお住まいの物件】
実家
【レンタル家具利用状況】
【ライフライン】
希望する
【入居形態】
単身
【同居者情報】
【緊急連絡先】
あ
【ご要望】
")</f>
        <v>【進捗ID】
00000
【氏名】
清水雄一朗
【携帯番号】
09027838211
【現在お住まいの住所】
110-0005 東京都台東区上野3-10-11 ザパークハビオ上野レジデンス1101
【入居希望日】
2026年01月31日
【引越し業者手配】
必要
【性別】
男性
【国籍】
日本
【荷物量】
段ボール数: 20
家電: とくになし
家具: とくになし
その他: 
【駐車場手配】
必要
【車両情報】
車種: プリウス
ナンバープレート: 1111
色: くろ
【社宅希望タイプ】
家具家電なし社宅
【レンタル家具】
希望の有無: 利用する
レンタル希望品目: 冷蔵庫、洗濯機
【通勤方法】
徒歩
【現在のお住まいの物件】
実家
【レンタル家具利用状況】
【ライフライン】
希望する
【入居形態】
単身
【同居者情報】
【緊急連絡先】
あ
【ご要望】
</v>
      </c>
      <c r="AJ24" s="6" t="str">
        <v/>
      </c>
      <c r="AK24" s="6" t="str">
        <v/>
      </c>
      <c r="AL24" s="6" t="str">
        <v/>
      </c>
      <c r="AM24" s="6" t="str">
        <v/>
      </c>
      <c r="AN24" s="6" t="n">
        <f aca="false">FALSE()</f>
        <v>0</v>
      </c>
    </row>
    <row r="25" customFormat="false" ht="52.5" hidden="true" customHeight="true" outlineLevel="0" collapsed="false">
      <c r="A25" s="6" t="str">
        <f aca="false">IFERROR(__xludf.dummyfunction("""COMPUTED_VALUE"""),"2026/01/14 13:08:34")</f>
        <v>2026/01/14 13:08:34</v>
      </c>
      <c r="B25" s="6" t="str">
        <f aca="false">IFERROR(__xludf.dummyfunction("""COMPUTED_VALUE"""),"teruya@shataku.com")</f>
        <v>teruya@shataku.com</v>
      </c>
      <c r="C25" s="6" t="str">
        <f aca="false">IFERROR(__xludf.dummyfunction("""COMPUTED_VALUE"""),"00000")</f>
        <v>00000</v>
      </c>
      <c r="D25" s="6"/>
      <c r="E25" s="6" t="str">
        <f aca="false">IFERROR(__xludf.dummyfunction("""COMPUTED_VALUE"""),"09026649184")</f>
        <v>09026649184</v>
      </c>
      <c r="F25" s="6" t="str">
        <f aca="false">IFERROR(__xludf.dummyfunction("""COMPUTED_VALUE"""),"210-0004 神奈川県川崎市川崎区宮本町6-2-1201")</f>
        <v>210-0004 神奈川県川崎市川崎区宮本町6-2-1201</v>
      </c>
      <c r="G25" s="6" t="str">
        <f aca="false">IFERROR(__xludf.dummyfunction("""COMPUTED_VALUE"""),"2026/01/31")</f>
        <v>2026/01/31</v>
      </c>
      <c r="H25" s="6" t="str">
        <f aca="false">IFERROR(__xludf.dummyfunction("""COMPUTED_VALUE"""),"必要")</f>
        <v>必要</v>
      </c>
      <c r="I25" s="6" t="str">
        <f aca="false">IFERROR(__xludf.dummyfunction("""COMPUTED_VALUE"""),"男性")</f>
        <v>男性</v>
      </c>
      <c r="J25" s="6" t="str">
        <f aca="false">IFERROR(__xludf.dummyfunction("""COMPUTED_VALUE"""),"日本")</f>
        <v>日本</v>
      </c>
      <c r="K25" s="6" t="str">
        <f aca="false">IFERROR(__xludf.dummyfunction("""COMPUTED_VALUE"""),"20")</f>
        <v>20</v>
      </c>
      <c r="L25" s="6" t="str">
        <f aca="false">IFERROR(__xludf.dummyfunction("""COMPUTED_VALUE"""),"冷蔵庫、洗濯機、電子レンジ、テレビ")</f>
        <v>冷蔵庫、洗濯機、電子レンジ、テレビ</v>
      </c>
      <c r="M25" s="6" t="str">
        <f aca="false">IFERROR(__xludf.dummyfunction("""COMPUTED_VALUE"""),"机椅子、ソファー（3名掛け）")</f>
        <v>机椅子、ソファー（3名掛け）</v>
      </c>
      <c r="N25" s="6" t="str">
        <f aca="false">IFERROR(__xludf.dummyfunction("""COMPUTED_VALUE"""),"自転車")</f>
        <v>自転車</v>
      </c>
      <c r="O25" s="6" t="str">
        <f aca="false">IFERROR(__xludf.dummyfunction("""COMPUTED_VALUE"""),"必要")</f>
        <v>必要</v>
      </c>
      <c r="P25" s="6" t="str">
        <f aca="false">IFERROR(__xludf.dummyfunction("""COMPUTED_VALUE"""),"ああああ")</f>
        <v>ああああ</v>
      </c>
      <c r="Q25" s="6" t="str">
        <f aca="false">IFERROR(__xludf.dummyfunction("""COMPUTED_VALUE"""),"1111")</f>
        <v>1111</v>
      </c>
      <c r="R25" s="6" t="str">
        <f aca="false">IFERROR(__xludf.dummyfunction("""COMPUTED_VALUE"""),"しろ")</f>
        <v>しろ</v>
      </c>
      <c r="S25" s="6" t="str">
        <f aca="false">IFERROR(__xludf.dummyfunction("""COMPUTED_VALUE"""),"家具家電なし社宅")</f>
        <v>家具家電なし社宅</v>
      </c>
      <c r="T25" s="6" t="str">
        <f aca="false">IFERROR(__xludf.dummyfunction("""COMPUTED_VALUE"""),"利用する")</f>
        <v>利用する</v>
      </c>
      <c r="U25" s="6" t="str">
        <f aca="false">IFERROR(__xludf.dummyfunction("""COMPUTED_VALUE"""),"ガスコンロ")</f>
        <v>ガスコンロ</v>
      </c>
      <c r="V25" s="6" t="str">
        <f aca="false">IFERROR(__xludf.dummyfunction("""COMPUTED_VALUE"""),"徒歩")</f>
        <v>徒歩</v>
      </c>
      <c r="W25" s="6"/>
      <c r="X25" s="6" t="str">
        <f aca="false">IFERROR(__xludf.dummyfunction("""COMPUTED_VALUE"""),"株式会社ビーネックステクノロジーズの社宅")</f>
        <v>株式会社ビーネックステクノロジーズの社宅</v>
      </c>
      <c r="Y25" s="6" t="str">
        <f aca="false">IFERROR(__xludf.dummyfunction("""COMPUTED_VALUE"""),"炊飯器　回収希望")</f>
        <v>炊飯器　回収希望</v>
      </c>
      <c r="Z25" s="6" t="str">
        <f aca="false">IFERROR(__xludf.dummyfunction("""COMPUTED_VALUE"""),"希望する")</f>
        <v>希望する</v>
      </c>
      <c r="AA25" s="6" t="str">
        <f aca="false">IFERROR(__xludf.dummyfunction("""COMPUTED_VALUE"""),"単身")</f>
        <v>単身</v>
      </c>
      <c r="AB25" s="6"/>
      <c r="AC25" s="6" t="str">
        <f aca="false">IFERROR(__xludf.dummyfunction("""COMPUTED_VALUE"""),"住所：同上
氏名：照屋〇〇
フリガナ：テルヤ〇〇
生年月日：20001010
電話番号：09000000000
続柄：子")</f>
        <v>住所：同上
氏名：照屋〇〇
フリガナ：テルヤ〇〇
生年月日：20001010
電話番号：09000000000
続柄：子</v>
      </c>
      <c r="AD25" s="6" t="str">
        <f aca="false">IFERROR(__xludf.dummyfunction("""COMPUTED_VALUE"""),"3階以上希望")</f>
        <v>3階以上希望</v>
      </c>
      <c r="AE25" s="6" t="str">
        <f aca="false">IFERROR(__xludf.dummyfunction("""COMPUTED_VALUE"""),"確認しました。")</f>
        <v>確認しました。</v>
      </c>
      <c r="AF25" s="6" t="str">
        <f aca="false">IFERROR(__xludf.dummyfunction("""COMPUTED_VALUE"""),"社宅基準の内容についてご確認しました")</f>
        <v>社宅基準の内容についてご確認しました</v>
      </c>
      <c r="AG25" s="6" t="str">
        <f aca="false">IFERROR(__xludf.dummyfunction("""COMPUTED_VALUE"""),"入居のしおりの内容についてご確認しました")</f>
        <v>入居のしおりの内容についてご確認しました</v>
      </c>
      <c r="AH25" s="6" t="str">
        <f aca="false">IFERROR(__xludf.dummyfunction("""COMPUTED_VALUE"""),"確認しました")</f>
        <v>確認しました</v>
      </c>
      <c r="AI25" s="6" t="str">
        <f aca="false">IFERROR(__xludf.dummyfunction("""COMPUTED_VALUE"""),"【進捗ID】
00000
【氏名】
照屋純一
【携帯番号】
09026649184
【現在お住まいの住所】
210-0004 神奈川県川崎市川崎区宮本町6-2-1201
【入居希望日】
2026年01月31日
【引越し業者手配】
必要
【性別】
男性
【国籍】
日本
【荷物量】
段ボール数: 20
家電: 冷蔵庫、洗濯機、電子レンジ、テレビ
家具: 机椅子、ソファー（3名掛け）
その他: 自転車
【駐車場手配】
必要
【車両情報】
車種: ああああ
ナンバープレート: 1111
色: "&amp;"しろ
【社宅希望タイプ】
家具家電なし社宅
【レンタル家具】
希望の有無: 利用する
レンタル希望品目: ガスコンロ
【通勤方法】
徒歩
【現在のお住まいの物件】
株式会社ビーネックステクノロジーズの社宅
【レンタル家具利用状況】
炊飯器　回収希望
【ライフライン】
希望する
【入居形態】
単身
【同居者情報】
【緊急連絡先】
住所：同上
氏名：照屋〇〇
フリガナ：テルヤ〇〇
生年月日：20001010
電話番号：09000000000
続柄：子
【ご要望】
3階以上希望")</f>
        <v>【進捗ID】
00000
【氏名】
照屋純一
【携帯番号】
09026649184
【現在お住まいの住所】
210-0004 神奈川県川崎市川崎区宮本町6-2-1201
【入居希望日】
2026年01月31日
【引越し業者手配】
必要
【性別】
男性
【国籍】
日本
【荷物量】
段ボール数: 20
家電: 冷蔵庫、洗濯機、電子レンジ、テレビ
家具: 机椅子、ソファー（3名掛け）
その他: 自転車
【駐車場手配】
必要
【車両情報】
車種: ああああ
ナンバープレート: 1111
色: しろ
【社宅希望タイプ】
家具家電なし社宅
【レンタル家具】
希望の有無: 利用する
レンタル希望品目: ガスコンロ
【通勤方法】
徒歩
【現在のお住まいの物件】
株式会社ビーネックステクノロジーズの社宅
【レンタル家具利用状況】
炊飯器　回収希望
【ライフライン】
希望する
【入居形態】
単身
【同居者情報】
【緊急連絡先】
住所：同上
氏名：照屋〇〇
フリガナ：テルヤ〇〇
生年月日：20001010
電話番号：09000000000
続柄：子
【ご要望】
3階以上希望</v>
      </c>
      <c r="AJ25" s="6" t="str">
        <v/>
      </c>
      <c r="AK25" s="6" t="str">
        <v/>
      </c>
      <c r="AL25" s="6" t="str">
        <v/>
      </c>
      <c r="AM25" s="6" t="str">
        <v/>
      </c>
      <c r="AN25" s="6" t="n">
        <f aca="false">FALSE()</f>
        <v>0</v>
      </c>
    </row>
    <row r="26" customFormat="false" ht="52.5" hidden="true" customHeight="true" outlineLevel="0" collapsed="false">
      <c r="A26" s="6" t="str">
        <f aca="false">IFERROR(__xludf.dummyfunction("""COMPUTED_VALUE"""),"2026/01/14 16:24:04")</f>
        <v>2026/01/14 16:24:04</v>
      </c>
      <c r="B26" s="6" t="str">
        <f aca="false">IFERROR(__xludf.dummyfunction("""COMPUTED_VALUE"""),"maeda@shataku.com")</f>
        <v>maeda@shataku.com</v>
      </c>
      <c r="C26" s="6" t="str">
        <f aca="false">IFERROR(__xludf.dummyfunction("""COMPUTED_VALUE"""),"12345")</f>
        <v>12345</v>
      </c>
      <c r="D26" s="6"/>
      <c r="E26" s="6" t="str">
        <f aca="false">IFERROR(__xludf.dummyfunction("""COMPUTED_VALUE"""),"08031292927")</f>
        <v>08031292927</v>
      </c>
      <c r="F26" s="6" t="str">
        <f aca="false">IFERROR(__xludf.dummyfunction("""COMPUTED_VALUE"""),"1050003")</f>
        <v>1050003</v>
      </c>
      <c r="G26" s="6" t="str">
        <f aca="false">IFERROR(__xludf.dummyfunction("""COMPUTED_VALUE"""),"2026/01/24")</f>
        <v>2026/01/24</v>
      </c>
      <c r="H26" s="6" t="str">
        <f aca="false">IFERROR(__xludf.dummyfunction("""COMPUTED_VALUE"""),"必要")</f>
        <v>必要</v>
      </c>
      <c r="I26" s="6" t="str">
        <f aca="false">IFERROR(__xludf.dummyfunction("""COMPUTED_VALUE"""),"男性")</f>
        <v>男性</v>
      </c>
      <c r="J26" s="6" t="str">
        <f aca="false">IFERROR(__xludf.dummyfunction("""COMPUTED_VALUE"""),"日本")</f>
        <v>日本</v>
      </c>
      <c r="K26" s="6" t="str">
        <f aca="false">IFERROR(__xludf.dummyfunction("""COMPUTED_VALUE"""),"15")</f>
        <v>15</v>
      </c>
      <c r="L26" s="6" t="str">
        <f aca="false">IFERROR(__xludf.dummyfunction("""COMPUTED_VALUE"""),"冷蔵庫")</f>
        <v>冷蔵庫</v>
      </c>
      <c r="M26" s="6" t="str">
        <f aca="false">IFERROR(__xludf.dummyfunction("""COMPUTED_VALUE"""),"ソファ")</f>
        <v>ソファ</v>
      </c>
      <c r="N26" s="6"/>
      <c r="O26" s="6" t="str">
        <f aca="false">IFERROR(__xludf.dummyfunction("""COMPUTED_VALUE"""),"必要")</f>
        <v>必要</v>
      </c>
      <c r="P26" s="6" t="str">
        <f aca="false">IFERROR(__xludf.dummyfunction("""COMPUTED_VALUE"""),"カローラ")</f>
        <v>カローラ</v>
      </c>
      <c r="Q26" s="6" t="str">
        <f aca="false">IFERROR(__xludf.dummyfunction("""COMPUTED_VALUE"""),"あ12-43")</f>
        <v>あ12-43</v>
      </c>
      <c r="R26" s="6" t="str">
        <f aca="false">IFERROR(__xludf.dummyfunction("""COMPUTED_VALUE"""),"白")</f>
        <v>白</v>
      </c>
      <c r="S26" s="6" t="str">
        <f aca="false">IFERROR(__xludf.dummyfunction("""COMPUTED_VALUE"""),"家具家電なし社宅")</f>
        <v>家具家電なし社宅</v>
      </c>
      <c r="T26" s="6" t="str">
        <f aca="false">IFERROR(__xludf.dummyfunction("""COMPUTED_VALUE"""),"利用する")</f>
        <v>利用する</v>
      </c>
      <c r="U26" s="6" t="str">
        <f aca="false">IFERROR(__xludf.dummyfunction("""COMPUTED_VALUE"""),"寝具")</f>
        <v>寝具</v>
      </c>
      <c r="V26" s="6" t="str">
        <f aca="false">IFERROR(__xludf.dummyfunction("""COMPUTED_VALUE"""),"徒歩, 自転車")</f>
        <v>徒歩, 自転車</v>
      </c>
      <c r="W26" s="6"/>
      <c r="X26" s="6" t="str">
        <f aca="false">IFERROR(__xludf.dummyfunction("""COMPUTED_VALUE"""),"株式会社ビーネックステクノロジーズの社宅")</f>
        <v>株式会社ビーネックステクノロジーズの社宅</v>
      </c>
      <c r="Y26" s="6" t="str">
        <f aca="false">IFERROR(__xludf.dummyfunction("""COMPUTED_VALUE"""),"利用なし")</f>
        <v>利用なし</v>
      </c>
      <c r="Z26" s="6" t="str">
        <f aca="false">IFERROR(__xludf.dummyfunction("""COMPUTED_VALUE"""),"希望する")</f>
        <v>希望する</v>
      </c>
      <c r="AA26" s="6" t="str">
        <f aca="false">IFERROR(__xludf.dummyfunction("""COMPUTED_VALUE"""),"単身")</f>
        <v>単身</v>
      </c>
      <c r="AB26" s="6"/>
      <c r="AC26" s="6" t="str">
        <f aca="false">IFERROR(__xludf.dummyfunction("""COMPUTED_VALUE"""),"あ")</f>
        <v>あ</v>
      </c>
      <c r="AD26" s="6"/>
      <c r="AE26" s="6" t="str">
        <f aca="false">IFERROR(__xludf.dummyfunction("""COMPUTED_VALUE"""),"確認しました。")</f>
        <v>確認しました。</v>
      </c>
      <c r="AF26" s="6" t="str">
        <f aca="false">IFERROR(__xludf.dummyfunction("""COMPUTED_VALUE"""),"社宅基準の内容についてご確認しました")</f>
        <v>社宅基準の内容についてご確認しました</v>
      </c>
      <c r="AG26" s="6" t="str">
        <f aca="false">IFERROR(__xludf.dummyfunction("""COMPUTED_VALUE"""),"入居のしおりの内容についてご確認しました")</f>
        <v>入居のしおりの内容についてご確認しました</v>
      </c>
      <c r="AH26" s="6" t="str">
        <f aca="false">IFERROR(__xludf.dummyfunction("""COMPUTED_VALUE"""),"確認しました")</f>
        <v>確認しました</v>
      </c>
      <c r="AI26" s="6" t="str">
        <f aca="false">IFERROR(__xludf.dummyfunction("""COMPUTED_VALUE"""),"【進捗ID】
12345
【氏名】
前田裕介
【携帯番号】
08031292927
【現在お住まいの住所】
1050003
【入居希望日】
2026年01月24日
【引越し業者手配】
必要
【性別】
男性
【国籍】
日本
【荷物量】
段ボール数: 15
家電: 冷蔵庫
家具: ソファ
その他: 
【駐車場手配】
必要
【車両情報】
車種: カローラ
ナンバープレート: あ12-43
色: 白
【社宅希望タイプ】
家具家電なし社宅
【レンタル家具】
希望の有無: 利用する
レンタル希"&amp;"望品目: 寝具
【通勤方法】
徒歩, 自転車
【現在のお住まいの物件】
株式会社ビーネックステクノロジーズの社宅
【レンタル家具利用状況】
利用なし
【ライフライン】
希望する
【入居形態】
単身
【同居者情報】
【緊急連絡先】
あ
【ご要望】
")</f>
        <v>【進捗ID】
12345
【氏名】
前田裕介
【携帯番号】
08031292927
【現在お住まいの住所】
1050003
【入居希望日】
2026年01月24日
【引越し業者手配】
必要
【性別】
男性
【国籍】
日本
【荷物量】
段ボール数: 15
家電: 冷蔵庫
家具: ソファ
その他: 
【駐車場手配】
必要
【車両情報】
車種: カローラ
ナンバープレート: あ12-43
色: 白
【社宅希望タイプ】
家具家電なし社宅
【レンタル家具】
希望の有無: 利用する
レンタル希望品目: 寝具
【通勤方法】
徒歩, 自転車
【現在のお住まいの物件】
株式会社ビーネックステクノロジーズの社宅
【レンタル家具利用状況】
利用なし
【ライフライン】
希望する
【入居形態】
単身
【同居者情報】
【緊急連絡先】
あ
【ご要望】
</v>
      </c>
      <c r="AJ26" s="6" t="str">
        <v/>
      </c>
      <c r="AK26" s="6" t="str">
        <v/>
      </c>
      <c r="AL26" s="6" t="str">
        <v/>
      </c>
      <c r="AM26" s="6" t="str">
        <v/>
      </c>
      <c r="AN26" s="6" t="n">
        <f aca="false">FALSE()</f>
        <v>0</v>
      </c>
    </row>
    <row r="27" customFormat="false" ht="52.5" hidden="true" customHeight="true" outlineLevel="0" collapsed="false">
      <c r="A27" s="6" t="str">
        <f aca="false">IFERROR(__xludf.dummyfunction("""COMPUTED_VALUE"""),"2026/01/14 16:55:41")</f>
        <v>2026/01/14 16:55:41</v>
      </c>
      <c r="B27" s="6" t="str">
        <f aca="false">IFERROR(__xludf.dummyfunction("""COMPUTED_VALUE"""),"yuka.torii@shataku.com")</f>
        <v>yuka.torii@shataku.com</v>
      </c>
      <c r="C27" s="6" t="str">
        <f aca="false">IFERROR(__xludf.dummyfunction("""COMPUTED_VALUE"""),"88888")</f>
        <v>88888</v>
      </c>
      <c r="D27" s="6"/>
      <c r="E27" s="6" t="str">
        <f aca="false">IFERROR(__xludf.dummyfunction("""COMPUTED_VALUE"""),"07073016163")</f>
        <v>07073016163</v>
      </c>
      <c r="F27" s="6" t="str">
        <f aca="false">IFERROR(__xludf.dummyfunction("""COMPUTED_VALUE"""),"123-456 東京都荒川区東尾久")</f>
        <v>123-456 東京都荒川区東尾久</v>
      </c>
      <c r="G27" s="6" t="str">
        <f aca="false">IFERROR(__xludf.dummyfunction("""COMPUTED_VALUE"""),"2026/01/30")</f>
        <v>2026/01/30</v>
      </c>
      <c r="H27" s="6" t="str">
        <f aca="false">IFERROR(__xludf.dummyfunction("""COMPUTED_VALUE"""),"必要")</f>
        <v>必要</v>
      </c>
      <c r="I27" s="6" t="str">
        <f aca="false">IFERROR(__xludf.dummyfunction("""COMPUTED_VALUE"""),"女性")</f>
        <v>女性</v>
      </c>
      <c r="J27" s="6" t="str">
        <f aca="false">IFERROR(__xludf.dummyfunction("""COMPUTED_VALUE"""),"日本")</f>
        <v>日本</v>
      </c>
      <c r="K27" s="6" t="str">
        <f aca="false">IFERROR(__xludf.dummyfunction("""COMPUTED_VALUE"""),"25")</f>
        <v>25</v>
      </c>
      <c r="L27" s="6" t="str">
        <f aca="false">IFERROR(__xludf.dummyfunction("""COMPUTED_VALUE"""),"単身冷蔵庫、洗濯機、テレビ、")</f>
        <v>単身冷蔵庫、洗濯機、テレビ、</v>
      </c>
      <c r="M27" s="6" t="str">
        <f aca="false">IFERROR(__xludf.dummyfunction("""COMPUTED_VALUE"""),"シングルベッド、机、椅子、2人掛けソファー")</f>
        <v>シングルベッド、机、椅子、2人掛けソファー</v>
      </c>
      <c r="N27" s="6" t="str">
        <f aca="false">IFERROR(__xludf.dummyfunction("""COMPUTED_VALUE"""),"自転車")</f>
        <v>自転車</v>
      </c>
      <c r="O27" s="6" t="str">
        <f aca="false">IFERROR(__xludf.dummyfunction("""COMPUTED_VALUE"""),"必要")</f>
        <v>必要</v>
      </c>
      <c r="P27" s="6" t="str">
        <f aca="false">IFERROR(__xludf.dummyfunction("""COMPUTED_VALUE"""),"ハスラー")</f>
        <v>ハスラー</v>
      </c>
      <c r="Q27" s="6" t="str">
        <f aca="false">IFERROR(__xludf.dummyfunction("""COMPUTED_VALUE"""),"ゆ12-35")</f>
        <v>ゆ12-35</v>
      </c>
      <c r="R27" s="6" t="str">
        <f aca="false">IFERROR(__xludf.dummyfunction("""COMPUTED_VALUE"""),"白")</f>
        <v>白</v>
      </c>
      <c r="S27" s="6" t="str">
        <f aca="false">IFERROR(__xludf.dummyfunction("""COMPUTED_VALUE"""),"家具家電なし社宅")</f>
        <v>家具家電なし社宅</v>
      </c>
      <c r="T27" s="6" t="str">
        <f aca="false">IFERROR(__xludf.dummyfunction("""COMPUTED_VALUE"""),"利用する")</f>
        <v>利用する</v>
      </c>
      <c r="U27" s="6" t="str">
        <f aca="false">IFERROR(__xludf.dummyfunction("""COMPUTED_VALUE"""),"炊飯器")</f>
        <v>炊飯器</v>
      </c>
      <c r="V27" s="6" t="str">
        <f aca="false">IFERROR(__xludf.dummyfunction("""COMPUTED_VALUE"""),"電車")</f>
        <v>電車</v>
      </c>
      <c r="W27" s="6"/>
      <c r="X27" s="6" t="str">
        <f aca="false">IFERROR(__xludf.dummyfunction("""COMPUTED_VALUE"""),"株式会社ビーネックステクノロジーズの社宅")</f>
        <v>株式会社ビーネックステクノロジーズの社宅</v>
      </c>
      <c r="Y27" s="6" t="str">
        <f aca="false">IFERROR(__xludf.dummyfunction("""COMPUTED_VALUE"""),"なし")</f>
        <v>なし</v>
      </c>
      <c r="Z27" s="6" t="str">
        <f aca="false">IFERROR(__xludf.dummyfunction("""COMPUTED_VALUE"""),"希望する")</f>
        <v>希望する</v>
      </c>
      <c r="AA27" s="6" t="str">
        <f aca="false">IFERROR(__xludf.dummyfunction("""COMPUTED_VALUE"""),"単身")</f>
        <v>単身</v>
      </c>
      <c r="AB27" s="6"/>
      <c r="AC27" s="6" t="str">
        <f aca="false">IFERROR(__xludf.dummyfunction("""COMPUTED_VALUE"""),"住所：兵庫県赤穂市
氏名：鳥井
フリガナ：トリイ
生年月日：2058/09/03
電話番号：07056230895
続柄：母")</f>
        <v>住所：兵庫県赤穂市
氏名：鳥井
フリガナ：トリイ
生年月日：2058/09/03
電話番号：07056230895
続柄：母</v>
      </c>
      <c r="AD27" s="6"/>
      <c r="AE27" s="6" t="str">
        <f aca="false">IFERROR(__xludf.dummyfunction("""COMPUTED_VALUE"""),"確認しました。")</f>
        <v>確認しました。</v>
      </c>
      <c r="AF27" s="6" t="str">
        <f aca="false">IFERROR(__xludf.dummyfunction("""COMPUTED_VALUE"""),"社宅基準の内容についてご確認しました")</f>
        <v>社宅基準の内容についてご確認しました</v>
      </c>
      <c r="AG27" s="6" t="str">
        <f aca="false">IFERROR(__xludf.dummyfunction("""COMPUTED_VALUE"""),"入居のしおりの内容についてご確認しました")</f>
        <v>入居のしおりの内容についてご確認しました</v>
      </c>
      <c r="AH27" s="6" t="str">
        <f aca="false">IFERROR(__xludf.dummyfunction("""COMPUTED_VALUE"""),"確認しました")</f>
        <v>確認しました</v>
      </c>
      <c r="AI27" s="6" t="str">
        <f aca="false">IFERROR(__xludf.dummyfunction("""COMPUTED_VALUE"""),"【進捗ID】
88888
【氏名】
鳥井祐香
【携帯番号】
07073016163
【現在お住まいの住所】
123-456 東京都荒川区東尾久
【入居希望日】
2026年01月30日
【引越し業者手配】
必要
【性別】
女性
【国籍】
日本
【荷物量】
段ボール数: 25
家電: 単身冷蔵庫、洗濯機、テレビ、
家具: シングルベッド、机、椅子、2人掛けソファー
その他: 自転車
【駐車場手配】
必要
【車両情報】
車種: ハスラー
ナンバープレート: ゆ12-35
色: 白
【社宅希"&amp;"望タイプ】
家具家電なし社宅
【レンタル家具】
希望の有無: 利用する
レンタル希望品目: 炊飯器
【通勤方法】
電車
【現在のお住まいの物件】
株式会社ビーネックステクノロジーズの社宅
【レンタル家具利用状況】
なし
【ライフライン】
希望する
【入居形態】
単身
【同居者情報】
【緊急連絡先】
住所：兵庫県赤穂市
氏名：鳥井
フリガナ：トリイ
生年月日：2058/09/03
電話番号：07056230895
続柄：母
【ご要望】
")</f>
        <v>【進捗ID】
88888
【氏名】
鳥井祐香
【携帯番号】
07073016163
【現在お住まいの住所】
123-456 東京都荒川区東尾久
【入居希望日】
2026年01月30日
【引越し業者手配】
必要
【性別】
女性
【国籍】
日本
【荷物量】
段ボール数: 25
家電: 単身冷蔵庫、洗濯機、テレビ、
家具: シングルベッド、机、椅子、2人掛けソファー
その他: 自転車
【駐車場手配】
必要
【車両情報】
車種: ハスラー
ナンバープレート: ゆ12-35
色: 白
【社宅希望タイプ】
家具家電なし社宅
【レンタル家具】
希望の有無: 利用する
レンタル希望品目: 炊飯器
【通勤方法】
電車
【現在のお住まいの物件】
株式会社ビーネックステクノロジーズの社宅
【レンタル家具利用状況】
なし
【ライフライン】
希望する
【入居形態】
単身
【同居者情報】
【緊急連絡先】
住所：兵庫県赤穂市
氏名：鳥井
フリガナ：トリイ
生年月日：2058/09/03
電話番号：07056230895
続柄：母
【ご要望】
</v>
      </c>
      <c r="AJ27" s="6" t="str">
        <v/>
      </c>
      <c r="AK27" s="6" t="str">
        <v/>
      </c>
      <c r="AL27" s="6" t="str">
        <v/>
      </c>
      <c r="AM27" s="6" t="str">
        <v/>
      </c>
      <c r="AN27" s="6" t="n">
        <f aca="false">TRUE()</f>
        <v>1</v>
      </c>
    </row>
    <row r="28" customFormat="false" ht="52.5" hidden="true" customHeight="true" outlineLevel="0" collapsed="false">
      <c r="A28" s="6" t="str">
        <f aca="false">IFERROR(__xludf.dummyfunction("""COMPUTED_VALUE"""),"2026/01/14 18:01:36")</f>
        <v>2026/01/14 18:01:36</v>
      </c>
      <c r="B28" s="6" t="str">
        <f aca="false">IFERROR(__xludf.dummyfunction("""COMPUTED_VALUE"""),"ai.hieda@shataku.com")</f>
        <v>ai.hieda@shataku.com</v>
      </c>
      <c r="C28" s="6" t="str">
        <f aca="false">IFERROR(__xludf.dummyfunction("""COMPUTED_VALUE"""),"00000")</f>
        <v>00000</v>
      </c>
      <c r="D28" s="6"/>
      <c r="E28" s="6" t="str">
        <f aca="false">IFERROR(__xludf.dummyfunction("""COMPUTED_VALUE"""),"08097161239")</f>
        <v>08097161239</v>
      </c>
      <c r="F28" s="6" t="str">
        <f aca="false">IFERROR(__xludf.dummyfunction("""COMPUTED_VALUE"""),"東京都港区西新橋1-24-16")</f>
        <v>東京都港区西新橋1-24-16</v>
      </c>
      <c r="G28" s="6" t="str">
        <f aca="false">IFERROR(__xludf.dummyfunction("""COMPUTED_VALUE"""),"2026/02/01")</f>
        <v>2026/02/01</v>
      </c>
      <c r="H28" s="6" t="str">
        <f aca="false">IFERROR(__xludf.dummyfunction("""COMPUTED_VALUE"""),"必要")</f>
        <v>必要</v>
      </c>
      <c r="I28" s="6" t="str">
        <f aca="false">IFERROR(__xludf.dummyfunction("""COMPUTED_VALUE"""),"女性")</f>
        <v>女性</v>
      </c>
      <c r="J28" s="6" t="str">
        <f aca="false">IFERROR(__xludf.dummyfunction("""COMPUTED_VALUE"""),"日本")</f>
        <v>日本</v>
      </c>
      <c r="K28" s="6" t="str">
        <f aca="false">IFERROR(__xludf.dummyfunction("""COMPUTED_VALUE"""),"3")</f>
        <v>3</v>
      </c>
      <c r="L28" s="6" t="str">
        <f aca="false">IFERROR(__xludf.dummyfunction("""COMPUTED_VALUE"""),"冷蔵庫、電子レンジ、洗濯機")</f>
        <v>冷蔵庫、電子レンジ、洗濯機</v>
      </c>
      <c r="M28" s="6" t="str">
        <f aca="false">IFERROR(__xludf.dummyfunction("""COMPUTED_VALUE"""),"机、椅子")</f>
        <v>机、椅子</v>
      </c>
      <c r="N28" s="6" t="str">
        <f aca="false">IFERROR(__xludf.dummyfunction("""COMPUTED_VALUE"""),"自転車")</f>
        <v>自転車</v>
      </c>
      <c r="O28" s="6" t="str">
        <f aca="false">IFERROR(__xludf.dummyfunction("""COMPUTED_VALUE"""),"必要")</f>
        <v>必要</v>
      </c>
      <c r="P28" s="6" t="str">
        <f aca="false">IFERROR(__xludf.dummyfunction("""COMPUTED_VALUE"""),"プリウス")</f>
        <v>プリウス</v>
      </c>
      <c r="Q28" s="6" t="str">
        <f aca="false">IFERROR(__xludf.dummyfunction("""COMPUTED_VALUE"""),"あ12-34")</f>
        <v>あ12-34</v>
      </c>
      <c r="R28" s="6" t="str">
        <f aca="false">IFERROR(__xludf.dummyfunction("""COMPUTED_VALUE"""),"黒")</f>
        <v>黒</v>
      </c>
      <c r="S28" s="6" t="str">
        <f aca="false">IFERROR(__xludf.dummyfunction("""COMPUTED_VALUE"""),"家具家電なし社宅")</f>
        <v>家具家電なし社宅</v>
      </c>
      <c r="T28" s="6" t="str">
        <f aca="false">IFERROR(__xludf.dummyfunction("""COMPUTED_VALUE"""),"利用する")</f>
        <v>利用する</v>
      </c>
      <c r="U28" s="6" t="str">
        <f aca="false">IFERROR(__xludf.dummyfunction("""COMPUTED_VALUE"""),"炊飯器、掃除機")</f>
        <v>炊飯器、掃除機</v>
      </c>
      <c r="V28" s="6" t="str">
        <f aca="false">IFERROR(__xludf.dummyfunction("""COMPUTED_VALUE"""),"徒歩")</f>
        <v>徒歩</v>
      </c>
      <c r="W28" s="6"/>
      <c r="X28" s="6" t="str">
        <f aca="false">IFERROR(__xludf.dummyfunction("""COMPUTED_VALUE"""),"株式会社ビーネックステクノロジーズの社宅")</f>
        <v>株式会社ビーネックステクノロジーズの社宅</v>
      </c>
      <c r="Y28" s="6" t="str">
        <f aca="false">IFERROR(__xludf.dummyfunction("""COMPUTED_VALUE"""),"利用なし")</f>
        <v>利用なし</v>
      </c>
      <c r="Z28" s="6" t="str">
        <f aca="false">IFERROR(__xludf.dummyfunction("""COMPUTED_VALUE"""),"希望する")</f>
        <v>希望する</v>
      </c>
      <c r="AA28" s="6" t="str">
        <f aca="false">IFERROR(__xludf.dummyfunction("""COMPUTED_VALUE"""),"単身")</f>
        <v>単身</v>
      </c>
      <c r="AB28" s="6"/>
      <c r="AC28" s="6" t="str">
        <f aca="false">IFERROR(__xludf.dummyfunction("""COMPUTED_VALUE"""),"住所：
氏名：
フリガナ：
生年月日：
電話番号：
続柄：")</f>
        <v>住所：
氏名：
フリガナ：
生年月日：
電話番号：
続柄：</v>
      </c>
      <c r="AD28" s="6"/>
      <c r="AE28" s="6" t="str">
        <f aca="false">IFERROR(__xludf.dummyfunction("""COMPUTED_VALUE"""),"確認しました。")</f>
        <v>確認しました。</v>
      </c>
      <c r="AF28" s="6" t="str">
        <f aca="false">IFERROR(__xludf.dummyfunction("""COMPUTED_VALUE"""),"社宅基準の内容についてご確認しました")</f>
        <v>社宅基準の内容についてご確認しました</v>
      </c>
      <c r="AG28" s="6" t="str">
        <f aca="false">IFERROR(__xludf.dummyfunction("""COMPUTED_VALUE"""),"入居のしおりの内容についてご確認しました")</f>
        <v>入居のしおりの内容についてご確認しました</v>
      </c>
      <c r="AH28" s="6" t="str">
        <f aca="false">IFERROR(__xludf.dummyfunction("""COMPUTED_VALUE"""),"確認しました")</f>
        <v>確認しました</v>
      </c>
      <c r="AI28" s="6" t="str">
        <f aca="false">IFERROR(__xludf.dummyfunction("""COMPUTED_VALUE"""),"【進捗ID】
00000
【氏名】
ヒエダ アイ
【携帯番号】
08097161239
【現在お住まいの住所】
東京都港区西新橋1-24-16
【入居希望日】
2026年02月01日
【引越し業者手配】
必要
【性別】
女性
【国籍】
日本
【荷物量】
段ボール数: 3
家電: 冷蔵庫、電子レンジ、洗濯機
家具: 机、椅子
その他: 自転車
【駐車場手配】
必要
【車両情報】
車種: プリウス
ナンバープレート: あ12-34
色: 黒
【社宅希望タイプ】
家具家電なし社宅
【レン"&amp;"タル家具】
希望の有無: 利用する
レンタル希望品目: 炊飯器、掃除機
【通勤方法】
徒歩
【現在のお住まいの物件】
株式会社ビーネックステクノロジーズの社宅
【レンタル家具利用状況】
利用なし
【ライフライン】
希望する
【入居形態】
単身
【同居者情報】
【緊急連絡先】
住所：
氏名：
フリガナ：
生年月日：
電話番号：
続柄：
【ご要望】
")</f>
        <v>【進捗ID】
00000
【氏名】
ヒエダ アイ
【携帯番号】
08097161239
【現在お住まいの住所】
東京都港区西新橋1-24-16
【入居希望日】
2026年02月01日
【引越し業者手配】
必要
【性別】
女性
【国籍】
日本
【荷物量】
段ボール数: 3
家電: 冷蔵庫、電子レンジ、洗濯機
家具: 机、椅子
その他: 自転車
【駐車場手配】
必要
【車両情報】
車種: プリウス
ナンバープレート: あ12-34
色: 黒
【社宅希望タイプ】
家具家電なし社宅
【レンタル家具】
希望の有無: 利用する
レンタル希望品目: 炊飯器、掃除機
【通勤方法】
徒歩
【現在のお住まいの物件】
株式会社ビーネックステクノロジーズの社宅
【レンタル家具利用状況】
利用なし
【ライフライン】
希望する
【入居形態】
単身
【同居者情報】
【緊急連絡先】
住所：
氏名：
フリガナ：
生年月日：
電話番号：
続柄：
【ご要望】
</v>
      </c>
      <c r="AJ28" s="6" t="str">
        <v/>
      </c>
      <c r="AK28" s="6" t="str">
        <v/>
      </c>
      <c r="AL28" s="6" t="str">
        <v/>
      </c>
      <c r="AM28" s="6" t="str">
        <v/>
      </c>
      <c r="AN28" s="6" t="n">
        <f aca="false">FALSE()</f>
        <v>0</v>
      </c>
    </row>
    <row r="29" customFormat="false" ht="52.5" hidden="true" customHeight="true" outlineLevel="0" collapsed="false">
      <c r="A29" s="6" t="str">
        <f aca="false">IFERROR(__xludf.dummyfunction("""COMPUTED_VALUE"""),"2026/01/30 11:45:27")</f>
        <v>2026/01/30 11:45:27</v>
      </c>
      <c r="B29" s="6" t="str">
        <f aca="false">IFERROR(__xludf.dummyfunction("""COMPUTED_VALUE"""),"osumikana1126@gmail.com")</f>
        <v>osumikana1126@gmail.com</v>
      </c>
      <c r="C29" s="6" t="str">
        <f aca="false">IFERROR(__xludf.dummyfunction("""COMPUTED_VALUE"""),"11111")</f>
        <v>11111</v>
      </c>
      <c r="D29" s="6"/>
      <c r="E29" s="6" t="str">
        <f aca="false">IFERROR(__xludf.dummyfunction("""COMPUTED_VALUE"""),"11111111111")</f>
        <v>11111111111</v>
      </c>
      <c r="F29" s="6" t="str">
        <f aca="false">IFERROR(__xludf.dummyfunction("""COMPUTED_VALUE"""),"1")</f>
        <v>1</v>
      </c>
      <c r="G29" s="6" t="str">
        <f aca="false">IFERROR(__xludf.dummyfunction("""COMPUTED_VALUE"""),"2026/02/04")</f>
        <v>2026/02/04</v>
      </c>
      <c r="H29" s="6" t="str">
        <f aca="false">IFERROR(__xludf.dummyfunction("""COMPUTED_VALUE"""),"必要")</f>
        <v>必要</v>
      </c>
      <c r="I29" s="6" t="str">
        <f aca="false">IFERROR(__xludf.dummyfunction("""COMPUTED_VALUE"""),"女性")</f>
        <v>女性</v>
      </c>
      <c r="J29" s="6" t="str">
        <f aca="false">IFERROR(__xludf.dummyfunction("""COMPUTED_VALUE"""),"日本")</f>
        <v>日本</v>
      </c>
      <c r="K29" s="6" t="str">
        <f aca="false">IFERROR(__xludf.dummyfunction("""COMPUTED_VALUE"""),"1")</f>
        <v>1</v>
      </c>
      <c r="L29" s="6" t="str">
        <f aca="false">IFERROR(__xludf.dummyfunction("""COMPUTED_VALUE"""),"1")</f>
        <v>1</v>
      </c>
      <c r="M29" s="6" t="str">
        <f aca="false">IFERROR(__xludf.dummyfunction("""COMPUTED_VALUE"""),"1")</f>
        <v>1</v>
      </c>
      <c r="N29" s="6" t="str">
        <f aca="false">IFERROR(__xludf.dummyfunction("""COMPUTED_VALUE"""),"1")</f>
        <v>1</v>
      </c>
      <c r="O29" s="6" t="str">
        <f aca="false">IFERROR(__xludf.dummyfunction("""COMPUTED_VALUE"""),"必要")</f>
        <v>必要</v>
      </c>
      <c r="P29" s="6" t="str">
        <f aca="false">IFERROR(__xludf.dummyfunction("""COMPUTED_VALUE"""),"1")</f>
        <v>1</v>
      </c>
      <c r="Q29" s="6" t="str">
        <f aca="false">IFERROR(__xludf.dummyfunction("""COMPUTED_VALUE"""),"11111")</f>
        <v>11111</v>
      </c>
      <c r="R29" s="6" t="str">
        <f aca="false">IFERROR(__xludf.dummyfunction("""COMPUTED_VALUE"""),"1")</f>
        <v>1</v>
      </c>
      <c r="S29" s="6" t="str">
        <f aca="false">IFERROR(__xludf.dummyfunction("""COMPUTED_VALUE"""),"家具家電なし社宅")</f>
        <v>家具家電なし社宅</v>
      </c>
      <c r="T29" s="6" t="str">
        <f aca="false">IFERROR(__xludf.dummyfunction("""COMPUTED_VALUE"""),"利用する")</f>
        <v>利用する</v>
      </c>
      <c r="U29" s="6" t="str">
        <f aca="false">IFERROR(__xludf.dummyfunction("""COMPUTED_VALUE"""),"1")</f>
        <v>1</v>
      </c>
      <c r="V29" s="6" t="str">
        <f aca="false">IFERROR(__xludf.dummyfunction("""COMPUTED_VALUE"""),"自動車")</f>
        <v>自動車</v>
      </c>
      <c r="W29" s="6"/>
      <c r="X29" s="6" t="str">
        <f aca="false">IFERROR(__xludf.dummyfunction("""COMPUTED_VALUE"""),"株式会社ビーネックステクノロジーズの社宅")</f>
        <v>株式会社ビーネックステクノロジーズの社宅</v>
      </c>
      <c r="Y29" s="6" t="str">
        <f aca="false">IFERROR(__xludf.dummyfunction("""COMPUTED_VALUE"""),"1")</f>
        <v>1</v>
      </c>
      <c r="Z29" s="6" t="str">
        <f aca="false">IFERROR(__xludf.dummyfunction("""COMPUTED_VALUE"""),"希望する")</f>
        <v>希望する</v>
      </c>
      <c r="AA29" s="6" t="str">
        <f aca="false">IFERROR(__xludf.dummyfunction("""COMPUTED_VALUE"""),"単身")</f>
        <v>単身</v>
      </c>
      <c r="AB29" s="6"/>
      <c r="AC29" s="6" t="str">
        <f aca="false">IFERROR(__xludf.dummyfunction("""COMPUTED_VALUE"""),"住所：1
氏名：1
フリガナ：1
生年月日：1
電話番号：1
続柄：1")</f>
        <v>住所：1
氏名：1
フリガナ：1
生年月日：1
電話番号：1
続柄：1</v>
      </c>
      <c r="AD29" s="6" t="str">
        <f aca="false">IFERROR(__xludf.dummyfunction("""COMPUTED_VALUE"""),"111")</f>
        <v>111</v>
      </c>
      <c r="AE29" s="6" t="str">
        <f aca="false">IFERROR(__xludf.dummyfunction("""COMPUTED_VALUE"""),"確認しました。")</f>
        <v>確認しました。</v>
      </c>
      <c r="AF29" s="6" t="str">
        <f aca="false">IFERROR(__xludf.dummyfunction("""COMPUTED_VALUE"""),"社宅基準の内容について確認しました")</f>
        <v>社宅基準の内容について確認しました</v>
      </c>
      <c r="AG29" s="6" t="str">
        <f aca="false">IFERROR(__xludf.dummyfunction("""COMPUTED_VALUE"""),"入居のしおりの内容についてご確認しました")</f>
        <v>入居のしおりの内容についてご確認しました</v>
      </c>
      <c r="AH29" s="6" t="str">
        <f aca="false">IFERROR(__xludf.dummyfunction("""COMPUTED_VALUE"""),"確認しました")</f>
        <v>確認しました</v>
      </c>
      <c r="AI29" s="6" t="str">
        <f aca="false">IFERROR(__xludf.dummyfunction("""COMPUTED_VALUE"""),"【進捗ID】
11111
【氏名】
1
【携帯番号】
11111111111
【現在お住まいの住所】
1
【入居希望日】
2026年02月04日
【引越し業者手配】
必要
【性別】
女性
【国籍】
日本
【荷物量】
段ボール数: 1
家電: 1
家具: 1
その他: 1
【駐車場手配】
必要
【車両情報】
車種: 1
ナンバープレート: 11111
色: 1
【社宅希望タイプ】
家具家電なし社宅
【レンタル家具】
希望の有無: 利用する
レンタル希望品目: 1
【通勤方法】
自動"&amp;"車
【現在のお住まいの物件】
株式会社ビーネックステクノロジーズの社宅
【レンタル家具利用状況】
1
【ライフライン】
希望する
【入居形態】
単身
【同居者情報】
【緊急連絡先】
住所：1
氏名：1
フリガナ：1
生年月日：1
電話番号：1
続柄：1
【ご要望】
111")</f>
        <v>【進捗ID】
11111
【氏名】
1
【携帯番号】
11111111111
【現在お住まいの住所】
1
【入居希望日】
2026年02月04日
【引越し業者手配】
必要
【性別】
女性
【国籍】
日本
【荷物量】
段ボール数: 1
家電: 1
家具: 1
その他: 1
【駐車場手配】
必要
【車両情報】
車種: 1
ナンバープレート: 11111
色: 1
【社宅希望タイプ】
家具家電なし社宅
【レンタル家具】
希望の有無: 利用する
レンタル希望品目: 1
【通勤方法】
自動車
【現在のお住まいの物件】
株式会社ビーネックステクノロジーズの社宅
【レンタル家具利用状況】
1
【ライフライン】
希望する
【入居形態】
単身
【同居者情報】
【緊急連絡先】
住所：1
氏名：1
フリガナ：1
生年月日：1
電話番号：1
続柄：1
【ご要望】
111</v>
      </c>
      <c r="AJ29" s="6" t="str">
        <v/>
      </c>
      <c r="AK29" s="6" t="str">
        <v/>
      </c>
      <c r="AL29" s="6" t="str">
        <v/>
      </c>
      <c r="AM29" s="6" t="str">
        <v/>
      </c>
      <c r="AN29" s="6" t="n">
        <f aca="false">FALSE()</f>
        <v>0</v>
      </c>
    </row>
    <row r="30" customFormat="false" ht="52.5" hidden="false" customHeight="true" outlineLevel="0" collapsed="false">
      <c r="A30" s="6" t="str">
        <f aca="false">IFERROR(__xludf.dummyfunction("""COMPUTED_VALUE"""),"2026/02/02 12:54:06")</f>
        <v>2026/02/02 12:54:06</v>
      </c>
      <c r="B30" s="6"/>
      <c r="C30" s="6" t="str">
        <f aca="false">IFERROR(__xludf.dummyfunction("""COMPUTED_VALUE"""),"69485")</f>
        <v>69485</v>
      </c>
      <c r="D30" s="6"/>
      <c r="E30" s="6"/>
      <c r="F30" s="6"/>
      <c r="G30" s="6" t="str">
        <f aca="false">IFERROR(__xludf.dummyfunction("""COMPUTED_VALUE"""),"2026/02/14")</f>
        <v>2026/02/14</v>
      </c>
      <c r="H30" s="6" t="str">
        <f aca="false">IFERROR(__xludf.dummyfunction("""COMPUTED_VALUE"""),"必要")</f>
        <v>必要</v>
      </c>
      <c r="I30" s="6" t="str">
        <f aca="false">IFERROR(__xludf.dummyfunction("""COMPUTED_VALUE"""),"男性")</f>
        <v>男性</v>
      </c>
      <c r="J30" s="6" t="str">
        <f aca="false">IFERROR(__xludf.dummyfunction("""COMPUTED_VALUE"""),"日本")</f>
        <v>日本</v>
      </c>
      <c r="K30" s="6" t="str">
        <f aca="false">IFERROR(__xludf.dummyfunction("""COMPUTED_VALUE"""),"3")</f>
        <v>3</v>
      </c>
      <c r="L30" s="6" t="str">
        <f aca="false">IFERROR(__xludf.dummyfunction("""COMPUTED_VALUE"""),"モニター2つ")</f>
        <v>モニター2つ</v>
      </c>
      <c r="M30" s="6" t="str">
        <f aca="false">IFERROR(__xludf.dummyfunction("""COMPUTED_VALUE"""),"机(120/55/73)、棚(55/30.5/153)")</f>
        <v>机(120/55/73)、棚(55/30.5/153)</v>
      </c>
      <c r="N30" s="6" t="str">
        <f aca="false">IFERROR(__xludf.dummyfunction("""COMPUTED_VALUE"""),"ディスクトップPC")</f>
        <v>ディスクトップPC</v>
      </c>
      <c r="O30" s="6" t="str">
        <f aca="false">IFERROR(__xludf.dummyfunction("""COMPUTED_VALUE"""),"不要")</f>
        <v>不要</v>
      </c>
      <c r="P30" s="6"/>
      <c r="Q30" s="6"/>
      <c r="R30" s="6"/>
      <c r="S30" s="6" t="str">
        <f aca="false">IFERROR(__xludf.dummyfunction("""COMPUTED_VALUE"""),"家具家電付き社宅")</f>
        <v>家具家電付き社宅</v>
      </c>
      <c r="T30" s="6" t="str">
        <f aca="false">IFERROR(__xludf.dummyfunction("""COMPUTED_VALUE"""),"利用しない")</f>
        <v>利用しない</v>
      </c>
      <c r="U30" s="6"/>
      <c r="V30" s="6" t="str">
        <f aca="false">IFERROR(__xludf.dummyfunction("""COMPUTED_VALUE"""),"徒歩, 自転車")</f>
        <v>徒歩, 自転車</v>
      </c>
      <c r="W30" s="6"/>
      <c r="X30" s="6" t="str">
        <f aca="false">IFERROR(__xludf.dummyfunction("""COMPUTED_VALUE"""),"実家")</f>
        <v>実家</v>
      </c>
      <c r="Y30" s="6"/>
      <c r="Z30" s="6" t="str">
        <f aca="false">IFERROR(__xludf.dummyfunction("""COMPUTED_VALUE"""),"希望する")</f>
        <v>希望する</v>
      </c>
      <c r="AA30" s="6" t="str">
        <f aca="false">IFERROR(__xludf.dummyfunction("""COMPUTED_VALUE"""),"単身")</f>
        <v>単身</v>
      </c>
      <c r="AB30" s="6"/>
      <c r="AC30" s="6"/>
      <c r="AD30" s="6" t="str">
        <f aca="false">IFERROR(__xludf.dummyfunction("""COMPUTED_VALUE"""),"ネットを早めに使えるようにしたい")</f>
        <v>ネットを早めに使えるようにしたい</v>
      </c>
      <c r="AE30" s="6" t="str">
        <f aca="false">IFERROR(__xludf.dummyfunction("""COMPUTED_VALUE"""),"確認しました。")</f>
        <v>確認しました。</v>
      </c>
      <c r="AF30" s="6" t="str">
        <f aca="false">IFERROR(__xludf.dummyfunction("""COMPUTED_VALUE"""),"社宅基準の内容について確認しました")</f>
        <v>社宅基準の内容について確認しました</v>
      </c>
      <c r="AG30" s="6" t="str">
        <f aca="false">IFERROR(__xludf.dummyfunction("""COMPUTED_VALUE"""),"入居のしおりの内容についてご確認しました")</f>
        <v>入居のしおりの内容についてご確認しました</v>
      </c>
      <c r="AH30" s="6" t="str">
        <f aca="false">IFERROR(__xludf.dummyfunction("""COMPUTED_VALUE"""),"確認しました")</f>
        <v>確認しました</v>
      </c>
      <c r="AI30" s="6"/>
      <c r="AJ30" s="6" t="str">
        <v/>
      </c>
      <c r="AK30" s="6" t="str">
        <v/>
      </c>
      <c r="AL30" s="6" t="str">
        <v/>
      </c>
      <c r="AM30" s="6" t="str">
        <v/>
      </c>
      <c r="AN30" s="6" t="n">
        <f aca="false">FALSE()</f>
        <v>0</v>
      </c>
    </row>
    <row r="31" customFormat="false" ht="52.5" hidden="false" customHeight="true" outlineLevel="0" collapsed="false">
      <c r="A31" s="6" t="str">
        <f aca="false">IFERROR(__xludf.dummyfunction("""COMPUTED_VALUE"""),"2026/02/02 17:40:25")</f>
        <v>2026/02/02 17:40:25</v>
      </c>
      <c r="B31" s="6"/>
      <c r="C31" s="6" t="str">
        <f aca="false">IFERROR(__xludf.dummyfunction("""COMPUTED_VALUE"""),"69508")</f>
        <v>69508</v>
      </c>
      <c r="D31" s="6"/>
      <c r="E31" s="6"/>
      <c r="F31" s="6"/>
      <c r="G31" s="6" t="str">
        <f aca="false">IFERROR(__xludf.dummyfunction("""COMPUTED_VALUE"""),"2026/02/13")</f>
        <v>2026/02/13</v>
      </c>
      <c r="H31" s="6" t="str">
        <f aca="false">IFERROR(__xludf.dummyfunction("""COMPUTED_VALUE"""),"必要")</f>
        <v>必要</v>
      </c>
      <c r="I31" s="6" t="str">
        <f aca="false">IFERROR(__xludf.dummyfunction("""COMPUTED_VALUE"""),"男性")</f>
        <v>男性</v>
      </c>
      <c r="J31" s="6" t="str">
        <f aca="false">IFERROR(__xludf.dummyfunction("""COMPUTED_VALUE"""),"日本")</f>
        <v>日本</v>
      </c>
      <c r="K31" s="6" t="str">
        <f aca="false">IFERROR(__xludf.dummyfunction("""COMPUTED_VALUE"""),"5")</f>
        <v>5</v>
      </c>
      <c r="L31" s="6" t="str">
        <f aca="false">IFERROR(__xludf.dummyfunction("""COMPUTED_VALUE"""),"扇風機")</f>
        <v>扇風機</v>
      </c>
      <c r="M31" s="6" t="str">
        <f aca="false">IFERROR(__xludf.dummyfunction("""COMPUTED_VALUE"""),"机(120×60×74) 椅子(73×73×120) マットレス(シングル)")</f>
        <v>机(120×60×74) 椅子(73×73×120) マットレス(シングル)</v>
      </c>
      <c r="N31" s="6" t="str">
        <f aca="false">IFERROR(__xludf.dummyfunction("""COMPUTED_VALUE"""),"デスクトップパソコン")</f>
        <v>デスクトップパソコン</v>
      </c>
      <c r="O31" s="6" t="str">
        <f aca="false">IFERROR(__xludf.dummyfunction("""COMPUTED_VALUE"""),"不要")</f>
        <v>不要</v>
      </c>
      <c r="P31" s="6"/>
      <c r="Q31" s="6"/>
      <c r="R31" s="6"/>
      <c r="S31" s="6" t="str">
        <f aca="false">IFERROR(__xludf.dummyfunction("""COMPUTED_VALUE"""),"家具家電なし社宅")</f>
        <v>家具家電なし社宅</v>
      </c>
      <c r="T31" s="6" t="str">
        <f aca="false">IFERROR(__xludf.dummyfunction("""COMPUTED_VALUE"""),"利用する")</f>
        <v>利用する</v>
      </c>
      <c r="U31" s="6" t="str">
        <f aca="false">IFERROR(__xludf.dummyfunction("""COMPUTED_VALUE"""),"170L冷蔵庫　洗濯機　")</f>
        <v>170L冷蔵庫　洗濯機　</v>
      </c>
      <c r="V31" s="6" t="str">
        <f aca="false">IFERROR(__xludf.dummyfunction("""COMPUTED_VALUE"""),"徒歩, 自転車, 電車")</f>
        <v>徒歩, 自転車, 電車</v>
      </c>
      <c r="W31" s="6"/>
      <c r="X31" s="6" t="str">
        <f aca="false">IFERROR(__xludf.dummyfunction("""COMPUTED_VALUE"""),"実家")</f>
        <v>実家</v>
      </c>
      <c r="Y31" s="6"/>
      <c r="Z31" s="6" t="str">
        <f aca="false">IFERROR(__xludf.dummyfunction("""COMPUTED_VALUE"""),"希望する")</f>
        <v>希望する</v>
      </c>
      <c r="AA31" s="6" t="str">
        <f aca="false">IFERROR(__xludf.dummyfunction("""COMPUTED_VALUE"""),"単身")</f>
        <v>単身</v>
      </c>
      <c r="AB31" s="6"/>
      <c r="AC31" s="6"/>
      <c r="AD31" s="6"/>
      <c r="AE31" s="6" t="str">
        <f aca="false">IFERROR(__xludf.dummyfunction("""COMPUTED_VALUE"""),"確認しました。")</f>
        <v>確認しました。</v>
      </c>
      <c r="AF31" s="6" t="str">
        <f aca="false">IFERROR(__xludf.dummyfunction("""COMPUTED_VALUE"""),"社宅基準の内容について確認しました")</f>
        <v>社宅基準の内容について確認しました</v>
      </c>
      <c r="AG31" s="6" t="str">
        <f aca="false">IFERROR(__xludf.dummyfunction("""COMPUTED_VALUE"""),"入居のしおりの内容についてご確認しました")</f>
        <v>入居のしおりの内容についてご確認しました</v>
      </c>
      <c r="AH31" s="6" t="str">
        <f aca="false">IFERROR(__xludf.dummyfunction("""COMPUTED_VALUE"""),"確認しました")</f>
        <v>確認しました</v>
      </c>
      <c r="AI31" s="6"/>
      <c r="AJ31" s="6" t="str">
        <v/>
      </c>
      <c r="AK31" s="6" t="str">
        <v/>
      </c>
      <c r="AL31" s="6" t="str">
        <v/>
      </c>
      <c r="AM31" s="6" t="str">
        <v/>
      </c>
      <c r="AN31" s="6" t="n">
        <f aca="false">TRUE()</f>
        <v>1</v>
      </c>
    </row>
    <row r="32" customFormat="false" ht="52.5" hidden="false" customHeight="true" outlineLevel="0" collapsed="false">
      <c r="A32" s="6" t="str">
        <f aca="false">IFERROR(__xludf.dummyfunction("""COMPUTED_VALUE"""),"2026/02/02 21:03:25")</f>
        <v>2026/02/02 21:03:25</v>
      </c>
      <c r="B32" s="6"/>
      <c r="C32" s="6" t="str">
        <f aca="false">IFERROR(__xludf.dummyfunction("""COMPUTED_VALUE"""),"69471")</f>
        <v>69471</v>
      </c>
      <c r="D32" s="6"/>
      <c r="E32" s="6"/>
      <c r="F32" s="6"/>
      <c r="G32" s="6" t="str">
        <f aca="false">IFERROR(__xludf.dummyfunction("""COMPUTED_VALUE"""),"2026/03/14")</f>
        <v>2026/03/14</v>
      </c>
      <c r="H32" s="6" t="str">
        <f aca="false">IFERROR(__xludf.dummyfunction("""COMPUTED_VALUE"""),"必要")</f>
        <v>必要</v>
      </c>
      <c r="I32" s="6" t="str">
        <f aca="false">IFERROR(__xludf.dummyfunction("""COMPUTED_VALUE"""),"男性")</f>
        <v>男性</v>
      </c>
      <c r="J32" s="6" t="str">
        <f aca="false">IFERROR(__xludf.dummyfunction("""COMPUTED_VALUE"""),"日本")</f>
        <v>日本</v>
      </c>
      <c r="K32" s="6" t="str">
        <f aca="false">IFERROR(__xludf.dummyfunction("""COMPUTED_VALUE"""),"5")</f>
        <v>5</v>
      </c>
      <c r="L32" s="6" t="str">
        <f aca="false">IFERROR(__xludf.dummyfunction("""COMPUTED_VALUE"""),"なし。")</f>
        <v>なし。</v>
      </c>
      <c r="M32" s="6" t="str">
        <f aca="false">IFERROR(__xludf.dummyfunction("""COMPUTED_VALUE"""),"マットレス（シングル）")</f>
        <v>マットレス（シングル）</v>
      </c>
      <c r="N32" s="6" t="str">
        <f aca="false">IFERROR(__xludf.dummyfunction("""COMPUTED_VALUE"""),"なし。")</f>
        <v>なし。</v>
      </c>
      <c r="O32" s="6" t="str">
        <f aca="false">IFERROR(__xludf.dummyfunction("""COMPUTED_VALUE"""),"必要")</f>
        <v>必要</v>
      </c>
      <c r="P32" s="6" t="str">
        <f aca="false">IFERROR(__xludf.dummyfunction("""COMPUTED_VALUE"""),"タント")</f>
        <v>タント</v>
      </c>
      <c r="Q32" s="6" t="str">
        <f aca="false">IFERROR(__xludf.dummyfunction("""COMPUTED_VALUE"""),"め83-73")</f>
        <v>め83-73</v>
      </c>
      <c r="R32" s="6" t="str">
        <f aca="false">IFERROR(__xludf.dummyfunction("""COMPUTED_VALUE"""),"イエロー")</f>
        <v>イエロー</v>
      </c>
      <c r="S32" s="6" t="str">
        <f aca="false">IFERROR(__xludf.dummyfunction("""COMPUTED_VALUE"""),"家具家電付き社宅")</f>
        <v>家具家電付き社宅</v>
      </c>
      <c r="T32" s="6" t="str">
        <f aca="false">IFERROR(__xludf.dummyfunction("""COMPUTED_VALUE"""),"利用する")</f>
        <v>利用する</v>
      </c>
      <c r="U32" s="6" t="str">
        <f aca="false">IFERROR(__xludf.dummyfunction("""COMPUTED_VALUE"""),"冷凍冷蔵庫2ドア・80L、全自動洗濯機、ガスコンロ(安全装置2か所付）都市・LP2口、電子レンジ、炊飯器、照明器具32w+30w、エアコン2.2kw")</f>
        <v>冷凍冷蔵庫2ドア・80L、全自動洗濯機、ガスコンロ(安全装置2か所付）都市・LP2口、電子レンジ、炊飯器、照明器具32w+30w、エアコン2.2kw</v>
      </c>
      <c r="V32" s="6" t="str">
        <f aca="false">IFERROR(__xludf.dummyfunction("""COMPUTED_VALUE"""),"徒歩, 自動車")</f>
        <v>徒歩, 自動車</v>
      </c>
      <c r="W32" s="6"/>
      <c r="X32" s="6" t="str">
        <f aca="false">IFERROR(__xludf.dummyfunction("""COMPUTED_VALUE"""),"実家")</f>
        <v>実家</v>
      </c>
      <c r="Y32" s="6"/>
      <c r="Z32" s="6" t="str">
        <f aca="false">IFERROR(__xludf.dummyfunction("""COMPUTED_VALUE"""),"希望する")</f>
        <v>希望する</v>
      </c>
      <c r="AA32" s="6" t="str">
        <f aca="false">IFERROR(__xludf.dummyfunction("""COMPUTED_VALUE"""),"単身")</f>
        <v>単身</v>
      </c>
      <c r="AB32" s="6"/>
      <c r="AC32" s="6"/>
      <c r="AD32" s="6" t="str">
        <f aca="false">IFERROR(__xludf.dummyfunction("""COMPUTED_VALUE"""),"緊急連絡先に連絡する際、電話に出なかった場合はメッセージを残すようにしてください。あるいは、緊急連絡時にかかってくる電話番号をお知らせください。")</f>
        <v>緊急連絡先に連絡する際、電話に出なかった場合はメッセージを残すようにしてください。あるいは、緊急連絡時にかかってくる電話番号をお知らせください。</v>
      </c>
      <c r="AE32" s="6" t="str">
        <f aca="false">IFERROR(__xludf.dummyfunction("""COMPUTED_VALUE"""),"確認しました。")</f>
        <v>確認しました。</v>
      </c>
      <c r="AF32" s="6" t="str">
        <f aca="false">IFERROR(__xludf.dummyfunction("""COMPUTED_VALUE"""),"社宅基準の内容について確認しました")</f>
        <v>社宅基準の内容について確認しました</v>
      </c>
      <c r="AG32" s="6" t="str">
        <f aca="false">IFERROR(__xludf.dummyfunction("""COMPUTED_VALUE"""),"入居のしおりの内容についてご確認しました")</f>
        <v>入居のしおりの内容についてご確認しました</v>
      </c>
      <c r="AH32" s="6" t="str">
        <f aca="false">IFERROR(__xludf.dummyfunction("""COMPUTED_VALUE"""),"確認しました")</f>
        <v>確認しました</v>
      </c>
      <c r="AI32" s="6"/>
      <c r="AJ32" s="6" t="str">
        <v/>
      </c>
      <c r="AK32" s="6" t="str">
        <v/>
      </c>
      <c r="AL32" s="6" t="str">
        <v/>
      </c>
      <c r="AM32" s="6" t="str">
        <v/>
      </c>
      <c r="AN32" s="6" t="n">
        <f aca="false">TRUE()</f>
        <v>1</v>
      </c>
    </row>
    <row r="33" customFormat="false" ht="52.5" hidden="false" customHeight="true" outlineLevel="0" collapsed="false">
      <c r="A33" s="6" t="str">
        <f aca="false">IFERROR(__xludf.dummyfunction("""COMPUTED_VALUE"""),"2026/02/03 13:05:46")</f>
        <v>2026/02/03 13:05:46</v>
      </c>
      <c r="B33" s="6"/>
      <c r="C33" s="6" t="str">
        <f aca="false">IFERROR(__xludf.dummyfunction("""COMPUTED_VALUE"""),"69509")</f>
        <v>69509</v>
      </c>
      <c r="D33" s="6"/>
      <c r="E33" s="6"/>
      <c r="F33" s="6"/>
      <c r="G33" s="6" t="str">
        <f aca="false">IFERROR(__xludf.dummyfunction("""COMPUTED_VALUE"""),"2026/03/27")</f>
        <v>2026/03/27</v>
      </c>
      <c r="H33" s="6" t="str">
        <f aca="false">IFERROR(__xludf.dummyfunction("""COMPUTED_VALUE"""),"必要")</f>
        <v>必要</v>
      </c>
      <c r="I33" s="6" t="str">
        <f aca="false">IFERROR(__xludf.dummyfunction("""COMPUTED_VALUE"""),"男性")</f>
        <v>男性</v>
      </c>
      <c r="J33" s="6" t="str">
        <f aca="false">IFERROR(__xludf.dummyfunction("""COMPUTED_VALUE"""),"ネパール")</f>
        <v>ネパール</v>
      </c>
      <c r="K33" s="6" t="str">
        <f aca="false">IFERROR(__xludf.dummyfunction("""COMPUTED_VALUE"""),"15")</f>
        <v>15</v>
      </c>
      <c r="L33" s="6" t="str">
        <f aca="false">IFERROR(__xludf.dummyfunction("""COMPUTED_VALUE"""),"    ① 冷蔵庫　１台　家族用（サイズ　横幅：５０cm、奥行：５５cm、高さ：１３５cm）
　② ドラム式洗濯機　1台（サイズ　横幅：５０cm、奥行：５０cm、高さ：９０cm）
　③ テレビ　1台　４３型
　④ 電子レンジ　1台（サイズ　横幅：７２cm、奥行：７５cm、高さ：２５cm）
　⑤ ガスコンロ　1台（サイズ　横幅：６０cm、奥行：４５cm、高さ：２５cm）")</f>
        <v>    ① 冷蔵庫　１台　家族用（サイズ　横幅：５０cm、奥行：５５cm、高さ：１３５cm）
　② ドラム式洗濯機　1台（サイズ　横幅：５０cm、奥行：５０cm、高さ：９０cm）
　③ テレビ　1台　４３型
　④ 電子レンジ　1台（サイズ　横幅：７２cm、奥行：７５cm、高さ：２５cm）
　⑤ ガスコンロ　1台（サイズ　横幅：６０cm、奥行：４５cm、高さ：２５cm）</v>
      </c>
      <c r="M33" s="6" t="str">
        <f aca="false">IFERROR(__xludf.dummyfunction("""COMPUTED_VALUE"""),"        ① 机1　1台（サイズ　横幅：７５cm、奥行：７５cm、高さ：７５cm）
　　② プラ椅子　４台（サイズ普通）
　　③ 棚１　１台　（サイズ　横幅：４２cm、奥行：３０cm、高さ：１２０cm）
　　④ 棚２　１台　（サイズ　横幅：４２cm、奥行：３０cm、高さ：９０cm）
　　⑤ 棚３　２台　（サイズ　横幅：５３cm、奥行：４５cm、高さ：８５cm）
　　⑥ ベッド　１台　（ダブルサイズ）
　　⑦ 服用スチールスタンド　１台
　　⑧ 机２　１台　（サイズ　横幅：７５cm、奥行：５０cm、高"&amp;"さ：１５cm）
　　⑨ コイルスプリング付マットレス 　1個　ダブルサイズベッド用
　　⑩ 布団　１式　ダブルサイズベッド用
    11.スーツケース１　２個　Lサイズ
         12. スーツケース２　２個　Sサイズ
")</f>
        <v>        ① 机1　1台（サイズ　横幅：７５cm、奥行：７５cm、高さ：７５cm）
　　② プラ椅子　４台（サイズ普通）
　　③ 棚１　１台　（サイズ　横幅：４２cm、奥行：３０cm、高さ：１２０cm）
　　④ 棚２　１台　（サイズ　横幅：４２cm、奥行：３０cm、高さ：９０cm）
　　⑤ 棚３　２台　（サイズ　横幅：５３cm、奥行：４５cm、高さ：８５cm）
　　⑥ ベッド　１台　（ダブルサイズ）
　　⑦ 服用スチールスタンド　１台
　　⑧ 机２　１台　（サイズ　横幅：７５cm、奥行：５０cm、高さ：１５cm）
　　⑨ コイルスプリング付マットレス 　1個　ダブルサイズベッド用
　　⑩ 布団　１式　ダブルサイズベッド用
    11.スーツケース１　２個　Lサイズ
         12. スーツケース２　２個　Sサイズ
</v>
      </c>
      <c r="N33" s="6" t="str">
        <f aca="false">IFERROR(__xludf.dummyfunction("""COMPUTED_VALUE"""),"    ①自転車　１台
　②キッチン食器　１式
　③ゴミ箱　１個　（サイズ２０L）
")</f>
        <v>    ①自転車　１台
　②キッチン食器　１式
　③ゴミ箱　１個　（サイズ２０L）
</v>
      </c>
      <c r="O33" s="6" t="str">
        <f aca="false">IFERROR(__xludf.dummyfunction("""COMPUTED_VALUE"""),"不要")</f>
        <v>不要</v>
      </c>
      <c r="P33" s="6"/>
      <c r="Q33" s="6"/>
      <c r="R33" s="6"/>
      <c r="S33" s="6" t="str">
        <f aca="false">IFERROR(__xludf.dummyfunction("""COMPUTED_VALUE"""),"家具家電なし社宅")</f>
        <v>家具家電なし社宅</v>
      </c>
      <c r="T33" s="6" t="str">
        <f aca="false">IFERROR(__xludf.dummyfunction("""COMPUTED_VALUE"""),"利用しない")</f>
        <v>利用しない</v>
      </c>
      <c r="U33" s="6"/>
      <c r="V33" s="6" t="str">
        <f aca="false">IFERROR(__xludf.dummyfunction("""COMPUTED_VALUE"""),"電車, バス")</f>
        <v>電車, バス</v>
      </c>
      <c r="W33" s="6"/>
      <c r="X33" s="6" t="str">
        <f aca="false">IFERROR(__xludf.dummyfunction("""COMPUTED_VALUE"""),"株式会社ビーネックステクノロジーズの社宅")</f>
        <v>株式会社ビーネックステクノロジーズの社宅</v>
      </c>
      <c r="Y33" s="6" t="str">
        <f aca="false">IFERROR(__xludf.dummyfunction("""COMPUTED_VALUE"""),"利用なし")</f>
        <v>利用なし</v>
      </c>
      <c r="Z33" s="6" t="str">
        <f aca="false">IFERROR(__xludf.dummyfunction("""COMPUTED_VALUE"""),"希望する")</f>
        <v>希望する</v>
      </c>
      <c r="AA33" s="6" t="str">
        <f aca="false">IFERROR(__xludf.dummyfunction("""COMPUTED_VALUE"""),"家族")</f>
        <v>家族</v>
      </c>
      <c r="AB33" s="6" t="str">
        <f aca="false">IFERROR(__xludf.dummyfunction("""COMPUTED_VALUE"""),"3")</f>
        <v>3</v>
      </c>
      <c r="AC33" s="6"/>
      <c r="AD33" s="6"/>
      <c r="AE33" s="6" t="str">
        <f aca="false">IFERROR(__xludf.dummyfunction("""COMPUTED_VALUE"""),"確認しました。")</f>
        <v>確認しました。</v>
      </c>
      <c r="AF33" s="6" t="str">
        <f aca="false">IFERROR(__xludf.dummyfunction("""COMPUTED_VALUE"""),"社宅基準の内容について確認しました")</f>
        <v>社宅基準の内容について確認しました</v>
      </c>
      <c r="AG33" s="6" t="str">
        <f aca="false">IFERROR(__xludf.dummyfunction("""COMPUTED_VALUE"""),"入居のしおりの内容についてご確認しました")</f>
        <v>入居のしおりの内容についてご確認しました</v>
      </c>
      <c r="AH33" s="6" t="str">
        <f aca="false">IFERROR(__xludf.dummyfunction("""COMPUTED_VALUE"""),"確認しました")</f>
        <v>確認しました</v>
      </c>
      <c r="AI33" s="6"/>
      <c r="AJ33" s="6" t="str">
        <v/>
      </c>
      <c r="AK33" s="6" t="str">
        <v/>
      </c>
      <c r="AL33" s="6" t="str">
        <v/>
      </c>
      <c r="AM33" s="6" t="str">
        <v/>
      </c>
      <c r="AN33" s="6" t="n">
        <f aca="false">TRUE()</f>
        <v>1</v>
      </c>
    </row>
    <row r="34" customFormat="false" ht="52.5" hidden="false" customHeight="true" outlineLevel="0" collapsed="false">
      <c r="A34" s="6" t="str">
        <f aca="false">IFERROR(__xludf.dummyfunction("""COMPUTED_VALUE"""),"2026/02/03 14:30:46")</f>
        <v>2026/02/03 14:30:46</v>
      </c>
      <c r="B34" s="6"/>
      <c r="C34" s="6" t="str">
        <f aca="false">IFERROR(__xludf.dummyfunction("""COMPUTED_VALUE"""),"69553")</f>
        <v>69553</v>
      </c>
      <c r="D34" s="6"/>
      <c r="E34" s="6"/>
      <c r="F34" s="6"/>
      <c r="G34" s="6" t="str">
        <f aca="false">IFERROR(__xludf.dummyfunction("""COMPUTED_VALUE"""),"2026/03/01")</f>
        <v>2026/03/01</v>
      </c>
      <c r="H34" s="6" t="str">
        <f aca="false">IFERROR(__xludf.dummyfunction("""COMPUTED_VALUE"""),"必要")</f>
        <v>必要</v>
      </c>
      <c r="I34" s="6" t="str">
        <f aca="false">IFERROR(__xludf.dummyfunction("""COMPUTED_VALUE"""),"男性")</f>
        <v>男性</v>
      </c>
      <c r="J34" s="6" t="str">
        <f aca="false">IFERROR(__xludf.dummyfunction("""COMPUTED_VALUE"""),"日本")</f>
        <v>日本</v>
      </c>
      <c r="K34" s="6" t="str">
        <f aca="false">IFERROR(__xludf.dummyfunction("""COMPUTED_VALUE"""),"10")</f>
        <v>10</v>
      </c>
      <c r="L34" s="6" t="str">
        <f aca="false">IFERROR(__xludf.dummyfunction("""COMPUTED_VALUE"""),"冷蔵庫(単身用)、洗濯機、電子レンジ")</f>
        <v>冷蔵庫(単身用)、洗濯機、電子レンジ</v>
      </c>
      <c r="M34" s="6" t="str">
        <f aca="false">IFERROR(__xludf.dummyfunction("""COMPUTED_VALUE"""),"こたつ(65×65×38)、ガラス棚(30×49×180)×3、マットレス(シングル)、クッション(65×65×43)")</f>
        <v>こたつ(65×65×38)、ガラス棚(30×49×180)×3、マットレス(シングル)、クッション(65×65×43)</v>
      </c>
      <c r="N34" s="6" t="str">
        <f aca="false">IFERROR(__xludf.dummyfunction("""COMPUTED_VALUE"""),"タイヤ4本×3")</f>
        <v>タイヤ4本×3</v>
      </c>
      <c r="O34" s="6" t="str">
        <f aca="false">IFERROR(__xludf.dummyfunction("""COMPUTED_VALUE"""),"必要")</f>
        <v>必要</v>
      </c>
      <c r="P34" s="6" t="str">
        <f aca="false">IFERROR(__xludf.dummyfunction("""COMPUTED_VALUE"""),"N-ONE")</f>
        <v>N-ONE</v>
      </c>
      <c r="Q34" s="6" t="str">
        <f aca="false">IFERROR(__xludf.dummyfunction("""COMPUTED_VALUE"""),"さ5073")</f>
        <v>さ5073</v>
      </c>
      <c r="R34" s="6" t="str">
        <f aca="false">IFERROR(__xludf.dummyfunction("""COMPUTED_VALUE"""),"黒")</f>
        <v>黒</v>
      </c>
      <c r="S34" s="6" t="str">
        <f aca="false">IFERROR(__xludf.dummyfunction("""COMPUTED_VALUE"""),"家具家電なし社宅")</f>
        <v>家具家電なし社宅</v>
      </c>
      <c r="T34" s="6" t="str">
        <f aca="false">IFERROR(__xludf.dummyfunction("""COMPUTED_VALUE"""),"利用しない")</f>
        <v>利用しない</v>
      </c>
      <c r="U34" s="6"/>
      <c r="V34" s="6" t="str">
        <f aca="false">IFERROR(__xludf.dummyfunction("""COMPUTED_VALUE"""),"自動車")</f>
        <v>自動車</v>
      </c>
      <c r="W34" s="6"/>
      <c r="X34" s="6" t="str">
        <f aca="false">IFERROR(__xludf.dummyfunction("""COMPUTED_VALUE"""),"ご自身で契約中の物件")</f>
        <v>ご自身で契約中の物件</v>
      </c>
      <c r="Y34" s="6"/>
      <c r="Z34" s="6" t="str">
        <f aca="false">IFERROR(__xludf.dummyfunction("""COMPUTED_VALUE"""),"希望する")</f>
        <v>希望する</v>
      </c>
      <c r="AA34" s="6" t="str">
        <f aca="false">IFERROR(__xludf.dummyfunction("""COMPUTED_VALUE"""),"単身")</f>
        <v>単身</v>
      </c>
      <c r="AB34" s="6"/>
      <c r="AC34" s="6"/>
      <c r="AD34" s="6"/>
      <c r="AE34" s="6" t="str">
        <f aca="false">IFERROR(__xludf.dummyfunction("""COMPUTED_VALUE"""),"確認しました。")</f>
        <v>確認しました。</v>
      </c>
      <c r="AF34" s="6" t="str">
        <f aca="false">IFERROR(__xludf.dummyfunction("""COMPUTED_VALUE"""),"社宅基準の内容について確認しました")</f>
        <v>社宅基準の内容について確認しました</v>
      </c>
      <c r="AG34" s="6" t="str">
        <f aca="false">IFERROR(__xludf.dummyfunction("""COMPUTED_VALUE"""),"入居のしおりの内容についてご確認しました")</f>
        <v>入居のしおりの内容についてご確認しました</v>
      </c>
      <c r="AH34" s="6" t="str">
        <f aca="false">IFERROR(__xludf.dummyfunction("""COMPUTED_VALUE"""),"確認しました")</f>
        <v>確認しました</v>
      </c>
      <c r="AI34" s="6"/>
      <c r="AJ34" s="6" t="str">
        <v/>
      </c>
      <c r="AK34" s="6" t="str">
        <v/>
      </c>
      <c r="AL34" s="6" t="str">
        <v/>
      </c>
      <c r="AM34" s="6" t="str">
        <v/>
      </c>
      <c r="AN34" s="6" t="n">
        <f aca="false">TRUE()</f>
        <v>1</v>
      </c>
    </row>
    <row r="35" customFormat="false" ht="52.5" hidden="false" customHeight="true" outlineLevel="0" collapsed="false">
      <c r="A35" s="6" t="str">
        <f aca="false">IFERROR(__xludf.dummyfunction("""COMPUTED_VALUE"""),"2026/02/03 18:05:45")</f>
        <v>2026/02/03 18:05:45</v>
      </c>
      <c r="B35" s="6"/>
      <c r="C35" s="6" t="str">
        <f aca="false">IFERROR(__xludf.dummyfunction("""COMPUTED_VALUE"""),"69530")</f>
        <v>69530</v>
      </c>
      <c r="D35" s="6"/>
      <c r="E35" s="6"/>
      <c r="F35" s="6"/>
      <c r="G35" s="6" t="str">
        <f aca="false">IFERROR(__xludf.dummyfunction("""COMPUTED_VALUE"""),"2026/02/16")</f>
        <v>2026/02/16</v>
      </c>
      <c r="H35" s="6" t="str">
        <f aca="false">IFERROR(__xludf.dummyfunction("""COMPUTED_VALUE"""),"必要")</f>
        <v>必要</v>
      </c>
      <c r="I35" s="6" t="str">
        <f aca="false">IFERROR(__xludf.dummyfunction("""COMPUTED_VALUE"""),"男性")</f>
        <v>男性</v>
      </c>
      <c r="J35" s="6" t="str">
        <f aca="false">IFERROR(__xludf.dummyfunction("""COMPUTED_VALUE"""),"日本")</f>
        <v>日本</v>
      </c>
      <c r="K35" s="6" t="str">
        <f aca="false">IFERROR(__xludf.dummyfunction("""COMPUTED_VALUE"""),"20")</f>
        <v>20</v>
      </c>
      <c r="L35" s="6" t="str">
        <f aca="false">IFERROR(__xludf.dummyfunction("""COMPUTED_VALUE"""),"モニター2台　デスクトップPC 空気清浄機　ウォーターサーバー")</f>
        <v>モニター2台　デスクトップPC 空気清浄機　ウォーターサーバー</v>
      </c>
      <c r="M35" s="6" t="str">
        <f aca="false">IFERROR(__xludf.dummyfunction("""COMPUTED_VALUE"""),"シングルベッド　机(120・60・75)3個")</f>
        <v>シングルベッド　机(120・60・75)3個</v>
      </c>
      <c r="N35" s="6" t="str">
        <f aca="false">IFERROR(__xludf.dummyfunction("""COMPUTED_VALUE"""),"自転車")</f>
        <v>自転車</v>
      </c>
      <c r="O35" s="6" t="str">
        <f aca="false">IFERROR(__xludf.dummyfunction("""COMPUTED_VALUE"""),"不要")</f>
        <v>不要</v>
      </c>
      <c r="P35" s="6"/>
      <c r="Q35" s="6"/>
      <c r="R35" s="6"/>
      <c r="S35" s="6" t="str">
        <f aca="false">IFERROR(__xludf.dummyfunction("""COMPUTED_VALUE"""),"家具家電付き社宅")</f>
        <v>家具家電付き社宅</v>
      </c>
      <c r="T35" s="6" t="str">
        <f aca="false">IFERROR(__xludf.dummyfunction("""COMPUTED_VALUE"""),"利用しない")</f>
        <v>利用しない</v>
      </c>
      <c r="U35" s="6"/>
      <c r="V35" s="6" t="str">
        <f aca="false">IFERROR(__xludf.dummyfunction("""COMPUTED_VALUE"""),"徒歩, 自動車")</f>
        <v>徒歩, 自動車</v>
      </c>
      <c r="W35" s="6"/>
      <c r="X35" s="6" t="str">
        <f aca="false">IFERROR(__xludf.dummyfunction("""COMPUTED_VALUE"""),"株式会社ビーネックステクノロジーズの社宅")</f>
        <v>株式会社ビーネックステクノロジーズの社宅</v>
      </c>
      <c r="Y35" s="6" t="str">
        <f aca="false">IFERROR(__xludf.dummyfunction("""COMPUTED_VALUE"""),"利用なし")</f>
        <v>利用なし</v>
      </c>
      <c r="Z35" s="6" t="str">
        <f aca="false">IFERROR(__xludf.dummyfunction("""COMPUTED_VALUE"""),"希望する")</f>
        <v>希望する</v>
      </c>
      <c r="AA35" s="6" t="str">
        <f aca="false">IFERROR(__xludf.dummyfunction("""COMPUTED_VALUE"""),"単身")</f>
        <v>単身</v>
      </c>
      <c r="AB35" s="6"/>
      <c r="AC35" s="6"/>
      <c r="AD35" s="6"/>
      <c r="AE35" s="6" t="str">
        <f aca="false">IFERROR(__xludf.dummyfunction("""COMPUTED_VALUE"""),"確認しました。")</f>
        <v>確認しました。</v>
      </c>
      <c r="AF35" s="6" t="str">
        <f aca="false">IFERROR(__xludf.dummyfunction("""COMPUTED_VALUE"""),"社宅基準の内容について確認しました")</f>
        <v>社宅基準の内容について確認しました</v>
      </c>
      <c r="AG35" s="6" t="str">
        <f aca="false">IFERROR(__xludf.dummyfunction("""COMPUTED_VALUE"""),"入居のしおりの内容についてご確認しました")</f>
        <v>入居のしおりの内容についてご確認しました</v>
      </c>
      <c r="AH35" s="6" t="str">
        <f aca="false">IFERROR(__xludf.dummyfunction("""COMPUTED_VALUE"""),"確認しました")</f>
        <v>確認しました</v>
      </c>
      <c r="AI35" s="6"/>
      <c r="AJ35" s="6" t="str">
        <v/>
      </c>
      <c r="AK35" s="6" t="str">
        <v/>
      </c>
      <c r="AL35" s="6" t="str">
        <v/>
      </c>
      <c r="AM35" s="6" t="str">
        <v/>
      </c>
      <c r="AN35" s="6" t="n">
        <f aca="false">TRUE()</f>
        <v>1</v>
      </c>
    </row>
    <row r="36" customFormat="false" ht="52.5" hidden="false" customHeight="true" outlineLevel="0" collapsed="false">
      <c r="A36" s="6" t="str">
        <f aca="false">IFERROR(__xludf.dummyfunction("""COMPUTED_VALUE"""),"2026/02/03 20:10:59")</f>
        <v>2026/02/03 20:10:59</v>
      </c>
      <c r="B36" s="6"/>
      <c r="C36" s="6" t="str">
        <f aca="false">IFERROR(__xludf.dummyfunction("""COMPUTED_VALUE"""),"69549")</f>
        <v>69549</v>
      </c>
      <c r="D36" s="6"/>
      <c r="E36" s="6"/>
      <c r="F36" s="6"/>
      <c r="G36" s="6" t="str">
        <f aca="false">IFERROR(__xludf.dummyfunction("""COMPUTED_VALUE"""),"2026/02/28")</f>
        <v>2026/02/28</v>
      </c>
      <c r="H36" s="6" t="str">
        <f aca="false">IFERROR(__xludf.dummyfunction("""COMPUTED_VALUE"""),"必要")</f>
        <v>必要</v>
      </c>
      <c r="I36" s="6" t="str">
        <f aca="false">IFERROR(__xludf.dummyfunction("""COMPUTED_VALUE"""),"男性")</f>
        <v>男性</v>
      </c>
      <c r="J36" s="6" t="str">
        <f aca="false">IFERROR(__xludf.dummyfunction("""COMPUTED_VALUE"""),"日本")</f>
        <v>日本</v>
      </c>
      <c r="K36" s="6" t="str">
        <f aca="false">IFERROR(__xludf.dummyfunction("""COMPUTED_VALUE"""),"15")</f>
        <v>15</v>
      </c>
      <c r="L36" s="6" t="str">
        <f aca="false">IFERROR(__xludf.dummyfunction("""COMPUTED_VALUE"""),"冷蔵庫単身用（2ドア）
縦型洗濯機
電子レンジ
パソコン
テレビ
モニター（2台）
")</f>
        <v>冷蔵庫単身用（2ドア）
縦型洗濯機
電子レンジ
パソコン
テレビ
モニター（2台）
</v>
      </c>
      <c r="M36" s="6" t="str">
        <f aca="false">IFERROR(__xludf.dummyfunction("""COMPUTED_VALUE"""),"机幅120×奥行64.5×高さ108.5c
シングルベッド
椅子")</f>
        <v>机幅120×奥行64.5×高さ108.5c
シングルベッド
椅子</v>
      </c>
      <c r="N36" s="6" t="str">
        <f aca="false">IFERROR(__xludf.dummyfunction("""COMPUTED_VALUE"""),"無し")</f>
        <v>無し</v>
      </c>
      <c r="O36" s="6" t="str">
        <f aca="false">IFERROR(__xludf.dummyfunction("""COMPUTED_VALUE"""),"不要")</f>
        <v>不要</v>
      </c>
      <c r="P36" s="6"/>
      <c r="Q36" s="6"/>
      <c r="R36" s="6"/>
      <c r="S36" s="6" t="str">
        <f aca="false">IFERROR(__xludf.dummyfunction("""COMPUTED_VALUE"""),"家具家電付き社宅")</f>
        <v>家具家電付き社宅</v>
      </c>
      <c r="T36" s="6" t="str">
        <f aca="false">IFERROR(__xludf.dummyfunction("""COMPUTED_VALUE"""),"利用しない")</f>
        <v>利用しない</v>
      </c>
      <c r="U36" s="6"/>
      <c r="V36" s="6" t="str">
        <f aca="false">IFERROR(__xludf.dummyfunction("""COMPUTED_VALUE"""),"徒歩, 自転車")</f>
        <v>徒歩, 自転車</v>
      </c>
      <c r="W36" s="6"/>
      <c r="X36" s="6" t="str">
        <f aca="false">IFERROR(__xludf.dummyfunction("""COMPUTED_VALUE"""),"ご自身で契約中の物件")</f>
        <v>ご自身で契約中の物件</v>
      </c>
      <c r="Y36" s="6"/>
      <c r="Z36" s="6" t="str">
        <f aca="false">IFERROR(__xludf.dummyfunction("""COMPUTED_VALUE"""),"希望する")</f>
        <v>希望する</v>
      </c>
      <c r="AA36" s="6" t="str">
        <f aca="false">IFERROR(__xludf.dummyfunction("""COMPUTED_VALUE"""),"単身")</f>
        <v>単身</v>
      </c>
      <c r="AB36" s="6"/>
      <c r="AC36" s="6"/>
      <c r="AD36" s="6"/>
      <c r="AE36" s="6" t="str">
        <f aca="false">IFERROR(__xludf.dummyfunction("""COMPUTED_VALUE"""),"確認しました。")</f>
        <v>確認しました。</v>
      </c>
      <c r="AF36" s="6" t="str">
        <f aca="false">IFERROR(__xludf.dummyfunction("""COMPUTED_VALUE"""),"社宅基準の内容について確認しました")</f>
        <v>社宅基準の内容について確認しました</v>
      </c>
      <c r="AG36" s="6" t="str">
        <f aca="false">IFERROR(__xludf.dummyfunction("""COMPUTED_VALUE"""),"入居のしおりの内容についてご確認しました")</f>
        <v>入居のしおりの内容についてご確認しました</v>
      </c>
      <c r="AH36" s="6" t="str">
        <f aca="false">IFERROR(__xludf.dummyfunction("""COMPUTED_VALUE"""),"確認しました")</f>
        <v>確認しました</v>
      </c>
      <c r="AI36" s="6"/>
      <c r="AJ36" s="6" t="str">
        <v/>
      </c>
      <c r="AK36" s="6" t="str">
        <v/>
      </c>
      <c r="AL36" s="6" t="str">
        <v/>
      </c>
      <c r="AM36" s="6" t="str">
        <v/>
      </c>
      <c r="AN36" s="6" t="n">
        <f aca="false">FALSE()</f>
        <v>0</v>
      </c>
    </row>
    <row r="37" customFormat="false" ht="52.5" hidden="false" customHeight="true" outlineLevel="0" collapsed="false">
      <c r="A37" s="6" t="str">
        <f aca="false">IFERROR(__xludf.dummyfunction("""COMPUTED_VALUE"""),"2026/02/03 21:49:54")</f>
        <v>2026/02/03 21:49:54</v>
      </c>
      <c r="B37" s="6"/>
      <c r="C37" s="6" t="str">
        <f aca="false">IFERROR(__xludf.dummyfunction("""COMPUTED_VALUE"""),"69537")</f>
        <v>69537</v>
      </c>
      <c r="D37" s="6"/>
      <c r="E37" s="6"/>
      <c r="F37" s="6"/>
      <c r="G37" s="6" t="str">
        <f aca="false">IFERROR(__xludf.dummyfunction("""COMPUTED_VALUE"""),"2026/03/23")</f>
        <v>2026/03/23</v>
      </c>
      <c r="H37" s="6" t="str">
        <f aca="false">IFERROR(__xludf.dummyfunction("""COMPUTED_VALUE"""),"必要")</f>
        <v>必要</v>
      </c>
      <c r="I37" s="6" t="str">
        <f aca="false">IFERROR(__xludf.dummyfunction("""COMPUTED_VALUE"""),"男性")</f>
        <v>男性</v>
      </c>
      <c r="J37" s="6" t="str">
        <f aca="false">IFERROR(__xludf.dummyfunction("""COMPUTED_VALUE"""),"日本")</f>
        <v>日本</v>
      </c>
      <c r="K37" s="6" t="str">
        <f aca="false">IFERROR(__xludf.dummyfunction("""COMPUTED_VALUE"""),"30")</f>
        <v>30</v>
      </c>
      <c r="L37" s="6" t="str">
        <f aca="false">IFERROR(__xludf.dummyfunction("""COMPUTED_VALUE"""),"なし")</f>
        <v>なし</v>
      </c>
      <c r="M37" s="6" t="str">
        <f aca="false">IFERROR(__xludf.dummyfunction("""COMPUTED_VALUE"""),"なし")</f>
        <v>なし</v>
      </c>
      <c r="N37" s="6" t="str">
        <f aca="false">IFERROR(__xludf.dummyfunction("""COMPUTED_VALUE"""),"バイク用ヘルメット、モニター、パソコン、衣類")</f>
        <v>バイク用ヘルメット、モニター、パソコン、衣類</v>
      </c>
      <c r="O37" s="6" t="str">
        <f aca="false">IFERROR(__xludf.dummyfunction("""COMPUTED_VALUE"""),"必要")</f>
        <v>必要</v>
      </c>
      <c r="P37" s="6" t="str">
        <f aca="false">IFERROR(__xludf.dummyfunction("""COMPUTED_VALUE"""),"YZF-R25(バイク)")</f>
        <v>YZF-R25(バイク)</v>
      </c>
      <c r="Q37" s="6" t="str">
        <f aca="false">IFERROR(__xludf.dummyfunction("""COMPUTED_VALUE"""),"の　95-80")</f>
        <v>の　95-80</v>
      </c>
      <c r="R37" s="6" t="str">
        <f aca="false">IFERROR(__xludf.dummyfunction("""COMPUTED_VALUE"""),"グレー")</f>
        <v>グレー</v>
      </c>
      <c r="S37" s="6" t="str">
        <f aca="false">IFERROR(__xludf.dummyfunction("""COMPUTED_VALUE"""),"家具家電なし社宅")</f>
        <v>家具家電なし社宅</v>
      </c>
      <c r="T37" s="6" t="str">
        <f aca="false">IFERROR(__xludf.dummyfunction("""COMPUTED_VALUE"""),"利用しない")</f>
        <v>利用しない</v>
      </c>
      <c r="U37" s="6"/>
      <c r="V37" s="6" t="str">
        <f aca="false">IFERROR(__xludf.dummyfunction("""COMPUTED_VALUE"""),"徒歩, 自動車, 電車")</f>
        <v>徒歩, 自動車, 電車</v>
      </c>
      <c r="W37" s="6"/>
      <c r="X37" s="6" t="str">
        <f aca="false">IFERROR(__xludf.dummyfunction("""COMPUTED_VALUE"""),"実家")</f>
        <v>実家</v>
      </c>
      <c r="Y37" s="6"/>
      <c r="Z37" s="6" t="str">
        <f aca="false">IFERROR(__xludf.dummyfunction("""COMPUTED_VALUE"""),"希望しない")</f>
        <v>希望しない</v>
      </c>
      <c r="AA37" s="6" t="str">
        <f aca="false">IFERROR(__xludf.dummyfunction("""COMPUTED_VALUE"""),"単身")</f>
        <v>単身</v>
      </c>
      <c r="AB37" s="6"/>
      <c r="AC37" s="6"/>
      <c r="AD37" s="6"/>
      <c r="AE37" s="6" t="str">
        <f aca="false">IFERROR(__xludf.dummyfunction("""COMPUTED_VALUE"""),"確認しました。")</f>
        <v>確認しました。</v>
      </c>
      <c r="AF37" s="6" t="str">
        <f aca="false">IFERROR(__xludf.dummyfunction("""COMPUTED_VALUE"""),"社宅基準の内容について確認しました")</f>
        <v>社宅基準の内容について確認しました</v>
      </c>
      <c r="AG37" s="6" t="str">
        <f aca="false">IFERROR(__xludf.dummyfunction("""COMPUTED_VALUE"""),"入居のしおりの内容についてご確認しました")</f>
        <v>入居のしおりの内容についてご確認しました</v>
      </c>
      <c r="AH37" s="6" t="str">
        <f aca="false">IFERROR(__xludf.dummyfunction("""COMPUTED_VALUE"""),"確認しました")</f>
        <v>確認しました</v>
      </c>
      <c r="AI37" s="6"/>
      <c r="AJ37" s="6" t="str">
        <v/>
      </c>
      <c r="AK37" s="6" t="str">
        <v/>
      </c>
      <c r="AL37" s="6" t="str">
        <v/>
      </c>
      <c r="AM37" s="6" t="str">
        <v/>
      </c>
      <c r="AN37" s="6" t="n">
        <f aca="false">FALSE()</f>
        <v>0</v>
      </c>
    </row>
    <row r="38" customFormat="false" ht="52.5" hidden="false" customHeight="true" outlineLevel="0" collapsed="false">
      <c r="A38" s="6" t="str">
        <f aca="false">IFERROR(__xludf.dummyfunction("""COMPUTED_VALUE"""),"2026/02/04 4:31:59")</f>
        <v>2026/02/04 4:31:59</v>
      </c>
      <c r="B38" s="6"/>
      <c r="C38" s="6" t="str">
        <f aca="false">IFERROR(__xludf.dummyfunction("""COMPUTED_VALUE"""),"69492")</f>
        <v>69492</v>
      </c>
      <c r="D38" s="6"/>
      <c r="E38" s="6"/>
      <c r="F38" s="6"/>
      <c r="G38" s="6" t="str">
        <f aca="false">IFERROR(__xludf.dummyfunction("""COMPUTED_VALUE"""),"2026/02/26")</f>
        <v>2026/02/26</v>
      </c>
      <c r="H38" s="6" t="str">
        <f aca="false">IFERROR(__xludf.dummyfunction("""COMPUTED_VALUE"""),"必要")</f>
        <v>必要</v>
      </c>
      <c r="I38" s="6" t="str">
        <f aca="false">IFERROR(__xludf.dummyfunction("""COMPUTED_VALUE"""),"男性")</f>
        <v>男性</v>
      </c>
      <c r="J38" s="6" t="str">
        <f aca="false">IFERROR(__xludf.dummyfunction("""COMPUTED_VALUE"""),"日本")</f>
        <v>日本</v>
      </c>
      <c r="K38" s="6" t="str">
        <f aca="false">IFERROR(__xludf.dummyfunction("""COMPUTED_VALUE"""),"15")</f>
        <v>15</v>
      </c>
      <c r="L38" s="6" t="str">
        <f aca="false">IFERROR(__xludf.dummyfunction("""COMPUTED_VALUE"""),"時になし")</f>
        <v>時になし</v>
      </c>
      <c r="M38" s="6" t="str">
        <f aca="false">IFERROR(__xludf.dummyfunction("""COMPUTED_VALUE"""),"テーブル　二段ベット SD")</f>
        <v>テーブル　二段ベット SD</v>
      </c>
      <c r="N38" s="6" t="str">
        <f aca="false">IFERROR(__xludf.dummyfunction("""COMPUTED_VALUE"""),"原付")</f>
        <v>原付</v>
      </c>
      <c r="O38" s="6" t="str">
        <f aca="false">IFERROR(__xludf.dummyfunction("""COMPUTED_VALUE"""),"必要")</f>
        <v>必要</v>
      </c>
      <c r="P38" s="6" t="str">
        <f aca="false">IFERROR(__xludf.dummyfunction("""COMPUTED_VALUE"""),"ヴェルファイア")</f>
        <v>ヴェルファイア</v>
      </c>
      <c r="Q38" s="6" t="str">
        <f aca="false">IFERROR(__xludf.dummyfunction("""COMPUTED_VALUE"""),"て21-14")</f>
        <v>て21-14</v>
      </c>
      <c r="R38" s="6" t="str">
        <f aca="false">IFERROR(__xludf.dummyfunction("""COMPUTED_VALUE"""),"黒")</f>
        <v>黒</v>
      </c>
      <c r="S38" s="6" t="str">
        <f aca="false">IFERROR(__xludf.dummyfunction("""COMPUTED_VALUE"""),"家具家電なし社宅")</f>
        <v>家具家電なし社宅</v>
      </c>
      <c r="T38" s="6" t="str">
        <f aca="false">IFERROR(__xludf.dummyfunction("""COMPUTED_VALUE"""),"利用しない")</f>
        <v>利用しない</v>
      </c>
      <c r="U38" s="6"/>
      <c r="V38" s="6" t="str">
        <f aca="false">IFERROR(__xludf.dummyfunction("""COMPUTED_VALUE"""),"電車")</f>
        <v>電車</v>
      </c>
      <c r="W38" s="6"/>
      <c r="X38" s="6" t="str">
        <f aca="false">IFERROR(__xludf.dummyfunction("""COMPUTED_VALUE"""),"実家")</f>
        <v>実家</v>
      </c>
      <c r="Y38" s="6"/>
      <c r="Z38" s="6" t="str">
        <f aca="false">IFERROR(__xludf.dummyfunction("""COMPUTED_VALUE"""),"希望しない")</f>
        <v>希望しない</v>
      </c>
      <c r="AA38" s="6" t="str">
        <f aca="false">IFERROR(__xludf.dummyfunction("""COMPUTED_VALUE"""),"単身")</f>
        <v>単身</v>
      </c>
      <c r="AB38" s="6"/>
      <c r="AC38" s="6"/>
      <c r="AD38" s="6" t="str">
        <f aca="false">IFERROR(__xludf.dummyfunction("""COMPUTED_VALUE"""),"浅草線、東急線沿線
大田区もしくは川崎市内
マスト　バストイレ別　室内洗濯機置場　駅徒歩15分以内
できれば　光回線　都市ガス
駐車場については良物件がなければ、車は実家に置いて行きます")</f>
        <v>浅草線、東急線沿線
大田区もしくは川崎市内
マスト　バストイレ別　室内洗濯機置場　駅徒歩15分以内
できれば　光回線　都市ガス
駐車場については良物件がなければ、車は実家に置いて行きます</v>
      </c>
      <c r="AE38" s="6" t="str">
        <f aca="false">IFERROR(__xludf.dummyfunction("""COMPUTED_VALUE"""),"確認しました。")</f>
        <v>確認しました。</v>
      </c>
      <c r="AF38" s="6" t="str">
        <f aca="false">IFERROR(__xludf.dummyfunction("""COMPUTED_VALUE"""),"社宅基準の内容について確認しました")</f>
        <v>社宅基準の内容について確認しました</v>
      </c>
      <c r="AG38" s="6" t="str">
        <f aca="false">IFERROR(__xludf.dummyfunction("""COMPUTED_VALUE"""),"入居のしおりの内容についてご確認しました")</f>
        <v>入居のしおりの内容についてご確認しました</v>
      </c>
      <c r="AH38" s="6" t="str">
        <f aca="false">IFERROR(__xludf.dummyfunction("""COMPUTED_VALUE"""),"確認しました")</f>
        <v>確認しました</v>
      </c>
      <c r="AI38" s="6"/>
      <c r="AJ38" s="6" t="str">
        <v/>
      </c>
      <c r="AK38" s="6" t="str">
        <v/>
      </c>
      <c r="AL38" s="6" t="str">
        <v/>
      </c>
      <c r="AM38" s="6" t="str">
        <v/>
      </c>
      <c r="AN38" s="6" t="n">
        <f aca="false">FALSE()</f>
        <v>0</v>
      </c>
    </row>
    <row r="39" customFormat="false" ht="52.5" hidden="false" customHeight="true" outlineLevel="0" collapsed="false">
      <c r="A39" s="6" t="str">
        <f aca="false">IFERROR(__xludf.dummyfunction("""COMPUTED_VALUE"""),"2026/02/04 11:42:34")</f>
        <v>2026/02/04 11:42:34</v>
      </c>
      <c r="B39" s="6"/>
      <c r="C39" s="6" t="str">
        <f aca="false">IFERROR(__xludf.dummyfunction("""COMPUTED_VALUE"""),"69516")</f>
        <v>69516</v>
      </c>
      <c r="D39" s="6"/>
      <c r="E39" s="6"/>
      <c r="F39" s="6"/>
      <c r="G39" s="6" t="str">
        <f aca="false">IFERROR(__xludf.dummyfunction("""COMPUTED_VALUE"""),"2026/02/25")</f>
        <v>2026/02/25</v>
      </c>
      <c r="H39" s="6" t="str">
        <f aca="false">IFERROR(__xludf.dummyfunction("""COMPUTED_VALUE"""),"必要")</f>
        <v>必要</v>
      </c>
      <c r="I39" s="6" t="str">
        <f aca="false">IFERROR(__xludf.dummyfunction("""COMPUTED_VALUE"""),"男性")</f>
        <v>男性</v>
      </c>
      <c r="J39" s="6" t="str">
        <f aca="false">IFERROR(__xludf.dummyfunction("""COMPUTED_VALUE"""),"日本")</f>
        <v>日本</v>
      </c>
      <c r="K39" s="6" t="str">
        <f aca="false">IFERROR(__xludf.dummyfunction("""COMPUTED_VALUE"""),"3")</f>
        <v>3</v>
      </c>
      <c r="L39" s="6" t="str">
        <f aca="false">IFERROR(__xludf.dummyfunction("""COMPUTED_VALUE"""),"ウォーターサーバー")</f>
        <v>ウォーターサーバー</v>
      </c>
      <c r="M39" s="6" t="str">
        <f aca="false">IFERROR(__xludf.dummyfunction("""COMPUTED_VALUE"""),"L字机（120*170*74）、こたつ（70*70*50）")</f>
        <v>L字机（120*170*74）、こたつ（70*70*50）</v>
      </c>
      <c r="N39" s="6"/>
      <c r="O39" s="6" t="str">
        <f aca="false">IFERROR(__xludf.dummyfunction("""COMPUTED_VALUE"""),"必要")</f>
        <v>必要</v>
      </c>
      <c r="P39" s="6" t="str">
        <f aca="false">IFERROR(__xludf.dummyfunction("""COMPUTED_VALUE"""),"ダイハツ　ミライース")</f>
        <v>ダイハツ　ミライース</v>
      </c>
      <c r="Q39" s="6" t="str">
        <f aca="false">IFERROR(__xludf.dummyfunction("""COMPUTED_VALUE"""),"の23-85")</f>
        <v>の23-85</v>
      </c>
      <c r="R39" s="6" t="str">
        <f aca="false">IFERROR(__xludf.dummyfunction("""COMPUTED_VALUE"""),"黒")</f>
        <v>黒</v>
      </c>
      <c r="S39" s="6" t="str">
        <f aca="false">IFERROR(__xludf.dummyfunction("""COMPUTED_VALUE"""),"家具家電なし社宅")</f>
        <v>家具家電なし社宅</v>
      </c>
      <c r="T39" s="6" t="str">
        <f aca="false">IFERROR(__xludf.dummyfunction("""COMPUTED_VALUE"""),"利用する")</f>
        <v>利用する</v>
      </c>
      <c r="U39" s="6" t="str">
        <f aca="false">IFERROR(__xludf.dummyfunction("""COMPUTED_VALUE"""),"地デジ液晶テレビ（22インチ）、テレビ台、冷凍冷蔵庫（2ドア・80L）、全自動洗濯機、")</f>
        <v>地デジ液晶テレビ（22インチ）、テレビ台、冷凍冷蔵庫（2ドア・80L）、全自動洗濯機、</v>
      </c>
      <c r="V39" s="6" t="str">
        <f aca="false">IFERROR(__xludf.dummyfunction("""COMPUTED_VALUE"""),"自動車")</f>
        <v>自動車</v>
      </c>
      <c r="W39" s="6"/>
      <c r="X39" s="6" t="str">
        <f aca="false">IFERROR(__xludf.dummyfunction("""COMPUTED_VALUE"""),"実家")</f>
        <v>実家</v>
      </c>
      <c r="Y39" s="6"/>
      <c r="Z39" s="6" t="str">
        <f aca="false">IFERROR(__xludf.dummyfunction("""COMPUTED_VALUE"""),"希望する")</f>
        <v>希望する</v>
      </c>
      <c r="AA39" s="6" t="str">
        <f aca="false">IFERROR(__xludf.dummyfunction("""COMPUTED_VALUE"""),"単身")</f>
        <v>単身</v>
      </c>
      <c r="AB39" s="6"/>
      <c r="AC39" s="6"/>
      <c r="AD39" s="6"/>
      <c r="AE39" s="6" t="str">
        <f aca="false">IFERROR(__xludf.dummyfunction("""COMPUTED_VALUE"""),"確認しました。")</f>
        <v>確認しました。</v>
      </c>
      <c r="AF39" s="6" t="str">
        <f aca="false">IFERROR(__xludf.dummyfunction("""COMPUTED_VALUE"""),"社宅基準の内容について確認しました")</f>
        <v>社宅基準の内容について確認しました</v>
      </c>
      <c r="AG39" s="6" t="str">
        <f aca="false">IFERROR(__xludf.dummyfunction("""COMPUTED_VALUE"""),"入居のしおりの内容についてご確認しました")</f>
        <v>入居のしおりの内容についてご確認しました</v>
      </c>
      <c r="AH39" s="6" t="str">
        <f aca="false">IFERROR(__xludf.dummyfunction("""COMPUTED_VALUE"""),"確認しました")</f>
        <v>確認しました</v>
      </c>
      <c r="AI39" s="6"/>
      <c r="AJ39" s="6" t="str">
        <v/>
      </c>
      <c r="AK39" s="6" t="str">
        <v/>
      </c>
      <c r="AL39" s="6" t="str">
        <v/>
      </c>
      <c r="AM39" s="6" t="str">
        <v/>
      </c>
      <c r="AN39" s="6" t="n">
        <f aca="false">TRUE()</f>
        <v>1</v>
      </c>
    </row>
    <row r="40" customFormat="false" ht="52.5" hidden="false" customHeight="true" outlineLevel="0" collapsed="false">
      <c r="A40" s="6" t="str">
        <f aca="false">IFERROR(__xludf.dummyfunction("""COMPUTED_VALUE"""),"2026/02/04 18:50:18")</f>
        <v>2026/02/04 18:50:18</v>
      </c>
      <c r="B40" s="6"/>
      <c r="C40" s="6" t="str">
        <f aca="false">IFERROR(__xludf.dummyfunction("""COMPUTED_VALUE"""),"69486")</f>
        <v>69486</v>
      </c>
      <c r="D40" s="6"/>
      <c r="E40" s="6"/>
      <c r="F40" s="6"/>
      <c r="G40" s="6" t="str">
        <f aca="false">IFERROR(__xludf.dummyfunction("""COMPUTED_VALUE"""),"2026/02/28")</f>
        <v>2026/02/28</v>
      </c>
      <c r="H40" s="6" t="str">
        <f aca="false">IFERROR(__xludf.dummyfunction("""COMPUTED_VALUE"""),"必要")</f>
        <v>必要</v>
      </c>
      <c r="I40" s="6" t="str">
        <f aca="false">IFERROR(__xludf.dummyfunction("""COMPUTED_VALUE"""),"男性")</f>
        <v>男性</v>
      </c>
      <c r="J40" s="6" t="str">
        <f aca="false">IFERROR(__xludf.dummyfunction("""COMPUTED_VALUE"""),"日本")</f>
        <v>日本</v>
      </c>
      <c r="K40" s="6" t="str">
        <f aca="false">IFERROR(__xludf.dummyfunction("""COMPUTED_VALUE"""),"10")</f>
        <v>10</v>
      </c>
      <c r="L40" s="6" t="str">
        <f aca="false">IFERROR(__xludf.dummyfunction("""COMPUTED_VALUE"""),"冷蔵庫(単身用2ドア)")</f>
        <v>冷蔵庫(単身用2ドア)</v>
      </c>
      <c r="M40" s="6" t="str">
        <f aca="false">IFERROR(__xludf.dummyfunction("""COMPUTED_VALUE"""),"机(横幅155cm奥行120cm高さ75cmL字型)")</f>
        <v>机(横幅155cm奥行120cm高さ75cmL字型)</v>
      </c>
      <c r="N40" s="6" t="str">
        <f aca="false">IFERROR(__xludf.dummyfunction("""COMPUTED_VALUE"""),"車のタイヤ4本")</f>
        <v>車のタイヤ4本</v>
      </c>
      <c r="O40" s="6" t="str">
        <f aca="false">IFERROR(__xludf.dummyfunction("""COMPUTED_VALUE"""),"必要")</f>
        <v>必要</v>
      </c>
      <c r="P40" s="6" t="str">
        <f aca="false">IFERROR(__xludf.dummyfunction("""COMPUTED_VALUE"""),"スイフト")</f>
        <v>スイフト</v>
      </c>
      <c r="Q40" s="6" t="str">
        <f aca="false">IFERROR(__xludf.dummyfunction("""COMPUTED_VALUE"""),"そ97-72")</f>
        <v>そ97-72</v>
      </c>
      <c r="R40" s="6" t="str">
        <f aca="false">IFERROR(__xludf.dummyfunction("""COMPUTED_VALUE"""),"シルバー")</f>
        <v>シルバー</v>
      </c>
      <c r="S40" s="6" t="str">
        <f aca="false">IFERROR(__xludf.dummyfunction("""COMPUTED_VALUE"""),"家具家電付き社宅")</f>
        <v>家具家電付き社宅</v>
      </c>
      <c r="T40" s="6" t="str">
        <f aca="false">IFERROR(__xludf.dummyfunction("""COMPUTED_VALUE"""),"利用しない")</f>
        <v>利用しない</v>
      </c>
      <c r="U40" s="6"/>
      <c r="V40" s="6" t="str">
        <f aca="false">IFERROR(__xludf.dummyfunction("""COMPUTED_VALUE"""),"徒歩, 自転車, 電車")</f>
        <v>徒歩, 自転車, 電車</v>
      </c>
      <c r="W40" s="6"/>
      <c r="X40" s="6" t="str">
        <f aca="false">IFERROR(__xludf.dummyfunction("""COMPUTED_VALUE"""),"ご自身で契約中の物件")</f>
        <v>ご自身で契約中の物件</v>
      </c>
      <c r="Y40" s="6"/>
      <c r="Z40" s="6" t="str">
        <f aca="false">IFERROR(__xludf.dummyfunction("""COMPUTED_VALUE"""),"希望する")</f>
        <v>希望する</v>
      </c>
      <c r="AA40" s="6" t="str">
        <f aca="false">IFERROR(__xludf.dummyfunction("""COMPUTED_VALUE"""),"単身")</f>
        <v>単身</v>
      </c>
      <c r="AB40" s="6"/>
      <c r="AC40" s="6"/>
      <c r="AD40" s="6" t="str">
        <f aca="false">IFERROR(__xludf.dummyfunction("""COMPUTED_VALUE"""),"なるべく壁が薄くない所を希望します。")</f>
        <v>なるべく壁が薄くない所を希望します。</v>
      </c>
      <c r="AE40" s="6" t="str">
        <f aca="false">IFERROR(__xludf.dummyfunction("""COMPUTED_VALUE"""),"確認しました。")</f>
        <v>確認しました。</v>
      </c>
      <c r="AF40" s="6" t="str">
        <f aca="false">IFERROR(__xludf.dummyfunction("""COMPUTED_VALUE"""),"社宅基準の内容について確認しました")</f>
        <v>社宅基準の内容について確認しました</v>
      </c>
      <c r="AG40" s="6" t="str">
        <f aca="false">IFERROR(__xludf.dummyfunction("""COMPUTED_VALUE"""),"入居のしおりの内容についてご確認しました")</f>
        <v>入居のしおりの内容についてご確認しました</v>
      </c>
      <c r="AH40" s="6" t="str">
        <f aca="false">IFERROR(__xludf.dummyfunction("""COMPUTED_VALUE"""),"確認しました")</f>
        <v>確認しました</v>
      </c>
      <c r="AI40" s="6"/>
      <c r="AJ40" s="6" t="str">
        <v/>
      </c>
      <c r="AK40" s="6" t="str">
        <v/>
      </c>
      <c r="AL40" s="6" t="str">
        <v/>
      </c>
      <c r="AM40" s="6" t="str">
        <v/>
      </c>
      <c r="AN40" s="6" t="n">
        <f aca="false">TRUE()</f>
        <v>1</v>
      </c>
    </row>
    <row r="41" customFormat="false" ht="52.5" hidden="false" customHeight="true" outlineLevel="0" collapsed="false">
      <c r="A41" s="6" t="str">
        <f aca="false">IFERROR(__xludf.dummyfunction("""COMPUTED_VALUE"""),"2026/02/04 19:29:43")</f>
        <v>2026/02/04 19:29:43</v>
      </c>
      <c r="B41" s="6"/>
      <c r="C41" s="6" t="str">
        <f aca="false">IFERROR(__xludf.dummyfunction("""COMPUTED_VALUE"""),"69575")</f>
        <v>69575</v>
      </c>
      <c r="D41" s="6"/>
      <c r="E41" s="6"/>
      <c r="F41" s="6"/>
      <c r="G41" s="6" t="str">
        <f aca="false">IFERROR(__xludf.dummyfunction("""COMPUTED_VALUE"""),"2026/03/29")</f>
        <v>2026/03/29</v>
      </c>
      <c r="H41" s="6" t="str">
        <f aca="false">IFERROR(__xludf.dummyfunction("""COMPUTED_VALUE"""),"必要")</f>
        <v>必要</v>
      </c>
      <c r="I41" s="6" t="str">
        <f aca="false">IFERROR(__xludf.dummyfunction("""COMPUTED_VALUE"""),"女性")</f>
        <v>女性</v>
      </c>
      <c r="J41" s="6" t="str">
        <f aca="false">IFERROR(__xludf.dummyfunction("""COMPUTED_VALUE"""),"日本")</f>
        <v>日本</v>
      </c>
      <c r="K41" s="6" t="str">
        <f aca="false">IFERROR(__xludf.dummyfunction("""COMPUTED_VALUE"""),"8")</f>
        <v>8</v>
      </c>
      <c r="L41" s="6" t="str">
        <f aca="false">IFERROR(__xludf.dummyfunction("""COMPUTED_VALUE"""),"なし")</f>
        <v>なし</v>
      </c>
      <c r="M41" s="6" t="str">
        <f aca="false">IFERROR(__xludf.dummyfunction("""COMPUTED_VALUE"""),"本棚(70×60×130)")</f>
        <v>本棚(70×60×130)</v>
      </c>
      <c r="N41" s="6"/>
      <c r="O41" s="6" t="str">
        <f aca="false">IFERROR(__xludf.dummyfunction("""COMPUTED_VALUE"""),"不要")</f>
        <v>不要</v>
      </c>
      <c r="P41" s="6"/>
      <c r="Q41" s="6"/>
      <c r="R41" s="6"/>
      <c r="S41" s="6" t="str">
        <f aca="false">IFERROR(__xludf.dummyfunction("""COMPUTED_VALUE"""),"家具家電付き社宅")</f>
        <v>家具家電付き社宅</v>
      </c>
      <c r="T41" s="6" t="str">
        <f aca="false">IFERROR(__xludf.dummyfunction("""COMPUTED_VALUE"""),"利用しない")</f>
        <v>利用しない</v>
      </c>
      <c r="U41" s="6"/>
      <c r="V41" s="6" t="str">
        <f aca="false">IFERROR(__xludf.dummyfunction("""COMPUTED_VALUE"""),"徒歩, バス")</f>
        <v>徒歩, バス</v>
      </c>
      <c r="W41" s="6"/>
      <c r="X41" s="6" t="str">
        <f aca="false">IFERROR(__xludf.dummyfunction("""COMPUTED_VALUE"""),"実家")</f>
        <v>実家</v>
      </c>
      <c r="Y41" s="6"/>
      <c r="Z41" s="6" t="str">
        <f aca="false">IFERROR(__xludf.dummyfunction("""COMPUTED_VALUE"""),"希望する")</f>
        <v>希望する</v>
      </c>
      <c r="AA41" s="6" t="str">
        <f aca="false">IFERROR(__xludf.dummyfunction("""COMPUTED_VALUE"""),"単身")</f>
        <v>単身</v>
      </c>
      <c r="AB41" s="6"/>
      <c r="AC41" s="6"/>
      <c r="AD41" s="6" t="str">
        <f aca="false">IFERROR(__xludf.dummyfunction("""COMPUTED_VALUE"""),"もしペット可のあれば、と思います。")</f>
        <v>もしペット可のあれば、と思います。</v>
      </c>
      <c r="AE41" s="6" t="str">
        <f aca="false">IFERROR(__xludf.dummyfunction("""COMPUTED_VALUE"""),"確認しました。")</f>
        <v>確認しました。</v>
      </c>
      <c r="AF41" s="6" t="str">
        <f aca="false">IFERROR(__xludf.dummyfunction("""COMPUTED_VALUE"""),"社宅基準の内容について確認しました")</f>
        <v>社宅基準の内容について確認しました</v>
      </c>
      <c r="AG41" s="6" t="str">
        <f aca="false">IFERROR(__xludf.dummyfunction("""COMPUTED_VALUE"""),"入居のしおりの内容についてご確認しました")</f>
        <v>入居のしおりの内容についてご確認しました</v>
      </c>
      <c r="AH41" s="6" t="str">
        <f aca="false">IFERROR(__xludf.dummyfunction("""COMPUTED_VALUE"""),"確認しました")</f>
        <v>確認しました</v>
      </c>
      <c r="AI41" s="6"/>
      <c r="AJ41" s="6" t="str">
        <v/>
      </c>
      <c r="AK41" s="6" t="str">
        <v/>
      </c>
      <c r="AL41" s="6" t="str">
        <v/>
      </c>
      <c r="AM41" s="6" t="str">
        <v/>
      </c>
      <c r="AN41" s="6" t="n">
        <f aca="false">TRUE()</f>
        <v>1</v>
      </c>
    </row>
    <row r="42" customFormat="false" ht="52.5" hidden="false" customHeight="true" outlineLevel="0" collapsed="false">
      <c r="A42" s="6" t="str">
        <f aca="false">IFERROR(__xludf.dummyfunction("""COMPUTED_VALUE"""),"2026/02/04 21:01:02")</f>
        <v>2026/02/04 21:01:02</v>
      </c>
      <c r="B42" s="6"/>
      <c r="C42" s="6" t="str">
        <f aca="false">IFERROR(__xludf.dummyfunction("""COMPUTED_VALUE"""),"69562")</f>
        <v>69562</v>
      </c>
      <c r="D42" s="6"/>
      <c r="E42" s="6"/>
      <c r="F42" s="6"/>
      <c r="G42" s="6" t="str">
        <f aca="false">IFERROR(__xludf.dummyfunction("""COMPUTED_VALUE"""),"2026/02/27")</f>
        <v>2026/02/27</v>
      </c>
      <c r="H42" s="6" t="str">
        <f aca="false">IFERROR(__xludf.dummyfunction("""COMPUTED_VALUE"""),"必要")</f>
        <v>必要</v>
      </c>
      <c r="I42" s="6" t="str">
        <f aca="false">IFERROR(__xludf.dummyfunction("""COMPUTED_VALUE"""),"男性")</f>
        <v>男性</v>
      </c>
      <c r="J42" s="6" t="str">
        <f aca="false">IFERROR(__xludf.dummyfunction("""COMPUTED_VALUE"""),"日本")</f>
        <v>日本</v>
      </c>
      <c r="K42" s="6" t="str">
        <f aca="false">IFERROR(__xludf.dummyfunction("""COMPUTED_VALUE"""),"10")</f>
        <v>10</v>
      </c>
      <c r="L42" s="6" t="str">
        <f aca="false">IFERROR(__xludf.dummyfunction("""COMPUTED_VALUE"""),"ドラム式洗濯機　50• 60 •100")</f>
        <v>ドラム式洗濯機　50• 60 •100</v>
      </c>
      <c r="M42" s="6" t="str">
        <f aca="false">IFERROR(__xludf.dummyfunction("""COMPUTED_VALUE"""),"50型テレビ")</f>
        <v>50型テレビ</v>
      </c>
      <c r="N42" s="6" t="str">
        <f aca="false">IFERROR(__xludf.dummyfunction("""COMPUTED_VALUE"""),"扇風機　室内用物干し竿")</f>
        <v>扇風機　室内用物干し竿</v>
      </c>
      <c r="O42" s="6" t="str">
        <f aca="false">IFERROR(__xludf.dummyfunction("""COMPUTED_VALUE"""),"必要")</f>
        <v>必要</v>
      </c>
      <c r="P42" s="6" t="str">
        <f aca="false">IFERROR(__xludf.dummyfunction("""COMPUTED_VALUE"""),"ムーブ")</f>
        <v>ムーブ</v>
      </c>
      <c r="Q42" s="6" t="str">
        <f aca="false">IFERROR(__xludf.dummyfunction("""COMPUTED_VALUE"""),"つ47-10")</f>
        <v>つ47-10</v>
      </c>
      <c r="R42" s="6" t="str">
        <f aca="false">IFERROR(__xludf.dummyfunction("""COMPUTED_VALUE"""),"赤")</f>
        <v>赤</v>
      </c>
      <c r="S42" s="6" t="str">
        <f aca="false">IFERROR(__xludf.dummyfunction("""COMPUTED_VALUE"""),"家具家電付き社宅")</f>
        <v>家具家電付き社宅</v>
      </c>
      <c r="T42" s="6" t="str">
        <f aca="false">IFERROR(__xludf.dummyfunction("""COMPUTED_VALUE"""),"利用しない")</f>
        <v>利用しない</v>
      </c>
      <c r="U42" s="6"/>
      <c r="V42" s="6" t="str">
        <f aca="false">IFERROR(__xludf.dummyfunction("""COMPUTED_VALUE"""),"自動車")</f>
        <v>自動車</v>
      </c>
      <c r="W42" s="6"/>
      <c r="X42" s="6" t="str">
        <f aca="false">IFERROR(__xludf.dummyfunction("""COMPUTED_VALUE"""),"ご自身で契約中の物件")</f>
        <v>ご自身で契約中の物件</v>
      </c>
      <c r="Y42" s="6"/>
      <c r="Z42" s="6" t="str">
        <f aca="false">IFERROR(__xludf.dummyfunction("""COMPUTED_VALUE"""),"希望する")</f>
        <v>希望する</v>
      </c>
      <c r="AA42" s="6" t="str">
        <f aca="false">IFERROR(__xludf.dummyfunction("""COMPUTED_VALUE"""),"単身")</f>
        <v>単身</v>
      </c>
      <c r="AB42" s="6"/>
      <c r="AC42" s="6"/>
      <c r="AD42" s="6" t="str">
        <f aca="false">IFERROR(__xludf.dummyfunction("""COMPUTED_VALUE"""),"洗面所と風呂は別々")</f>
        <v>洗面所と風呂は別々</v>
      </c>
      <c r="AE42" s="6" t="str">
        <f aca="false">IFERROR(__xludf.dummyfunction("""COMPUTED_VALUE"""),"確認しました。")</f>
        <v>確認しました。</v>
      </c>
      <c r="AF42" s="6" t="str">
        <f aca="false">IFERROR(__xludf.dummyfunction("""COMPUTED_VALUE"""),"社宅基準の内容について確認しました")</f>
        <v>社宅基準の内容について確認しました</v>
      </c>
      <c r="AG42" s="6" t="str">
        <f aca="false">IFERROR(__xludf.dummyfunction("""COMPUTED_VALUE"""),"入居のしおりの内容についてご確認しました")</f>
        <v>入居のしおりの内容についてご確認しました</v>
      </c>
      <c r="AH42" s="6" t="str">
        <f aca="false">IFERROR(__xludf.dummyfunction("""COMPUTED_VALUE"""),"確認しました")</f>
        <v>確認しました</v>
      </c>
      <c r="AI42" s="6"/>
      <c r="AJ42" s="6" t="str">
        <v/>
      </c>
      <c r="AK42" s="6" t="str">
        <v/>
      </c>
      <c r="AL42" s="6" t="str">
        <v/>
      </c>
      <c r="AM42" s="6" t="str">
        <v/>
      </c>
      <c r="AN42" s="6" t="n">
        <f aca="false">FALSE()</f>
        <v>0</v>
      </c>
    </row>
    <row r="43" customFormat="false" ht="52.5" hidden="false" customHeight="true" outlineLevel="0" collapsed="false">
      <c r="A43" s="6" t="str">
        <f aca="false">IFERROR(__xludf.dummyfunction("""COMPUTED_VALUE"""),"2026/02/05 1:07:10")</f>
        <v>2026/02/05 1:07:10</v>
      </c>
      <c r="B43" s="6"/>
      <c r="C43" s="6" t="str">
        <f aca="false">IFERROR(__xludf.dummyfunction("""COMPUTED_VALUE"""),"69614")</f>
        <v>69614</v>
      </c>
      <c r="D43" s="6"/>
      <c r="E43" s="6"/>
      <c r="F43" s="6"/>
      <c r="G43" s="6" t="str">
        <f aca="false">IFERROR(__xludf.dummyfunction("""COMPUTED_VALUE"""),"2026/03/20")</f>
        <v>2026/03/20</v>
      </c>
      <c r="H43" s="6" t="str">
        <f aca="false">IFERROR(__xludf.dummyfunction("""COMPUTED_VALUE"""),"必要")</f>
        <v>必要</v>
      </c>
      <c r="I43" s="6" t="str">
        <f aca="false">IFERROR(__xludf.dummyfunction("""COMPUTED_VALUE"""),"男性")</f>
        <v>男性</v>
      </c>
      <c r="J43" s="6" t="str">
        <f aca="false">IFERROR(__xludf.dummyfunction("""COMPUTED_VALUE"""),"日本")</f>
        <v>日本</v>
      </c>
      <c r="K43" s="6" t="str">
        <f aca="false">IFERROR(__xludf.dummyfunction("""COMPUTED_VALUE"""),"20")</f>
        <v>20</v>
      </c>
      <c r="L43" s="6" t="str">
        <f aca="false">IFERROR(__xludf.dummyfunction("""COMPUTED_VALUE"""),"単身用冷蔵庫(1ドア)
洗濯機
モニター3枚
デスクトップPC
掃除機
ハンコン
加湿器
扇風機
オーブントースター
炊飯器
電子レンジ
LEDシーリングライト")</f>
        <v>単身用冷蔵庫(1ドア)
洗濯機
モニター3枚
デスクトップPC
掃除機
ハンコン
加湿器
扇風機
オーブントースター
炊飯器
電子レンジ
LEDシーリングライト</v>
      </c>
      <c r="M43" s="6" t="str">
        <f aca="false">IFERROR(__xludf.dummyfunction("""COMPUTED_VALUE"""),"机(55cm・19cm・98cm)
座椅子(45cm・57cm・60cm)
こたつ机(73cm・73cm・5cm)解体時
椅子(70cm・70cm・120cm)
タンス(64cm・52cm・39cm)2個
服入れ(37cm・26cm・50cm)2個
服入れ(55cm・30cm・25cm)
米櫃(19cm・28cm・42cm)
棚(34cm・40cm・53cm)
ベッド(190cm・95cm・62cm)解体可能な物です。
本棚(21cm・70cm・64cm)2個
テレビ机(80cm・35cm・37cm)")</f>
        <v>机(55cm・19cm・98cm)
座椅子(45cm・57cm・60cm)
こたつ机(73cm・73cm・5cm)解体時
椅子(70cm・70cm・120cm)
タンス(64cm・52cm・39cm)2個
服入れ(37cm・26cm・50cm)2個
服入れ(55cm・30cm・25cm)
米櫃(19cm・28cm・42cm)
棚(34cm・40cm・53cm)
ベッド(190cm・95cm・62cm)解体可能な物です。
本棚(21cm・70cm・64cm)2個
テレビ机(80cm・35cm・37cm)</v>
      </c>
      <c r="N43" s="6" t="str">
        <f aca="false">IFERROR(__xludf.dummyfunction("""COMPUTED_VALUE"""),"自転車")</f>
        <v>自転車</v>
      </c>
      <c r="O43" s="6" t="str">
        <f aca="false">IFERROR(__xludf.dummyfunction("""COMPUTED_VALUE"""),"不要")</f>
        <v>不要</v>
      </c>
      <c r="P43" s="6"/>
      <c r="Q43" s="6"/>
      <c r="R43" s="6"/>
      <c r="S43" s="6" t="str">
        <f aca="false">IFERROR(__xludf.dummyfunction("""COMPUTED_VALUE"""),"家具家電なし社宅")</f>
        <v>家具家電なし社宅</v>
      </c>
      <c r="T43" s="6" t="str">
        <f aca="false">IFERROR(__xludf.dummyfunction("""COMPUTED_VALUE"""),"利用しない")</f>
        <v>利用しない</v>
      </c>
      <c r="U43" s="6"/>
      <c r="V43" s="6" t="str">
        <f aca="false">IFERROR(__xludf.dummyfunction("""COMPUTED_VALUE"""),"バス")</f>
        <v>バス</v>
      </c>
      <c r="W43" s="6"/>
      <c r="X43" s="6" t="str">
        <f aca="false">IFERROR(__xludf.dummyfunction("""COMPUTED_VALUE"""),"株式会社ビーネックステクノロジーズの社宅")</f>
        <v>株式会社ビーネックステクノロジーズの社宅</v>
      </c>
      <c r="Y43" s="6" t="str">
        <f aca="false">IFERROR(__xludf.dummyfunction("""COMPUTED_VALUE"""),"利用なし")</f>
        <v>利用なし</v>
      </c>
      <c r="Z43" s="6" t="str">
        <f aca="false">IFERROR(__xludf.dummyfunction("""COMPUTED_VALUE"""),"希望する")</f>
        <v>希望する</v>
      </c>
      <c r="AA43" s="6" t="str">
        <f aca="false">IFERROR(__xludf.dummyfunction("""COMPUTED_VALUE"""),"単身")</f>
        <v>単身</v>
      </c>
      <c r="AB43" s="6"/>
      <c r="AC43" s="6"/>
      <c r="AD43" s="6" t="str">
        <f aca="false">IFERROR(__xludf.dummyfunction("""COMPUTED_VALUE"""),"熊谷駅近く希望
風呂トイレ別
光回線が使える
ネット回線は自分で契約したいです
1LDK
鍵は郵送で送って欲しいです
鉄筋コンクリート
角部屋
2階以上
ガスコンロ付き
自転車置き場つき")</f>
        <v>熊谷駅近く希望
風呂トイレ別
光回線が使える
ネット回線は自分で契約したいです
1LDK
鍵は郵送で送って欲しいです
鉄筋コンクリート
角部屋
2階以上
ガスコンロ付き
自転車置き場つき</v>
      </c>
      <c r="AE43" s="6" t="str">
        <f aca="false">IFERROR(__xludf.dummyfunction("""COMPUTED_VALUE"""),"確認しました。")</f>
        <v>確認しました。</v>
      </c>
      <c r="AF43" s="6" t="str">
        <f aca="false">IFERROR(__xludf.dummyfunction("""COMPUTED_VALUE"""),"社宅基準の内容について確認しました")</f>
        <v>社宅基準の内容について確認しました</v>
      </c>
      <c r="AG43" s="6" t="str">
        <f aca="false">IFERROR(__xludf.dummyfunction("""COMPUTED_VALUE"""),"入居のしおりの内容についてご確認しました")</f>
        <v>入居のしおりの内容についてご確認しました</v>
      </c>
      <c r="AH43" s="6" t="str">
        <f aca="false">IFERROR(__xludf.dummyfunction("""COMPUTED_VALUE"""),"確認しました")</f>
        <v>確認しました</v>
      </c>
      <c r="AI43" s="6"/>
      <c r="AJ43" s="6" t="str">
        <v/>
      </c>
      <c r="AK43" s="6" t="str">
        <v/>
      </c>
      <c r="AL43" s="6" t="str">
        <v/>
      </c>
      <c r="AM43" s="6" t="str">
        <v/>
      </c>
      <c r="AN43" s="6" t="n">
        <f aca="false">FALSE()</f>
        <v>0</v>
      </c>
    </row>
    <row r="44" customFormat="false" ht="52.5" hidden="false" customHeight="true" outlineLevel="0" collapsed="false">
      <c r="A44" s="6" t="str">
        <f aca="false">IFERROR(__xludf.dummyfunction("""COMPUTED_VALUE"""),"2026/02/05 9:29:06")</f>
        <v>2026/02/05 9:29:06</v>
      </c>
      <c r="B44" s="6"/>
      <c r="C44" s="6" t="str">
        <f aca="false">IFERROR(__xludf.dummyfunction("""COMPUTED_VALUE"""),"69571")</f>
        <v>69571</v>
      </c>
      <c r="D44" s="6"/>
      <c r="E44" s="6"/>
      <c r="F44" s="6"/>
      <c r="G44" s="6" t="str">
        <f aca="false">IFERROR(__xludf.dummyfunction("""COMPUTED_VALUE"""),"2026/02/28")</f>
        <v>2026/02/28</v>
      </c>
      <c r="H44" s="6" t="str">
        <f aca="false">IFERROR(__xludf.dummyfunction("""COMPUTED_VALUE"""),"必要")</f>
        <v>必要</v>
      </c>
      <c r="I44" s="6" t="str">
        <f aca="false">IFERROR(__xludf.dummyfunction("""COMPUTED_VALUE"""),"男性")</f>
        <v>男性</v>
      </c>
      <c r="J44" s="6" t="str">
        <f aca="false">IFERROR(__xludf.dummyfunction("""COMPUTED_VALUE"""),"ベトナム")</f>
        <v>ベトナム</v>
      </c>
      <c r="K44" s="6" t="str">
        <f aca="false">IFERROR(__xludf.dummyfunction("""COMPUTED_VALUE"""),"4")</f>
        <v>4</v>
      </c>
      <c r="L44" s="6" t="str">
        <f aca="false">IFERROR(__xludf.dummyfunction("""COMPUTED_VALUE"""),"冷蔵庫、洗濯機（幅約53mm×奥行約60mm×高さ約90mm程）,電子レンジ")</f>
        <v>冷蔵庫、洗濯機（幅約53mm×奥行約60mm×高さ約90mm程）,電子レンジ</v>
      </c>
      <c r="M44" s="6" t="str">
        <f aca="false">IFERROR(__xludf.dummyfunction("""COMPUTED_VALUE"""),"布団（90㎝*180cm*5cm）")</f>
        <v>布団（90㎝*180cm*5cm）</v>
      </c>
      <c r="N44" s="6" t="str">
        <f aca="false">IFERROR(__xludf.dummyfunction("""COMPUTED_VALUE"""),"自転車(一台）")</f>
        <v>自転車(一台）</v>
      </c>
      <c r="O44" s="6" t="str">
        <f aca="false">IFERROR(__xludf.dummyfunction("""COMPUTED_VALUE"""),"不要")</f>
        <v>不要</v>
      </c>
      <c r="P44" s="6"/>
      <c r="Q44" s="6"/>
      <c r="R44" s="6"/>
      <c r="S44" s="6" t="str">
        <f aca="false">IFERROR(__xludf.dummyfunction("""COMPUTED_VALUE"""),"家具家電なし社宅")</f>
        <v>家具家電なし社宅</v>
      </c>
      <c r="T44" s="6" t="str">
        <f aca="false">IFERROR(__xludf.dummyfunction("""COMPUTED_VALUE"""),"利用しない")</f>
        <v>利用しない</v>
      </c>
      <c r="U44" s="6"/>
      <c r="V44" s="6" t="str">
        <f aca="false">IFERROR(__xludf.dummyfunction("""COMPUTED_VALUE"""),"電車, バス")</f>
        <v>電車, バス</v>
      </c>
      <c r="W44" s="6"/>
      <c r="X44" s="6" t="str">
        <f aca="false">IFERROR(__xludf.dummyfunction("""COMPUTED_VALUE"""),"株式会社ビーネックステクノロジーズの社宅")</f>
        <v>株式会社ビーネックステクノロジーズの社宅</v>
      </c>
      <c r="Y44" s="6" t="str">
        <f aca="false">IFERROR(__xludf.dummyfunction("""COMPUTED_VALUE"""),"利用なし")</f>
        <v>利用なし</v>
      </c>
      <c r="Z44" s="6" t="str">
        <f aca="false">IFERROR(__xludf.dummyfunction("""COMPUTED_VALUE"""),"希望する")</f>
        <v>希望する</v>
      </c>
      <c r="AA44" s="6" t="str">
        <f aca="false">IFERROR(__xludf.dummyfunction("""COMPUTED_VALUE"""),"単身")</f>
        <v>単身</v>
      </c>
      <c r="AB44" s="6"/>
      <c r="AC44" s="6"/>
      <c r="AD44" s="6"/>
      <c r="AE44" s="6" t="str">
        <f aca="false">IFERROR(__xludf.dummyfunction("""COMPUTED_VALUE"""),"確認しました。")</f>
        <v>確認しました。</v>
      </c>
      <c r="AF44" s="6" t="str">
        <f aca="false">IFERROR(__xludf.dummyfunction("""COMPUTED_VALUE"""),"社宅基準の内容について確認しました")</f>
        <v>社宅基準の内容について確認しました</v>
      </c>
      <c r="AG44" s="6" t="str">
        <f aca="false">IFERROR(__xludf.dummyfunction("""COMPUTED_VALUE"""),"入居のしおりの内容についてご確認しました")</f>
        <v>入居のしおりの内容についてご確認しました</v>
      </c>
      <c r="AH44" s="6" t="str">
        <f aca="false">IFERROR(__xludf.dummyfunction("""COMPUTED_VALUE"""),"確認しました")</f>
        <v>確認しました</v>
      </c>
      <c r="AI44" s="6"/>
      <c r="AJ44" s="6" t="str">
        <v/>
      </c>
      <c r="AK44" s="6" t="str">
        <v/>
      </c>
      <c r="AL44" s="6" t="str">
        <v/>
      </c>
      <c r="AM44" s="6" t="str">
        <v/>
      </c>
      <c r="AN44" s="6" t="n">
        <f aca="false">FALSE()</f>
        <v>0</v>
      </c>
    </row>
    <row r="45" customFormat="false" ht="52.5" hidden="false" customHeight="true" outlineLevel="0" collapsed="false">
      <c r="A45" s="6" t="str">
        <f aca="false">IFERROR(__xludf.dummyfunction("""COMPUTED_VALUE"""),"2026/02/05 11:00:52")</f>
        <v>2026/02/05 11:00:52</v>
      </c>
      <c r="B45" s="6"/>
      <c r="C45" s="6" t="str">
        <f aca="false">IFERROR(__xludf.dummyfunction("""COMPUTED_VALUE"""),"69630")</f>
        <v>69630</v>
      </c>
      <c r="D45" s="6"/>
      <c r="E45" s="6"/>
      <c r="F45" s="6"/>
      <c r="G45" s="6" t="str">
        <f aca="false">IFERROR(__xludf.dummyfunction("""COMPUTED_VALUE"""),"2026/03/28")</f>
        <v>2026/03/28</v>
      </c>
      <c r="H45" s="6" t="str">
        <f aca="false">IFERROR(__xludf.dummyfunction("""COMPUTED_VALUE"""),"必要")</f>
        <v>必要</v>
      </c>
      <c r="I45" s="6" t="str">
        <f aca="false">IFERROR(__xludf.dummyfunction("""COMPUTED_VALUE"""),"女性")</f>
        <v>女性</v>
      </c>
      <c r="J45" s="6" t="str">
        <f aca="false">IFERROR(__xludf.dummyfunction("""COMPUTED_VALUE"""),"ミャンマー")</f>
        <v>ミャンマー</v>
      </c>
      <c r="K45" s="6" t="str">
        <f aca="false">IFERROR(__xludf.dummyfunction("""COMPUTED_VALUE"""),"30")</f>
        <v>30</v>
      </c>
      <c r="L45" s="6" t="str">
        <f aca="false">IFERROR(__xludf.dummyfunction("""COMPUTED_VALUE"""),"冷蔵庫(大型)家族用、掃除機、電子レンジ、炊飯器など")</f>
        <v>冷蔵庫(大型)家族用、掃除機、電子レンジ、炊飯器など</v>
      </c>
      <c r="M45" s="6" t="str">
        <f aca="false">IFERROR(__xludf.dummyfunction("""COMPUTED_VALUE"""),"冷蔵庫(大型)、ベッドダブル、テレビ50インチ、棚3、テブル(100W200L)2個")</f>
        <v>冷蔵庫(大型)、ベッドダブル、テレビ50インチ、棚3、テブル(100W200L)2個</v>
      </c>
      <c r="N45" s="6" t="str">
        <f aca="false">IFERROR(__xludf.dummyfunction("""COMPUTED_VALUE"""),"自転車2台")</f>
        <v>自転車2台</v>
      </c>
      <c r="O45" s="6" t="str">
        <f aca="false">IFERROR(__xludf.dummyfunction("""COMPUTED_VALUE"""),"不要")</f>
        <v>不要</v>
      </c>
      <c r="P45" s="6"/>
      <c r="Q45" s="6"/>
      <c r="R45" s="6"/>
      <c r="S45" s="6" t="str">
        <f aca="false">IFERROR(__xludf.dummyfunction("""COMPUTED_VALUE"""),"家具家電なし社宅")</f>
        <v>家具家電なし社宅</v>
      </c>
      <c r="T45" s="6" t="str">
        <f aca="false">IFERROR(__xludf.dummyfunction("""COMPUTED_VALUE"""),"利用しない")</f>
        <v>利用しない</v>
      </c>
      <c r="U45" s="6"/>
      <c r="V45" s="6" t="str">
        <f aca="false">IFERROR(__xludf.dummyfunction("""COMPUTED_VALUE"""),"電車, バス")</f>
        <v>電車, バス</v>
      </c>
      <c r="W45" s="6"/>
      <c r="X45" s="6" t="str">
        <f aca="false">IFERROR(__xludf.dummyfunction("""COMPUTED_VALUE"""),"ご自身で契約中の物件")</f>
        <v>ご自身で契約中の物件</v>
      </c>
      <c r="Y45" s="6"/>
      <c r="Z45" s="6" t="str">
        <f aca="false">IFERROR(__xludf.dummyfunction("""COMPUTED_VALUE"""),"希望する")</f>
        <v>希望する</v>
      </c>
      <c r="AA45" s="6" t="str">
        <f aca="false">IFERROR(__xludf.dummyfunction("""COMPUTED_VALUE"""),"家族")</f>
        <v>家族</v>
      </c>
      <c r="AB45" s="6" t="str">
        <f aca="false">IFERROR(__xludf.dummyfunction("""COMPUTED_VALUE"""),"住所千葉県市川市本行徳２９－８フレグランス２１-２１２
氏名： MIN YE KHANT
フリガナ：ミンヤエーカンッ
生年月日：13/04/2000
電話番号：07089469195
続柄：旦那さん")</f>
        <v>住所千葉県市川市本行徳２９－８フレグランス２１-２１２
氏名： MIN YE KHANT
フリガナ：ミンヤエーカンッ
生年月日：13/04/2000
電話番号：07089469195
続柄：旦那さん</v>
      </c>
      <c r="AC45" s="6"/>
      <c r="AD45" s="6" t="str">
        <f aca="false">IFERROR(__xludf.dummyfunction("""COMPUTED_VALUE"""),"部屋:2DK、2LDK、3DK、3LDK
最寄り駅(蒲田、大森駅)京浜東北線
大森町駅、梅屋敷駅、
家賃(9万から12万円)
バストイレ別(シャワー付きトイレ)
物入れ/クロゼット
駅から歩いて15分以内
")</f>
        <v>部屋:2DK、2LDK、3DK、3LDK
最寄り駅(蒲田、大森駅)京浜東北線
大森町駅、梅屋敷駅、
家賃(9万から12万円)
バストイレ別(シャワー付きトイレ)
物入れ/クロゼット
駅から歩いて15分以内
</v>
      </c>
      <c r="AE45" s="6" t="str">
        <f aca="false">IFERROR(__xludf.dummyfunction("""COMPUTED_VALUE"""),"確認しました。")</f>
        <v>確認しました。</v>
      </c>
      <c r="AF45" s="6" t="str">
        <f aca="false">IFERROR(__xludf.dummyfunction("""COMPUTED_VALUE"""),"社宅基準の内容について確認しました")</f>
        <v>社宅基準の内容について確認しました</v>
      </c>
      <c r="AG45" s="6" t="str">
        <f aca="false">IFERROR(__xludf.dummyfunction("""COMPUTED_VALUE"""),"入居のしおりの内容についてご確認しました")</f>
        <v>入居のしおりの内容についてご確認しました</v>
      </c>
      <c r="AH45" s="6" t="str">
        <f aca="false">IFERROR(__xludf.dummyfunction("""COMPUTED_VALUE"""),"確認しました")</f>
        <v>確認しました</v>
      </c>
      <c r="AI45" s="6"/>
      <c r="AJ45" s="6" t="str">
        <v/>
      </c>
      <c r="AK45" s="6" t="str">
        <v/>
      </c>
      <c r="AL45" s="6" t="str">
        <v/>
      </c>
      <c r="AM45" s="6" t="str">
        <v/>
      </c>
      <c r="AN45" s="6" t="n">
        <f aca="false">FALSE()</f>
        <v>0</v>
      </c>
    </row>
    <row r="46" customFormat="false" ht="52.5" hidden="false" customHeight="true" outlineLevel="0" collapsed="false">
      <c r="A46" s="6" t="str">
        <f aca="false">IFERROR(__xludf.dummyfunction("""COMPUTED_VALUE"""),"2026/02/05 20:55:24")</f>
        <v>2026/02/05 20:55:24</v>
      </c>
      <c r="B46" s="6"/>
      <c r="C46" s="6" t="str">
        <f aca="false">IFERROR(__xludf.dummyfunction("""COMPUTED_VALUE"""),"69568")</f>
        <v>69568</v>
      </c>
      <c r="D46" s="6"/>
      <c r="E46" s="6"/>
      <c r="F46" s="6"/>
      <c r="G46" s="6" t="str">
        <f aca="false">IFERROR(__xludf.dummyfunction("""COMPUTED_VALUE"""),"2026/03/30")</f>
        <v>2026/03/30</v>
      </c>
      <c r="H46" s="6" t="str">
        <f aca="false">IFERROR(__xludf.dummyfunction("""COMPUTED_VALUE"""),"必要")</f>
        <v>必要</v>
      </c>
      <c r="I46" s="6" t="str">
        <f aca="false">IFERROR(__xludf.dummyfunction("""COMPUTED_VALUE"""),"男性")</f>
        <v>男性</v>
      </c>
      <c r="J46" s="6" t="str">
        <f aca="false">IFERROR(__xludf.dummyfunction("""COMPUTED_VALUE"""),"日本")</f>
        <v>日本</v>
      </c>
      <c r="K46" s="6" t="str">
        <f aca="false">IFERROR(__xludf.dummyfunction("""COMPUTED_VALUE"""),"10")</f>
        <v>10</v>
      </c>
      <c r="L46" s="6" t="str">
        <f aca="false">IFERROR(__xludf.dummyfunction("""COMPUTED_VALUE"""),"ディスクトップパソコン")</f>
        <v>ディスクトップパソコン</v>
      </c>
      <c r="M46" s="6" t="str">
        <f aca="false">IFERROR(__xludf.dummyfunction("""COMPUTED_VALUE"""),"なし")</f>
        <v>なし</v>
      </c>
      <c r="N46" s="6" t="str">
        <f aca="false">IFERROR(__xludf.dummyfunction("""COMPUTED_VALUE"""),"なし")</f>
        <v>なし</v>
      </c>
      <c r="O46" s="6" t="str">
        <f aca="false">IFERROR(__xludf.dummyfunction("""COMPUTED_VALUE"""),"必要")</f>
        <v>必要</v>
      </c>
      <c r="P46" s="6" t="str">
        <f aca="false">IFERROR(__xludf.dummyfunction("""COMPUTED_VALUE"""),"スイフト　購入予定")</f>
        <v>スイフト　購入予定</v>
      </c>
      <c r="Q46" s="6" t="str">
        <f aca="false">IFERROR(__xludf.dummyfunction("""COMPUTED_VALUE"""),"なし")</f>
        <v>なし</v>
      </c>
      <c r="R46" s="6" t="str">
        <f aca="false">IFERROR(__xludf.dummyfunction("""COMPUTED_VALUE"""),"なし")</f>
        <v>なし</v>
      </c>
      <c r="S46" s="6" t="str">
        <f aca="false">IFERROR(__xludf.dummyfunction("""COMPUTED_VALUE"""),"家具家電なし社宅")</f>
        <v>家具家電なし社宅</v>
      </c>
      <c r="T46" s="6" t="str">
        <f aca="false">IFERROR(__xludf.dummyfunction("""COMPUTED_VALUE"""),"利用する")</f>
        <v>利用する</v>
      </c>
      <c r="U46" s="6" t="str">
        <f aca="false">IFERROR(__xludf.dummyfunction("""COMPUTED_VALUE"""),"冷凍冷蔵庫2ドア80ℓ、全自動洗濯機、電子レンジ、エアコン")</f>
        <v>冷凍冷蔵庫2ドア80ℓ、全自動洗濯機、電子レンジ、エアコン</v>
      </c>
      <c r="V46" s="6" t="str">
        <f aca="false">IFERROR(__xludf.dummyfunction("""COMPUTED_VALUE"""),"自動車, 電車, バス")</f>
        <v>自動車, 電車, バス</v>
      </c>
      <c r="W46" s="6"/>
      <c r="X46" s="6" t="str">
        <f aca="false">IFERROR(__xludf.dummyfunction("""COMPUTED_VALUE"""),"ご自身で契約中の物件")</f>
        <v>ご自身で契約中の物件</v>
      </c>
      <c r="Y46" s="6"/>
      <c r="Z46" s="6" t="str">
        <f aca="false">IFERROR(__xludf.dummyfunction("""COMPUTED_VALUE"""),"希望しない")</f>
        <v>希望しない</v>
      </c>
      <c r="AA46" s="6" t="str">
        <f aca="false">IFERROR(__xludf.dummyfunction("""COMPUTED_VALUE"""),"単身")</f>
        <v>単身</v>
      </c>
      <c r="AB46" s="6"/>
      <c r="AC46" s="6"/>
      <c r="AD46" s="6" t="str">
        <f aca="false">IFERROR(__xludf.dummyfunction("""COMPUTED_VALUE"""),"防音のいい部屋。
個人でのネット契約可能部屋。
共有ネットはやめて欲しい。")</f>
        <v>防音のいい部屋。
個人でのネット契約可能部屋。
共有ネットはやめて欲しい。</v>
      </c>
      <c r="AE46" s="6" t="str">
        <f aca="false">IFERROR(__xludf.dummyfunction("""COMPUTED_VALUE"""),"確認しました。")</f>
        <v>確認しました。</v>
      </c>
      <c r="AF46" s="6" t="str">
        <f aca="false">IFERROR(__xludf.dummyfunction("""COMPUTED_VALUE"""),"社宅基準の内容について確認しました")</f>
        <v>社宅基準の内容について確認しました</v>
      </c>
      <c r="AG46" s="6" t="str">
        <f aca="false">IFERROR(__xludf.dummyfunction("""COMPUTED_VALUE"""),"入居のしおりの内容についてご確認しました")</f>
        <v>入居のしおりの内容についてご確認しました</v>
      </c>
      <c r="AH46" s="6" t="str">
        <f aca="false">IFERROR(__xludf.dummyfunction("""COMPUTED_VALUE"""),"確認しました")</f>
        <v>確認しました</v>
      </c>
      <c r="AI46" s="6"/>
      <c r="AJ46" s="6" t="str">
        <v/>
      </c>
      <c r="AK46" s="6" t="str">
        <v/>
      </c>
      <c r="AL46" s="6" t="str">
        <v/>
      </c>
      <c r="AM46" s="6" t="str">
        <v/>
      </c>
      <c r="AN46" s="6" t="n">
        <f aca="false">FALSE()</f>
        <v>0</v>
      </c>
    </row>
    <row r="47" customFormat="false" ht="52.5" hidden="false" customHeight="true" outlineLevel="0" collapsed="false">
      <c r="A47" s="6" t="str">
        <f aca="false">IFERROR(__xludf.dummyfunction("""COMPUTED_VALUE"""),"2026/02/05 22:47:04")</f>
        <v>2026/02/05 22:47:04</v>
      </c>
      <c r="B47" s="6"/>
      <c r="C47" s="6" t="str">
        <f aca="false">IFERROR(__xludf.dummyfunction("""COMPUTED_VALUE"""),"69603")</f>
        <v>69603</v>
      </c>
      <c r="D47" s="6"/>
      <c r="E47" s="6"/>
      <c r="F47" s="6"/>
      <c r="G47" s="6" t="str">
        <f aca="false">IFERROR(__xludf.dummyfunction("""COMPUTED_VALUE"""),"2026/03/16")</f>
        <v>2026/03/16</v>
      </c>
      <c r="H47" s="6" t="str">
        <f aca="false">IFERROR(__xludf.dummyfunction("""COMPUTED_VALUE"""),"必要")</f>
        <v>必要</v>
      </c>
      <c r="I47" s="6" t="str">
        <f aca="false">IFERROR(__xludf.dummyfunction("""COMPUTED_VALUE"""),"女性")</f>
        <v>女性</v>
      </c>
      <c r="J47" s="6" t="str">
        <f aca="false">IFERROR(__xludf.dummyfunction("""COMPUTED_VALUE"""),"日本")</f>
        <v>日本</v>
      </c>
      <c r="K47" s="6" t="str">
        <f aca="false">IFERROR(__xludf.dummyfunction("""COMPUTED_VALUE"""),"5")</f>
        <v>5</v>
      </c>
      <c r="L47" s="6" t="str">
        <f aca="false">IFERROR(__xludf.dummyfunction("""COMPUTED_VALUE"""),"テレビ")</f>
        <v>テレビ</v>
      </c>
      <c r="M47" s="6" t="str">
        <f aca="false">IFERROR(__xludf.dummyfunction("""COMPUTED_VALUE"""),"タンス(88・43・139)、棚(90・30・50)、棚(90・30・180)、机(96・60・74)")</f>
        <v>タンス(88・43・139)、棚(90・30・50)、棚(90・30・180)、机(96・60・74)</v>
      </c>
      <c r="N47" s="6" t="str">
        <f aca="false">IFERROR(__xludf.dummyfunction("""COMPUTED_VALUE"""),"スーツケース 2つ")</f>
        <v>スーツケース 2つ</v>
      </c>
      <c r="O47" s="6" t="str">
        <f aca="false">IFERROR(__xludf.dummyfunction("""COMPUTED_VALUE"""),"不要")</f>
        <v>不要</v>
      </c>
      <c r="P47" s="6"/>
      <c r="Q47" s="6"/>
      <c r="R47" s="6"/>
      <c r="S47" s="6" t="str">
        <f aca="false">IFERROR(__xludf.dummyfunction("""COMPUTED_VALUE"""),"家具家電なし社宅")</f>
        <v>家具家電なし社宅</v>
      </c>
      <c r="T47" s="6" t="str">
        <f aca="false">IFERROR(__xludf.dummyfunction("""COMPUTED_VALUE"""),"利用しない")</f>
        <v>利用しない</v>
      </c>
      <c r="U47" s="6"/>
      <c r="V47" s="6" t="str">
        <f aca="false">IFERROR(__xludf.dummyfunction("""COMPUTED_VALUE"""),"徒歩, 電車, 社用バス")</f>
        <v>徒歩, 電車, 社用バス</v>
      </c>
      <c r="W47" s="6"/>
      <c r="X47" s="6" t="str">
        <f aca="false">IFERROR(__xludf.dummyfunction("""COMPUTED_VALUE"""),"実家")</f>
        <v>実家</v>
      </c>
      <c r="Y47" s="6"/>
      <c r="Z47" s="6" t="str">
        <f aca="false">IFERROR(__xludf.dummyfunction("""COMPUTED_VALUE"""),"希望しない")</f>
        <v>希望しない</v>
      </c>
      <c r="AA47" s="6" t="str">
        <f aca="false">IFERROR(__xludf.dummyfunction("""COMPUTED_VALUE"""),"単身")</f>
        <v>単身</v>
      </c>
      <c r="AB47" s="6"/>
      <c r="AC47" s="6"/>
      <c r="AD47" s="6" t="str">
        <f aca="false">IFERROR(__xludf.dummyfunction("""COMPUTED_VALUE"""),"こちらの都合で大変恐れ入りますが、希望条件は、①オートロック、②2階以上、③駅から徒歩10分圏内の3点です。
併せて、可能であれば（築年数浅め）（東神奈川駅周辺）の条件も反映していただけますと幸いです。
ご検討のほど、何卒よろしくお願いいたします。")</f>
        <v>こちらの都合で大変恐れ入りますが、希望条件は、①オートロック、②2階以上、③駅から徒歩10分圏内の3点です。
併せて、可能であれば（築年数浅め）（東神奈川駅周辺）の条件も反映していただけますと幸いです。
ご検討のほど、何卒よろしくお願いいたします。</v>
      </c>
      <c r="AE47" s="6" t="str">
        <f aca="false">IFERROR(__xludf.dummyfunction("""COMPUTED_VALUE"""),"確認しました。")</f>
        <v>確認しました。</v>
      </c>
      <c r="AF47" s="6" t="str">
        <f aca="false">IFERROR(__xludf.dummyfunction("""COMPUTED_VALUE"""),"社宅基準の内容について確認しました")</f>
        <v>社宅基準の内容について確認しました</v>
      </c>
      <c r="AG47" s="6" t="str">
        <f aca="false">IFERROR(__xludf.dummyfunction("""COMPUTED_VALUE"""),"入居のしおりの内容についてご確認しました")</f>
        <v>入居のしおりの内容についてご確認しました</v>
      </c>
      <c r="AH47" s="6" t="str">
        <f aca="false">IFERROR(__xludf.dummyfunction("""COMPUTED_VALUE"""),"確認しました")</f>
        <v>確認しました</v>
      </c>
      <c r="AI47" s="6"/>
      <c r="AJ47" s="6" t="str">
        <v/>
      </c>
      <c r="AK47" s="6" t="str">
        <v/>
      </c>
      <c r="AL47" s="6" t="str">
        <v/>
      </c>
      <c r="AM47" s="6" t="str">
        <v/>
      </c>
      <c r="AN47" s="6" t="n">
        <f aca="false">FALSE()</f>
        <v>0</v>
      </c>
    </row>
    <row r="48" customFormat="false" ht="52.5" hidden="false" customHeight="true" outlineLevel="0" collapsed="false">
      <c r="A48" s="6" t="str">
        <f aca="false">IFERROR(__xludf.dummyfunction("""COMPUTED_VALUE"""),"2026/02/05 22:50:44")</f>
        <v>2026/02/05 22:50:44</v>
      </c>
      <c r="B48" s="6"/>
      <c r="C48" s="6" t="str">
        <f aca="false">IFERROR(__xludf.dummyfunction("""COMPUTED_VALUE"""),"69561")</f>
        <v>69561</v>
      </c>
      <c r="D48" s="6"/>
      <c r="E48" s="6"/>
      <c r="F48" s="6"/>
      <c r="G48" s="6" t="str">
        <f aca="false">IFERROR(__xludf.dummyfunction("""COMPUTED_VALUE"""),"2026/02/28")</f>
        <v>2026/02/28</v>
      </c>
      <c r="H48" s="6" t="str">
        <f aca="false">IFERROR(__xludf.dummyfunction("""COMPUTED_VALUE"""),"不要")</f>
        <v>不要</v>
      </c>
      <c r="I48" s="6" t="str">
        <f aca="false">IFERROR(__xludf.dummyfunction("""COMPUTED_VALUE"""),"男性")</f>
        <v>男性</v>
      </c>
      <c r="J48" s="6" t="str">
        <f aca="false">IFERROR(__xludf.dummyfunction("""COMPUTED_VALUE"""),"日本")</f>
        <v>日本</v>
      </c>
      <c r="K48" s="6"/>
      <c r="L48" s="6"/>
      <c r="M48" s="6"/>
      <c r="N48" s="6"/>
      <c r="O48" s="6" t="str">
        <f aca="false">IFERROR(__xludf.dummyfunction("""COMPUTED_VALUE"""),"不要")</f>
        <v>不要</v>
      </c>
      <c r="P48" s="6"/>
      <c r="Q48" s="6"/>
      <c r="R48" s="6"/>
      <c r="S48" s="6" t="str">
        <f aca="false">IFERROR(__xludf.dummyfunction("""COMPUTED_VALUE"""),"家具家電付き社宅")</f>
        <v>家具家電付き社宅</v>
      </c>
      <c r="T48" s="6" t="str">
        <f aca="false">IFERROR(__xludf.dummyfunction("""COMPUTED_VALUE"""),"利用しない")</f>
        <v>利用しない</v>
      </c>
      <c r="U48" s="6"/>
      <c r="V48" s="6" t="str">
        <f aca="false">IFERROR(__xludf.dummyfunction("""COMPUTED_VALUE"""),"徒歩, 自転車, バス")</f>
        <v>徒歩, 自転車, バス</v>
      </c>
      <c r="W48" s="6"/>
      <c r="X48" s="6" t="str">
        <f aca="false">IFERROR(__xludf.dummyfunction("""COMPUTED_VALUE"""),"実家")</f>
        <v>実家</v>
      </c>
      <c r="Y48" s="6"/>
      <c r="Z48" s="6" t="str">
        <f aca="false">IFERROR(__xludf.dummyfunction("""COMPUTED_VALUE"""),"希望する")</f>
        <v>希望する</v>
      </c>
      <c r="AA48" s="6" t="str">
        <f aca="false">IFERROR(__xludf.dummyfunction("""COMPUTED_VALUE"""),"家族")</f>
        <v>家族</v>
      </c>
      <c r="AB48" s="6" t="str">
        <f aca="false">IFERROR(__xludf.dummyfunction("""COMPUTED_VALUE"""),"氏名：中原弥生
フリガナ：ナカハラヤヨイ
生年月日：19980122
携帯番号：08085559433
続柄：妻")</f>
        <v>氏名：中原弥生
フリガナ：ナカハラヤヨイ
生年月日：19980122
携帯番号：08085559433
続柄：妻</v>
      </c>
      <c r="AC48" s="6"/>
      <c r="AD48" s="6" t="str">
        <f aca="false">IFERROR(__xludf.dummyfunction("""COMPUTED_VALUE"""),"光回線が通っている住宅地
できれば駅近い所
間取りは1LDK")</f>
        <v>光回線が通っている住宅地
できれば駅近い所
間取りは1LDK</v>
      </c>
      <c r="AE48" s="6" t="str">
        <f aca="false">IFERROR(__xludf.dummyfunction("""COMPUTED_VALUE"""),"確認しました。")</f>
        <v>確認しました。</v>
      </c>
      <c r="AF48" s="6" t="str">
        <f aca="false">IFERROR(__xludf.dummyfunction("""COMPUTED_VALUE"""),"社宅基準の内容について確認しました")</f>
        <v>社宅基準の内容について確認しました</v>
      </c>
      <c r="AG48" s="6" t="str">
        <f aca="false">IFERROR(__xludf.dummyfunction("""COMPUTED_VALUE"""),"入居のしおりの内容についてご確認しました")</f>
        <v>入居のしおりの内容についてご確認しました</v>
      </c>
      <c r="AH48" s="6" t="str">
        <f aca="false">IFERROR(__xludf.dummyfunction("""COMPUTED_VALUE"""),"確認しました")</f>
        <v>確認しました</v>
      </c>
      <c r="AI48" s="6"/>
      <c r="AJ48" s="6" t="str">
        <v/>
      </c>
      <c r="AK48" s="6" t="str">
        <v/>
      </c>
      <c r="AL48" s="6" t="str">
        <v/>
      </c>
      <c r="AM48" s="6" t="str">
        <v/>
      </c>
      <c r="AN48" s="6" t="n">
        <f aca="false">FALSE()</f>
        <v>0</v>
      </c>
    </row>
    <row r="49" customFormat="false" ht="52.5" hidden="false" customHeight="true" outlineLevel="0" collapsed="false">
      <c r="A49" s="6" t="str">
        <f aca="false">IFERROR(__xludf.dummyfunction("""COMPUTED_VALUE"""),"2026/02/06 0:56:28")</f>
        <v>2026/02/06 0:56:28</v>
      </c>
      <c r="B49" s="6"/>
      <c r="C49" s="6" t="str">
        <f aca="false">IFERROR(__xludf.dummyfunction("""COMPUTED_VALUE"""),"69406")</f>
        <v>69406</v>
      </c>
      <c r="D49" s="6"/>
      <c r="E49" s="6"/>
      <c r="F49" s="6"/>
      <c r="G49" s="6" t="str">
        <f aca="false">IFERROR(__xludf.dummyfunction("""COMPUTED_VALUE"""),"2024/03/23")</f>
        <v>2024/03/23</v>
      </c>
      <c r="H49" s="6" t="str">
        <f aca="false">IFERROR(__xludf.dummyfunction("""COMPUTED_VALUE"""),"必要")</f>
        <v>必要</v>
      </c>
      <c r="I49" s="6" t="str">
        <f aca="false">IFERROR(__xludf.dummyfunction("""COMPUTED_VALUE"""),"男性")</f>
        <v>男性</v>
      </c>
      <c r="J49" s="6" t="str">
        <f aca="false">IFERROR(__xludf.dummyfunction("""COMPUTED_VALUE"""),"日本")</f>
        <v>日本</v>
      </c>
      <c r="K49" s="6" t="str">
        <f aca="false">IFERROR(__xludf.dummyfunction("""COMPUTED_VALUE"""),"10")</f>
        <v>10</v>
      </c>
      <c r="L49" s="6" t="str">
        <f aca="false">IFERROR(__xludf.dummyfunction("""COMPUTED_VALUE"""),"単身用冷蔵庫、縦型洗濯機、電子レンジ、オーブン、テレビ")</f>
        <v>単身用冷蔵庫、縦型洗濯機、電子レンジ、オーブン、テレビ</v>
      </c>
      <c r="M49" s="6" t="str">
        <f aca="false">IFERROR(__xludf.dummyfunction("""COMPUTED_VALUE"""),"シングルベット、机(縦:72cm横:1.2m)、棚(縦1.1m横:60cm)、こたつ机(横:1.04 高:37cm)")</f>
        <v>シングルベット、机(縦:72cm横:1.2m)、棚(縦1.1m横:60cm)、こたつ机(横:1.04 高:37cm)</v>
      </c>
      <c r="N49" s="6"/>
      <c r="O49" s="6" t="str">
        <f aca="false">IFERROR(__xludf.dummyfunction("""COMPUTED_VALUE"""),"不要")</f>
        <v>不要</v>
      </c>
      <c r="P49" s="6"/>
      <c r="Q49" s="6"/>
      <c r="R49" s="6"/>
      <c r="S49" s="6" t="str">
        <f aca="false">IFERROR(__xludf.dummyfunction("""COMPUTED_VALUE"""),"家具家電なし社宅")</f>
        <v>家具家電なし社宅</v>
      </c>
      <c r="T49" s="6" t="str">
        <f aca="false">IFERROR(__xludf.dummyfunction("""COMPUTED_VALUE"""),"利用する")</f>
        <v>利用する</v>
      </c>
      <c r="U49" s="6" t="str">
        <f aca="false">IFERROR(__xludf.dummyfunction("""COMPUTED_VALUE"""),"エアコン
")</f>
        <v>エアコン
</v>
      </c>
      <c r="V49" s="6" t="str">
        <f aca="false">IFERROR(__xludf.dummyfunction("""COMPUTED_VALUE"""),"徒歩, 自動車, 自転車")</f>
        <v>徒歩, 自動車, 自転車</v>
      </c>
      <c r="W49" s="6"/>
      <c r="X49" s="6" t="str">
        <f aca="false">IFERROR(__xludf.dummyfunction("""COMPUTED_VALUE"""),"ご自身で契約中の物件")</f>
        <v>ご自身で契約中の物件</v>
      </c>
      <c r="Y49" s="6"/>
      <c r="Z49" s="6" t="str">
        <f aca="false">IFERROR(__xludf.dummyfunction("""COMPUTED_VALUE"""),"希望する")</f>
        <v>希望する</v>
      </c>
      <c r="AA49" s="6" t="str">
        <f aca="false">IFERROR(__xludf.dummyfunction("""COMPUTED_VALUE"""),"単身")</f>
        <v>単身</v>
      </c>
      <c r="AB49" s="6"/>
      <c r="AC49" s="6"/>
      <c r="AD49" s="6"/>
      <c r="AE49" s="6" t="str">
        <f aca="false">IFERROR(__xludf.dummyfunction("""COMPUTED_VALUE"""),"確認しました。")</f>
        <v>確認しました。</v>
      </c>
      <c r="AF49" s="6" t="str">
        <f aca="false">IFERROR(__xludf.dummyfunction("""COMPUTED_VALUE"""),"社宅基準の内容について確認しました")</f>
        <v>社宅基準の内容について確認しました</v>
      </c>
      <c r="AG49" s="6" t="str">
        <f aca="false">IFERROR(__xludf.dummyfunction("""COMPUTED_VALUE"""),"入居のしおりの内容についてご確認しました")</f>
        <v>入居のしおりの内容についてご確認しました</v>
      </c>
      <c r="AH49" s="6" t="str">
        <f aca="false">IFERROR(__xludf.dummyfunction("""COMPUTED_VALUE"""),"確認しました")</f>
        <v>確認しました</v>
      </c>
      <c r="AI49" s="6"/>
      <c r="AJ49" s="6" t="str">
        <v/>
      </c>
      <c r="AK49" s="6" t="str">
        <v/>
      </c>
      <c r="AL49" s="6" t="str">
        <v/>
      </c>
      <c r="AM49" s="6" t="str">
        <v/>
      </c>
      <c r="AN49" s="6" t="n">
        <f aca="false">FALSE()</f>
        <v>0</v>
      </c>
    </row>
    <row r="50" customFormat="false" ht="52.5" hidden="false" customHeight="true" outlineLevel="0" collapsed="false">
      <c r="A50" s="6" t="str">
        <f aca="false">IFERROR(__xludf.dummyfunction("""COMPUTED_VALUE"""),"2026/02/06 7:33:43")</f>
        <v>2026/02/06 7:33:43</v>
      </c>
      <c r="B50" s="6"/>
      <c r="C50" s="6" t="str">
        <f aca="false">IFERROR(__xludf.dummyfunction("""COMPUTED_VALUE"""),"69621")</f>
        <v>69621</v>
      </c>
      <c r="D50" s="6"/>
      <c r="E50" s="6"/>
      <c r="F50" s="6"/>
      <c r="G50" s="6" t="str">
        <f aca="false">IFERROR(__xludf.dummyfunction("""COMPUTED_VALUE"""),"2026/03/23")</f>
        <v>2026/03/23</v>
      </c>
      <c r="H50" s="6" t="str">
        <f aca="false">IFERROR(__xludf.dummyfunction("""COMPUTED_VALUE"""),"必要")</f>
        <v>必要</v>
      </c>
      <c r="I50" s="6" t="str">
        <f aca="false">IFERROR(__xludf.dummyfunction("""COMPUTED_VALUE"""),"男性")</f>
        <v>男性</v>
      </c>
      <c r="J50" s="6" t="str">
        <f aca="false">IFERROR(__xludf.dummyfunction("""COMPUTED_VALUE"""),"台湾")</f>
        <v>台湾</v>
      </c>
      <c r="K50" s="6" t="str">
        <f aca="false">IFERROR(__xludf.dummyfunction("""COMPUTED_VALUE"""),"6")</f>
        <v>6</v>
      </c>
      <c r="L50" s="6" t="str">
        <f aca="false">IFERROR(__xludf.dummyfunction("""COMPUTED_VALUE"""),"ない")</f>
        <v>ない</v>
      </c>
      <c r="M50" s="6" t="str">
        <f aca="false">IFERROR(__xludf.dummyfunction("""COMPUTED_VALUE"""),"机（90x50x32）")</f>
        <v>机（90x50x32）</v>
      </c>
      <c r="N50" s="6" t="str">
        <f aca="false">IFERROR(__xludf.dummyfunction("""COMPUTED_VALUE"""),"スキー板（160cm）")</f>
        <v>スキー板（160cm）</v>
      </c>
      <c r="O50" s="6" t="str">
        <f aca="false">IFERROR(__xludf.dummyfunction("""COMPUTED_VALUE"""),"必要")</f>
        <v>必要</v>
      </c>
      <c r="P50" s="6" t="str">
        <f aca="false">IFERROR(__xludf.dummyfunction("""COMPUTED_VALUE"""),"車を買うつもりです")</f>
        <v>車を買うつもりです</v>
      </c>
      <c r="Q50" s="6" t="str">
        <f aca="false">IFERROR(__xludf.dummyfunction("""COMPUTED_VALUE"""),"車を買うつもりです")</f>
        <v>車を買うつもりです</v>
      </c>
      <c r="R50" s="6" t="str">
        <f aca="false">IFERROR(__xludf.dummyfunction("""COMPUTED_VALUE"""),"車を買うつもりです")</f>
        <v>車を買うつもりです</v>
      </c>
      <c r="S50" s="6" t="str">
        <f aca="false">IFERROR(__xludf.dummyfunction("""COMPUTED_VALUE"""),"家具家電付き社宅")</f>
        <v>家具家電付き社宅</v>
      </c>
      <c r="T50" s="6" t="str">
        <f aca="false">IFERROR(__xludf.dummyfunction("""COMPUTED_VALUE"""),"利用しない")</f>
        <v>利用しない</v>
      </c>
      <c r="U50" s="6"/>
      <c r="V50" s="6" t="str">
        <f aca="false">IFERROR(__xludf.dummyfunction("""COMPUTED_VALUE"""),"自動車")</f>
        <v>自動車</v>
      </c>
      <c r="W50" s="6"/>
      <c r="X50" s="6" t="str">
        <f aca="false">IFERROR(__xludf.dummyfunction("""COMPUTED_VALUE"""),"ご自身で契約中の物件")</f>
        <v>ご自身で契約中の物件</v>
      </c>
      <c r="Y50" s="6"/>
      <c r="Z50" s="6" t="str">
        <f aca="false">IFERROR(__xludf.dummyfunction("""COMPUTED_VALUE"""),"希望する")</f>
        <v>希望する</v>
      </c>
      <c r="AA50" s="6" t="str">
        <f aca="false">IFERROR(__xludf.dummyfunction("""COMPUTED_VALUE"""),"単身")</f>
        <v>単身</v>
      </c>
      <c r="AB50" s="6"/>
      <c r="AC50" s="6"/>
      <c r="AD50" s="6" t="str">
        <f aca="false">IFERROR(__xludf.dummyfunction("""COMPUTED_VALUE"""),"北海道で車を買うつもりです。")</f>
        <v>北海道で車を買うつもりです。</v>
      </c>
      <c r="AE50" s="6" t="str">
        <f aca="false">IFERROR(__xludf.dummyfunction("""COMPUTED_VALUE"""),"確認しました。")</f>
        <v>確認しました。</v>
      </c>
      <c r="AF50" s="6" t="str">
        <f aca="false">IFERROR(__xludf.dummyfunction("""COMPUTED_VALUE"""),"社宅基準の内容について確認しました")</f>
        <v>社宅基準の内容について確認しました</v>
      </c>
      <c r="AG50" s="6" t="str">
        <f aca="false">IFERROR(__xludf.dummyfunction("""COMPUTED_VALUE"""),"入居のしおりの内容についてご確認しました")</f>
        <v>入居のしおりの内容についてご確認しました</v>
      </c>
      <c r="AH50" s="6" t="str">
        <f aca="false">IFERROR(__xludf.dummyfunction("""COMPUTED_VALUE"""),"確認しました")</f>
        <v>確認しました</v>
      </c>
      <c r="AI50" s="6"/>
      <c r="AJ50" s="6" t="str">
        <v/>
      </c>
      <c r="AK50" s="6" t="str">
        <v/>
      </c>
      <c r="AL50" s="6" t="str">
        <v/>
      </c>
      <c r="AM50" s="6" t="str">
        <v/>
      </c>
      <c r="AN50" s="6" t="n">
        <f aca="false">FALSE()</f>
        <v>0</v>
      </c>
    </row>
    <row r="51" customFormat="false" ht="52.5" hidden="false" customHeight="true" outlineLevel="0" collapsed="false">
      <c r="A51" s="6" t="str">
        <f aca="false">IFERROR(__xludf.dummyfunction("""COMPUTED_VALUE"""),"2026/02/06 10:40:23")</f>
        <v>2026/02/06 10:40:23</v>
      </c>
      <c r="B51" s="6"/>
      <c r="C51" s="6" t="str">
        <f aca="false">IFERROR(__xludf.dummyfunction("""COMPUTED_VALUE"""),"69667")</f>
        <v>69667</v>
      </c>
      <c r="D51" s="6"/>
      <c r="E51" s="6"/>
      <c r="F51" s="6"/>
      <c r="G51" s="6" t="str">
        <f aca="false">IFERROR(__xludf.dummyfunction("""COMPUTED_VALUE"""),"2026/02/24")</f>
        <v>2026/02/24</v>
      </c>
      <c r="H51" s="6" t="str">
        <f aca="false">IFERROR(__xludf.dummyfunction("""COMPUTED_VALUE"""),"必要")</f>
        <v>必要</v>
      </c>
      <c r="I51" s="6" t="str">
        <f aca="false">IFERROR(__xludf.dummyfunction("""COMPUTED_VALUE"""),"男性")</f>
        <v>男性</v>
      </c>
      <c r="J51" s="6" t="str">
        <f aca="false">IFERROR(__xludf.dummyfunction("""COMPUTED_VALUE"""),"日本")</f>
        <v>日本</v>
      </c>
      <c r="K51" s="6" t="str">
        <f aca="false">IFERROR(__xludf.dummyfunction("""COMPUTED_VALUE"""),"5")</f>
        <v>5</v>
      </c>
      <c r="L51" s="6" t="str">
        <f aca="false">IFERROR(__xludf.dummyfunction("""COMPUTED_VALUE"""),"炊飯器　電気ケトル　スティック掃除機")</f>
        <v>炊飯器　電気ケトル　スティック掃除機</v>
      </c>
      <c r="M51" s="6" t="str">
        <f aca="false">IFERROR(__xludf.dummyfunction("""COMPUTED_VALUE"""),"エアーベッド　かけ布団　組み立て式棚")</f>
        <v>エアーベッド　かけ布団　組み立て式棚</v>
      </c>
      <c r="N51" s="6" t="str">
        <f aca="false">IFERROR(__xludf.dummyfunction("""COMPUTED_VALUE"""),"生活消耗品　食器　調理器具　工具類　本　")</f>
        <v>生活消耗品　食器　調理器具　工具類　本　</v>
      </c>
      <c r="O51" s="6" t="str">
        <f aca="false">IFERROR(__xludf.dummyfunction("""COMPUTED_VALUE"""),"必要")</f>
        <v>必要</v>
      </c>
      <c r="P51" s="6" t="str">
        <f aca="false">IFERROR(__xludf.dummyfunction("""COMPUTED_VALUE"""),"未定(レンタカーのため)")</f>
        <v>未定(レンタカーのため)</v>
      </c>
      <c r="Q51" s="6" t="str">
        <f aca="false">IFERROR(__xludf.dummyfunction("""COMPUTED_VALUE"""),"未定")</f>
        <v>未定</v>
      </c>
      <c r="R51" s="6" t="str">
        <f aca="false">IFERROR(__xludf.dummyfunction("""COMPUTED_VALUE"""),"未定")</f>
        <v>未定</v>
      </c>
      <c r="S51" s="6" t="str">
        <f aca="false">IFERROR(__xludf.dummyfunction("""COMPUTED_VALUE"""),"家具家電付き社宅")</f>
        <v>家具家電付き社宅</v>
      </c>
      <c r="T51" s="6" t="str">
        <f aca="false">IFERROR(__xludf.dummyfunction("""COMPUTED_VALUE"""),"利用しない")</f>
        <v>利用しない</v>
      </c>
      <c r="U51" s="6"/>
      <c r="V51" s="6" t="str">
        <f aca="false">IFERROR(__xludf.dummyfunction("""COMPUTED_VALUE"""),"自動車")</f>
        <v>自動車</v>
      </c>
      <c r="W51" s="6"/>
      <c r="X51" s="6" t="str">
        <f aca="false">IFERROR(__xludf.dummyfunction("""COMPUTED_VALUE"""),"実家")</f>
        <v>実家</v>
      </c>
      <c r="Y51" s="6"/>
      <c r="Z51" s="6" t="str">
        <f aca="false">IFERROR(__xludf.dummyfunction("""COMPUTED_VALUE"""),"希望しない")</f>
        <v>希望しない</v>
      </c>
      <c r="AA51" s="6" t="str">
        <f aca="false">IFERROR(__xludf.dummyfunction("""COMPUTED_VALUE"""),"単身")</f>
        <v>単身</v>
      </c>
      <c r="AB51" s="6"/>
      <c r="AC51" s="6"/>
      <c r="AD51" s="6" t="str">
        <f aca="false">IFERROR(__xludf.dummyfunction("""COMPUTED_VALUE"""),"石川県能美市にあります「宝寿記念病院」の近辺を希望します。")</f>
        <v>石川県能美市にあります「宝寿記念病院」の近辺を希望します。</v>
      </c>
      <c r="AE51" s="6" t="str">
        <f aca="false">IFERROR(__xludf.dummyfunction("""COMPUTED_VALUE"""),"確認しました。")</f>
        <v>確認しました。</v>
      </c>
      <c r="AF51" s="6" t="str">
        <f aca="false">IFERROR(__xludf.dummyfunction("""COMPUTED_VALUE"""),"社宅基準の内容について確認しました")</f>
        <v>社宅基準の内容について確認しました</v>
      </c>
      <c r="AG51" s="6" t="str">
        <f aca="false">IFERROR(__xludf.dummyfunction("""COMPUTED_VALUE"""),"入居のしおりの内容についてご確認しました")</f>
        <v>入居のしおりの内容についてご確認しました</v>
      </c>
      <c r="AH51" s="6" t="str">
        <f aca="false">IFERROR(__xludf.dummyfunction("""COMPUTED_VALUE"""),"確認しました")</f>
        <v>確認しました</v>
      </c>
      <c r="AI51" s="6"/>
      <c r="AJ51" s="6" t="str">
        <v/>
      </c>
      <c r="AK51" s="6" t="str">
        <v/>
      </c>
      <c r="AL51" s="6" t="str">
        <v/>
      </c>
      <c r="AM51" s="6" t="str">
        <v/>
      </c>
      <c r="AN51" s="6" t="n">
        <f aca="false">FALSE()</f>
        <v>0</v>
      </c>
    </row>
    <row r="52" customFormat="false" ht="52.5" hidden="false" customHeight="true" outlineLevel="0" collapsed="false">
      <c r="A52" s="6" t="str">
        <f aca="false">IFERROR(__xludf.dummyfunction("""COMPUTED_VALUE"""),"2026/02/06 12:54:37")</f>
        <v>2026/02/06 12:54:37</v>
      </c>
      <c r="B52" s="6"/>
      <c r="C52" s="6" t="str">
        <f aca="false">IFERROR(__xludf.dummyfunction("""COMPUTED_VALUE"""),"69681")</f>
        <v>69681</v>
      </c>
      <c r="D52" s="6"/>
      <c r="E52" s="6"/>
      <c r="F52" s="6"/>
      <c r="G52" s="6" t="str">
        <f aca="false">IFERROR(__xludf.dummyfunction("""COMPUTED_VALUE"""),"2026/02/20")</f>
        <v>2026/02/20</v>
      </c>
      <c r="H52" s="6" t="str">
        <f aca="false">IFERROR(__xludf.dummyfunction("""COMPUTED_VALUE"""),"必要")</f>
        <v>必要</v>
      </c>
      <c r="I52" s="6" t="str">
        <f aca="false">IFERROR(__xludf.dummyfunction("""COMPUTED_VALUE"""),"男性")</f>
        <v>男性</v>
      </c>
      <c r="J52" s="6" t="str">
        <f aca="false">IFERROR(__xludf.dummyfunction("""COMPUTED_VALUE"""),"日本")</f>
        <v>日本</v>
      </c>
      <c r="K52" s="6" t="str">
        <f aca="false">IFERROR(__xludf.dummyfunction("""COMPUTED_VALUE"""),"10")</f>
        <v>10</v>
      </c>
      <c r="L52" s="6" t="str">
        <f aca="false">IFERROR(__xludf.dummyfunction("""COMPUTED_VALUE"""),"洗濯機（単身用）　冷蔵庫（単身用）　電子レンジ　")</f>
        <v>洗濯機（単身用）　冷蔵庫（単身用）　電子レンジ　</v>
      </c>
      <c r="M52" s="6" t="str">
        <f aca="false">IFERROR(__xludf.dummyfunction("""COMPUTED_VALUE"""),"無し")</f>
        <v>無し</v>
      </c>
      <c r="N52" s="6" t="str">
        <f aca="false">IFERROR(__xludf.dummyfunction("""COMPUTED_VALUE"""),"自転車")</f>
        <v>自転車</v>
      </c>
      <c r="O52" s="6" t="str">
        <f aca="false">IFERROR(__xludf.dummyfunction("""COMPUTED_VALUE"""),"必要")</f>
        <v>必要</v>
      </c>
      <c r="P52" s="6" t="str">
        <f aca="false">IFERROR(__xludf.dummyfunction("""COMPUTED_VALUE"""),"アルト")</f>
        <v>アルト</v>
      </c>
      <c r="Q52" s="6" t="str">
        <f aca="false">IFERROR(__xludf.dummyfunction("""COMPUTED_VALUE"""),"た87-41")</f>
        <v>た87-41</v>
      </c>
      <c r="R52" s="6" t="str">
        <f aca="false">IFERROR(__xludf.dummyfunction("""COMPUTED_VALUE"""),"白")</f>
        <v>白</v>
      </c>
      <c r="S52" s="6" t="str">
        <f aca="false">IFERROR(__xludf.dummyfunction("""COMPUTED_VALUE"""),"家具家電付き社宅")</f>
        <v>家具家電付き社宅</v>
      </c>
      <c r="T52" s="6" t="str">
        <f aca="false">IFERROR(__xludf.dummyfunction("""COMPUTED_VALUE"""),"利用しない")</f>
        <v>利用しない</v>
      </c>
      <c r="U52" s="6"/>
      <c r="V52" s="6" t="str">
        <f aca="false">IFERROR(__xludf.dummyfunction("""COMPUTED_VALUE"""),"徒歩")</f>
        <v>徒歩</v>
      </c>
      <c r="W52" s="6"/>
      <c r="X52" s="6" t="str">
        <f aca="false">IFERROR(__xludf.dummyfunction("""COMPUTED_VALUE"""),"実家")</f>
        <v>実家</v>
      </c>
      <c r="Y52" s="6"/>
      <c r="Z52" s="6" t="str">
        <f aca="false">IFERROR(__xludf.dummyfunction("""COMPUTED_VALUE"""),"希望する")</f>
        <v>希望する</v>
      </c>
      <c r="AA52" s="6" t="str">
        <f aca="false">IFERROR(__xludf.dummyfunction("""COMPUTED_VALUE"""),"単身")</f>
        <v>単身</v>
      </c>
      <c r="AB52" s="6"/>
      <c r="AC52" s="6"/>
      <c r="AD52" s="6" t="str">
        <f aca="false">IFERROR(__xludf.dummyfunction("""COMPUTED_VALUE"""),"駐車場込み（無料）の物件を希望")</f>
        <v>駐車場込み（無料）の物件を希望</v>
      </c>
      <c r="AE52" s="6" t="str">
        <f aca="false">IFERROR(__xludf.dummyfunction("""COMPUTED_VALUE"""),"確認しました。")</f>
        <v>確認しました。</v>
      </c>
      <c r="AF52" s="6" t="str">
        <f aca="false">IFERROR(__xludf.dummyfunction("""COMPUTED_VALUE"""),"社宅基準の内容について確認しました")</f>
        <v>社宅基準の内容について確認しました</v>
      </c>
      <c r="AG52" s="6" t="str">
        <f aca="false">IFERROR(__xludf.dummyfunction("""COMPUTED_VALUE"""),"入居のしおりの内容についてご確認しました")</f>
        <v>入居のしおりの内容についてご確認しました</v>
      </c>
      <c r="AH52" s="6" t="str">
        <f aca="false">IFERROR(__xludf.dummyfunction("""COMPUTED_VALUE"""),"確認しました")</f>
        <v>確認しました</v>
      </c>
      <c r="AI52" s="6"/>
      <c r="AJ52" s="6" t="str">
        <v/>
      </c>
      <c r="AK52" s="6" t="str">
        <v/>
      </c>
      <c r="AL52" s="6" t="str">
        <v/>
      </c>
      <c r="AM52" s="6" t="str">
        <v/>
      </c>
      <c r="AN52" s="6" t="n">
        <f aca="false">FALSE()</f>
        <v>0</v>
      </c>
    </row>
    <row r="53" customFormat="false" ht="52.5" hidden="false" customHeight="true" outlineLevel="0" collapsed="false">
      <c r="A53" s="6" t="str">
        <f aca="false">IFERROR(__xludf.dummyfunction("""COMPUTED_VALUE"""),"2026/02/06 17:40:28")</f>
        <v>2026/02/06 17:40:28</v>
      </c>
      <c r="B53" s="6"/>
      <c r="C53" s="6" t="str">
        <f aca="false">IFERROR(__xludf.dummyfunction("""COMPUTED_VALUE"""),"69620")</f>
        <v>69620</v>
      </c>
      <c r="D53" s="6"/>
      <c r="E53" s="6"/>
      <c r="F53" s="6"/>
      <c r="G53" s="6" t="str">
        <f aca="false">IFERROR(__xludf.dummyfunction("""COMPUTED_VALUE"""),"2026/03/23")</f>
        <v>2026/03/23</v>
      </c>
      <c r="H53" s="6" t="str">
        <f aca="false">IFERROR(__xludf.dummyfunction("""COMPUTED_VALUE"""),"必要")</f>
        <v>必要</v>
      </c>
      <c r="I53" s="6" t="str">
        <f aca="false">IFERROR(__xludf.dummyfunction("""COMPUTED_VALUE"""),"男性")</f>
        <v>男性</v>
      </c>
      <c r="J53" s="6" t="str">
        <f aca="false">IFERROR(__xludf.dummyfunction("""COMPUTED_VALUE"""),"日本")</f>
        <v>日本</v>
      </c>
      <c r="K53" s="6" t="str">
        <f aca="false">IFERROR(__xludf.dummyfunction("""COMPUTED_VALUE"""),"10")</f>
        <v>10</v>
      </c>
      <c r="L53" s="6" t="str">
        <f aca="false">IFERROR(__xludf.dummyfunction("""COMPUTED_VALUE"""),"なし")</f>
        <v>なし</v>
      </c>
      <c r="M53" s="6" t="str">
        <f aca="false">IFERROR(__xludf.dummyfunction("""COMPUTED_VALUE"""),"机（高さ1m、奥行1m）ベッド（高さ0.5m、奥行1m、長さ2m）")</f>
        <v>机（高さ1m、奥行1m）ベッド（高さ0.5m、奥行1m、長さ2m）</v>
      </c>
      <c r="N53" s="6" t="str">
        <f aca="false">IFERROR(__xludf.dummyfunction("""COMPUTED_VALUE"""),"自転車")</f>
        <v>自転車</v>
      </c>
      <c r="O53" s="6" t="str">
        <f aca="false">IFERROR(__xludf.dummyfunction("""COMPUTED_VALUE"""),"不要")</f>
        <v>不要</v>
      </c>
      <c r="P53" s="6"/>
      <c r="Q53" s="6"/>
      <c r="R53" s="6"/>
      <c r="S53" s="6" t="str">
        <f aca="false">IFERROR(__xludf.dummyfunction("""COMPUTED_VALUE"""),"家具家電なし社宅")</f>
        <v>家具家電なし社宅</v>
      </c>
      <c r="T53" s="6" t="str">
        <f aca="false">IFERROR(__xludf.dummyfunction("""COMPUTED_VALUE"""),"利用しない")</f>
        <v>利用しない</v>
      </c>
      <c r="U53" s="6"/>
      <c r="V53" s="6" t="str">
        <f aca="false">IFERROR(__xludf.dummyfunction("""COMPUTED_VALUE"""),"徒歩, 自転車, 電車")</f>
        <v>徒歩, 自転車, 電車</v>
      </c>
      <c r="W53" s="6"/>
      <c r="X53" s="6" t="str">
        <f aca="false">IFERROR(__xludf.dummyfunction("""COMPUTED_VALUE"""),"実家")</f>
        <v>実家</v>
      </c>
      <c r="Y53" s="6"/>
      <c r="Z53" s="6" t="str">
        <f aca="false">IFERROR(__xludf.dummyfunction("""COMPUTED_VALUE"""),"希望する")</f>
        <v>希望する</v>
      </c>
      <c r="AA53" s="6" t="str">
        <f aca="false">IFERROR(__xludf.dummyfunction("""COMPUTED_VALUE"""),"単身")</f>
        <v>単身</v>
      </c>
      <c r="AB53" s="6"/>
      <c r="AC53" s="6"/>
      <c r="AD53" s="6" t="str">
        <f aca="false">IFERROR(__xludf.dummyfunction("""COMPUTED_VALUE"""),"ネット回線などについてお聞きしたいです")</f>
        <v>ネット回線などについてお聞きしたいです</v>
      </c>
      <c r="AE53" s="6" t="str">
        <f aca="false">IFERROR(__xludf.dummyfunction("""COMPUTED_VALUE"""),"確認しました。")</f>
        <v>確認しました。</v>
      </c>
      <c r="AF53" s="6" t="str">
        <f aca="false">IFERROR(__xludf.dummyfunction("""COMPUTED_VALUE"""),"社宅基準の内容について確認しました")</f>
        <v>社宅基準の内容について確認しました</v>
      </c>
      <c r="AG53" s="6" t="str">
        <f aca="false">IFERROR(__xludf.dummyfunction("""COMPUTED_VALUE"""),"入居のしおりの内容についてご確認しました")</f>
        <v>入居のしおりの内容についてご確認しました</v>
      </c>
      <c r="AH53" s="6" t="str">
        <f aca="false">IFERROR(__xludf.dummyfunction("""COMPUTED_VALUE"""),"確認しました")</f>
        <v>確認しました</v>
      </c>
      <c r="AI53" s="6"/>
      <c r="AJ53" s="6" t="str">
        <v/>
      </c>
      <c r="AK53" s="6" t="str">
        <v/>
      </c>
      <c r="AL53" s="6" t="str">
        <v/>
      </c>
      <c r="AM53" s="6" t="str">
        <v/>
      </c>
      <c r="AN53" s="6" t="n">
        <f aca="false">FALSE()</f>
        <v>0</v>
      </c>
    </row>
    <row r="54" customFormat="false" ht="52.5" hidden="false" customHeight="true" outlineLevel="0" collapsed="false">
      <c r="A54" s="6" t="str">
        <f aca="false">IFERROR(__xludf.dummyfunction("""COMPUTED_VALUE"""),"2026/02/06 19:34:43")</f>
        <v>2026/02/06 19:34:43</v>
      </c>
      <c r="B54" s="6"/>
      <c r="C54" s="6" t="str">
        <f aca="false">IFERROR(__xludf.dummyfunction("""COMPUTED_VALUE"""),"69717")</f>
        <v>69717</v>
      </c>
      <c r="D54" s="6"/>
      <c r="E54" s="6"/>
      <c r="F54" s="6"/>
      <c r="G54" s="6" t="str">
        <f aca="false">IFERROR(__xludf.dummyfunction("""COMPUTED_VALUE"""),"2026/02/12")</f>
        <v>2026/02/12</v>
      </c>
      <c r="H54" s="6" t="str">
        <f aca="false">IFERROR(__xludf.dummyfunction("""COMPUTED_VALUE"""),"必要")</f>
        <v>必要</v>
      </c>
      <c r="I54" s="6" t="str">
        <f aca="false">IFERROR(__xludf.dummyfunction("""COMPUTED_VALUE"""),"男性")</f>
        <v>男性</v>
      </c>
      <c r="J54" s="6" t="str">
        <f aca="false">IFERROR(__xludf.dummyfunction("""COMPUTED_VALUE"""),"日本")</f>
        <v>日本</v>
      </c>
      <c r="K54" s="6" t="str">
        <f aca="false">IFERROR(__xludf.dummyfunction("""COMPUTED_VALUE"""),"6")</f>
        <v>6</v>
      </c>
      <c r="L54" s="6" t="str">
        <f aca="false">IFERROR(__xludf.dummyfunction("""COMPUTED_VALUE"""),"冷蔵庫2ドア　電子レンジ１　炊飯器１　パソコン1台　モニター2台　ゲーム機器2台　シーリングライト１")</f>
        <v>冷蔵庫2ドア　電子レンジ１　炊飯器１　パソコン1台　モニター2台　ゲーム機器2台　シーリングライト１</v>
      </c>
      <c r="M54" s="6" t="str">
        <f aca="false">IFERROR(__xludf.dummyfunction("""COMPUTED_VALUE"""),"こたつテーブル（幅120奥行80高さ42）　カーペット、　枕、敷布団、掛布団　洗濯物干しラック2　ショーケース2台　風呂椅子　カーテン　")</f>
        <v>こたつテーブル（幅120奥行80高さ42）　カーペット、　枕、敷布団、掛布団　洗濯物干しラック2　ショーケース2台　風呂椅子　カーテン　</v>
      </c>
      <c r="N54" s="6" t="str">
        <f aca="false">IFERROR(__xludf.dummyfunction("""COMPUTED_VALUE"""),"ダンベル20キロｘ２（計40キロ）")</f>
        <v>ダンベル20キロｘ２（計40キロ）</v>
      </c>
      <c r="O54" s="6" t="str">
        <f aca="false">IFERROR(__xludf.dummyfunction("""COMPUTED_VALUE"""),"不要")</f>
        <v>不要</v>
      </c>
      <c r="P54" s="6"/>
      <c r="Q54" s="6"/>
      <c r="R54" s="6"/>
      <c r="S54" s="6" t="str">
        <f aca="false">IFERROR(__xludf.dummyfunction("""COMPUTED_VALUE"""),"家具家電なし社宅")</f>
        <v>家具家電なし社宅</v>
      </c>
      <c r="T54" s="6" t="str">
        <f aca="false">IFERROR(__xludf.dummyfunction("""COMPUTED_VALUE"""),"利用しない")</f>
        <v>利用しない</v>
      </c>
      <c r="U54" s="6"/>
      <c r="V54" s="6" t="str">
        <f aca="false">IFERROR(__xludf.dummyfunction("""COMPUTED_VALUE"""),"徒歩, 自転車, 電車, バス")</f>
        <v>徒歩, 自転車, 電車, バス</v>
      </c>
      <c r="W54" s="6"/>
      <c r="X54" s="6" t="str">
        <f aca="false">IFERROR(__xludf.dummyfunction("""COMPUTED_VALUE"""),"株式会社ビーネックステクノロジーズの社宅")</f>
        <v>株式会社ビーネックステクノロジーズの社宅</v>
      </c>
      <c r="Y54" s="6" t="str">
        <f aca="false">IFERROR(__xludf.dummyfunction("""COMPUTED_VALUE"""),"利用なし")</f>
        <v>利用なし</v>
      </c>
      <c r="Z54" s="6" t="str">
        <f aca="false">IFERROR(__xludf.dummyfunction("""COMPUTED_VALUE"""),"希望する")</f>
        <v>希望する</v>
      </c>
      <c r="AA54" s="6" t="str">
        <f aca="false">IFERROR(__xludf.dummyfunction("""COMPUTED_VALUE"""),"単身")</f>
        <v>単身</v>
      </c>
      <c r="AB54" s="6"/>
      <c r="AC54" s="6"/>
      <c r="AD54" s="6" t="str">
        <f aca="false">IFERROR(__xludf.dummyfunction("""COMPUTED_VALUE"""),"出来る範囲でのお願いになるとは思いますが、以下が希望になります。
上から優先度高い順になります。
鉄筋コンクリートRC（鉄筋の中でも防音性が高いもの）
バストイレ別
インターネットが500Mbps以上で契約できるもの（理論値で10Gbps契約可が理想です）
独立洗面台
1LDK
2階以上
宅配ボックスあり
オートロック
土浦駅付近でスーパーが近いところが望ましいです。
もしくは日用品の買い物などで利便性の良いところを希望します。
")</f>
        <v>出来る範囲でのお願いになるとは思いますが、以下が希望になります。
上から優先度高い順になります。
鉄筋コンクリートRC（鉄筋の中でも防音性が高いもの）
バストイレ別
インターネットが500Mbps以上で契約できるもの（理論値で10Gbps契約可が理想です）
独立洗面台
1LDK
2階以上
宅配ボックスあり
オートロック
土浦駅付近でスーパーが近いところが望ましいです。
もしくは日用品の買い物などで利便性の良いところを希望します。
</v>
      </c>
      <c r="AE54" s="6" t="str">
        <f aca="false">IFERROR(__xludf.dummyfunction("""COMPUTED_VALUE"""),"確認しました。")</f>
        <v>確認しました。</v>
      </c>
      <c r="AF54" s="6" t="str">
        <f aca="false">IFERROR(__xludf.dummyfunction("""COMPUTED_VALUE"""),"社宅基準の内容について確認しました")</f>
        <v>社宅基準の内容について確認しました</v>
      </c>
      <c r="AG54" s="6" t="str">
        <f aca="false">IFERROR(__xludf.dummyfunction("""COMPUTED_VALUE"""),"入居のしおりの内容についてご確認しました")</f>
        <v>入居のしおりの内容についてご確認しました</v>
      </c>
      <c r="AH54" s="6" t="str">
        <f aca="false">IFERROR(__xludf.dummyfunction("""COMPUTED_VALUE"""),"確認しました")</f>
        <v>確認しました</v>
      </c>
      <c r="AI54" s="6"/>
      <c r="AJ54" s="6" t="str">
        <v/>
      </c>
      <c r="AK54" s="6" t="str">
        <v/>
      </c>
      <c r="AL54" s="6" t="str">
        <v/>
      </c>
      <c r="AM54" s="6" t="str">
        <v/>
      </c>
      <c r="AN54" s="6" t="n">
        <f aca="false">TRUE()</f>
        <v>1</v>
      </c>
    </row>
    <row r="55" customFormat="false" ht="52.5" hidden="false" customHeight="true" outlineLevel="0" collapsed="false">
      <c r="A55" s="6" t="str">
        <f aca="false">IFERROR(__xludf.dummyfunction("""COMPUTED_VALUE"""),"2026/02/06 20:49:20")</f>
        <v>2026/02/06 20:49:20</v>
      </c>
      <c r="B55" s="6"/>
      <c r="C55" s="6" t="str">
        <f aca="false">IFERROR(__xludf.dummyfunction("""COMPUTED_VALUE"""),"69661")</f>
        <v>69661</v>
      </c>
      <c r="D55" s="6"/>
      <c r="E55" s="6"/>
      <c r="F55" s="6"/>
      <c r="G55" s="6" t="str">
        <f aca="false">IFERROR(__xludf.dummyfunction("""COMPUTED_VALUE"""),"2026/03/16")</f>
        <v>2026/03/16</v>
      </c>
      <c r="H55" s="6" t="str">
        <f aca="false">IFERROR(__xludf.dummyfunction("""COMPUTED_VALUE"""),"必要")</f>
        <v>必要</v>
      </c>
      <c r="I55" s="6" t="str">
        <f aca="false">IFERROR(__xludf.dummyfunction("""COMPUTED_VALUE"""),"男性")</f>
        <v>男性</v>
      </c>
      <c r="J55" s="6" t="str">
        <f aca="false">IFERROR(__xludf.dummyfunction("""COMPUTED_VALUE"""),"日本")</f>
        <v>日本</v>
      </c>
      <c r="K55" s="6" t="str">
        <f aca="false">IFERROR(__xludf.dummyfunction("""COMPUTED_VALUE"""),"14")</f>
        <v>14</v>
      </c>
      <c r="L55" s="6" t="str">
        <f aca="false">IFERROR(__xludf.dummyfunction("""COMPUTED_VALUE"""),"デスクトップPC")</f>
        <v>デスクトップPC</v>
      </c>
      <c r="M55" s="6" t="str">
        <f aca="false">IFERROR(__xludf.dummyfunction("""COMPUTED_VALUE"""),"机156・148・115
椅子75・75.5・145")</f>
        <v>机156・148・115
椅子75・75.5・145</v>
      </c>
      <c r="N55" s="6"/>
      <c r="O55" s="6" t="str">
        <f aca="false">IFERROR(__xludf.dummyfunction("""COMPUTED_VALUE"""),"不要")</f>
        <v>不要</v>
      </c>
      <c r="P55" s="6"/>
      <c r="Q55" s="6"/>
      <c r="R55" s="6"/>
      <c r="S55" s="6" t="str">
        <f aca="false">IFERROR(__xludf.dummyfunction("""COMPUTED_VALUE"""),"家具家電なし社宅")</f>
        <v>家具家電なし社宅</v>
      </c>
      <c r="T55" s="6" t="str">
        <f aca="false">IFERROR(__xludf.dummyfunction("""COMPUTED_VALUE"""),"利用する")</f>
        <v>利用する</v>
      </c>
      <c r="U55" s="6" t="str">
        <f aca="false">IFERROR(__xludf.dummyfunction("""COMPUTED_VALUE"""),"冷蔵庫、電子レンジ、炊飯器")</f>
        <v>冷蔵庫、電子レンジ、炊飯器</v>
      </c>
      <c r="V55" s="6" t="str">
        <f aca="false">IFERROR(__xludf.dummyfunction("""COMPUTED_VALUE"""),"徒歩, 電車, 社用バス")</f>
        <v>徒歩, 電車, 社用バス</v>
      </c>
      <c r="W55" s="6"/>
      <c r="X55" s="6" t="str">
        <f aca="false">IFERROR(__xludf.dummyfunction("""COMPUTED_VALUE"""),"実家")</f>
        <v>実家</v>
      </c>
      <c r="Y55" s="6"/>
      <c r="Z55" s="6" t="str">
        <f aca="false">IFERROR(__xludf.dummyfunction("""COMPUTED_VALUE"""),"希望しない")</f>
        <v>希望しない</v>
      </c>
      <c r="AA55" s="6" t="str">
        <f aca="false">IFERROR(__xludf.dummyfunction("""COMPUTED_VALUE"""),"単身")</f>
        <v>単身</v>
      </c>
      <c r="AB55" s="6"/>
      <c r="AC55" s="6"/>
      <c r="AD55" s="6" t="str">
        <f aca="false">IFERROR(__xludf.dummyfunction("""COMPUTED_VALUE"""),"光ファイバー対応")</f>
        <v>光ファイバー対応</v>
      </c>
      <c r="AE55" s="6" t="str">
        <f aca="false">IFERROR(__xludf.dummyfunction("""COMPUTED_VALUE"""),"確認しました。")</f>
        <v>確認しました。</v>
      </c>
      <c r="AF55" s="6" t="str">
        <f aca="false">IFERROR(__xludf.dummyfunction("""COMPUTED_VALUE"""),"社宅基準の内容について確認しました")</f>
        <v>社宅基準の内容について確認しました</v>
      </c>
      <c r="AG55" s="6" t="str">
        <f aca="false">IFERROR(__xludf.dummyfunction("""COMPUTED_VALUE"""),"入居のしおりの内容についてご確認しました")</f>
        <v>入居のしおりの内容についてご確認しました</v>
      </c>
      <c r="AH55" s="6" t="str">
        <f aca="false">IFERROR(__xludf.dummyfunction("""COMPUTED_VALUE"""),"確認しました")</f>
        <v>確認しました</v>
      </c>
      <c r="AI55" s="6"/>
      <c r="AJ55" s="6" t="str">
        <v/>
      </c>
      <c r="AK55" s="6" t="str">
        <v/>
      </c>
      <c r="AL55" s="6" t="str">
        <v/>
      </c>
      <c r="AM55" s="6" t="str">
        <v/>
      </c>
      <c r="AN55" s="6" t="n">
        <f aca="false">FALSE()</f>
        <v>0</v>
      </c>
    </row>
    <row r="56" customFormat="false" ht="52.5" hidden="false" customHeight="true" outlineLevel="0" collapsed="false">
      <c r="A56" s="6" t="str">
        <f aca="false">IFERROR(__xludf.dummyfunction("""COMPUTED_VALUE"""),"2026/02/06 21:12:28")</f>
        <v>2026/02/06 21:12:28</v>
      </c>
      <c r="B56" s="6"/>
      <c r="C56" s="6" t="str">
        <f aca="false">IFERROR(__xludf.dummyfunction("""COMPUTED_VALUE"""),"69700")</f>
        <v>69700</v>
      </c>
      <c r="D56" s="6"/>
      <c r="E56" s="6"/>
      <c r="F56" s="6"/>
      <c r="G56" s="6" t="str">
        <f aca="false">IFERROR(__xludf.dummyfunction("""COMPUTED_VALUE"""),"2026/03/11")</f>
        <v>2026/03/11</v>
      </c>
      <c r="H56" s="6" t="str">
        <f aca="false">IFERROR(__xludf.dummyfunction("""COMPUTED_VALUE"""),"必要")</f>
        <v>必要</v>
      </c>
      <c r="I56" s="6" t="str">
        <f aca="false">IFERROR(__xludf.dummyfunction("""COMPUTED_VALUE"""),"男性")</f>
        <v>男性</v>
      </c>
      <c r="J56" s="6" t="str">
        <f aca="false">IFERROR(__xludf.dummyfunction("""COMPUTED_VALUE"""),"日本")</f>
        <v>日本</v>
      </c>
      <c r="K56" s="6" t="str">
        <f aca="false">IFERROR(__xludf.dummyfunction("""COMPUTED_VALUE"""),"15")</f>
        <v>15</v>
      </c>
      <c r="L56" s="6" t="str">
        <f aca="false">IFERROR(__xludf.dummyfunction("""COMPUTED_VALUE"""),"炊飯器、布団乾燥機、電気ヒーター")</f>
        <v>炊飯器、布団乾燥機、電気ヒーター</v>
      </c>
      <c r="M56" s="6" t="str">
        <f aca="false">IFERROR(__xludf.dummyfunction("""COMPUTED_VALUE"""),"なし")</f>
        <v>なし</v>
      </c>
      <c r="N56" s="6" t="str">
        <f aca="false">IFERROR(__xludf.dummyfunction("""COMPUTED_VALUE"""),"自転車1台")</f>
        <v>自転車1台</v>
      </c>
      <c r="O56" s="6" t="str">
        <f aca="false">IFERROR(__xludf.dummyfunction("""COMPUTED_VALUE"""),"不要")</f>
        <v>不要</v>
      </c>
      <c r="P56" s="6"/>
      <c r="Q56" s="6"/>
      <c r="R56" s="6"/>
      <c r="S56" s="6" t="str">
        <f aca="false">IFERROR(__xludf.dummyfunction("""COMPUTED_VALUE"""),"家具家電付き社宅")</f>
        <v>家具家電付き社宅</v>
      </c>
      <c r="T56" s="6" t="str">
        <f aca="false">IFERROR(__xludf.dummyfunction("""COMPUTED_VALUE"""),"利用する")</f>
        <v>利用する</v>
      </c>
      <c r="U56" s="6" t="str">
        <f aca="false">IFERROR(__xludf.dummyfunction("""COMPUTED_VALUE"""),"テレビ台、冷凍冷蔵庫（2ドア、80L）、全自動洗濯機、ガスコンロ（安全装置2か所付）、電子レンジ、オーブンレンジ、照明器具、エアコン、掃除機、ローテーブル、ベッド、ベッド用マットレス")</f>
        <v>テレビ台、冷凍冷蔵庫（2ドア、80L）、全自動洗濯機、ガスコンロ（安全装置2か所付）、電子レンジ、オーブンレンジ、照明器具、エアコン、掃除機、ローテーブル、ベッド、ベッド用マットレス</v>
      </c>
      <c r="V56" s="6" t="str">
        <f aca="false">IFERROR(__xludf.dummyfunction("""COMPUTED_VALUE"""),"自転車")</f>
        <v>自転車</v>
      </c>
      <c r="W56" s="6"/>
      <c r="X56" s="6" t="str">
        <f aca="false">IFERROR(__xludf.dummyfunction("""COMPUTED_VALUE"""),"株式会社ビーネックステクノロジーズの社宅")</f>
        <v>株式会社ビーネックステクノロジーズの社宅</v>
      </c>
      <c r="Y56" s="6" t="str">
        <f aca="false">IFERROR(__xludf.dummyfunction("""COMPUTED_VALUE"""),"・テレビ、テレビ台、エアコン、テーブル×2、椅子×2、棚、ベッド、マットレス、洗濯機、冷蔵庫、電子レンジ、照明器具、掃除機、ガスコンロ
・全て回収希望")</f>
        <v>・テレビ、テレビ台、エアコン、テーブル×2、椅子×2、棚、ベッド、マットレス、洗濯機、冷蔵庫、電子レンジ、照明器具、掃除機、ガスコンロ
・全て回収希望</v>
      </c>
      <c r="Z56" s="6" t="str">
        <f aca="false">IFERROR(__xludf.dummyfunction("""COMPUTED_VALUE"""),"希望する")</f>
        <v>希望する</v>
      </c>
      <c r="AA56" s="6" t="str">
        <f aca="false">IFERROR(__xludf.dummyfunction("""COMPUTED_VALUE"""),"単身")</f>
        <v>単身</v>
      </c>
      <c r="AB56" s="6"/>
      <c r="AC56" s="6"/>
      <c r="AD56" s="6"/>
      <c r="AE56" s="6" t="str">
        <f aca="false">IFERROR(__xludf.dummyfunction("""COMPUTED_VALUE"""),"確認しました。")</f>
        <v>確認しました。</v>
      </c>
      <c r="AF56" s="6" t="str">
        <f aca="false">IFERROR(__xludf.dummyfunction("""COMPUTED_VALUE"""),"社宅基準の内容について確認しました")</f>
        <v>社宅基準の内容について確認しました</v>
      </c>
      <c r="AG56" s="6" t="str">
        <f aca="false">IFERROR(__xludf.dummyfunction("""COMPUTED_VALUE"""),"入居のしおりの内容についてご確認しました")</f>
        <v>入居のしおりの内容についてご確認しました</v>
      </c>
      <c r="AH56" s="6" t="str">
        <f aca="false">IFERROR(__xludf.dummyfunction("""COMPUTED_VALUE"""),"確認しました")</f>
        <v>確認しました</v>
      </c>
      <c r="AI56" s="6"/>
      <c r="AJ56" s="6" t="str">
        <v/>
      </c>
      <c r="AK56" s="6" t="str">
        <v/>
      </c>
      <c r="AL56" s="6" t="str">
        <v/>
      </c>
      <c r="AM56" s="6" t="str">
        <v/>
      </c>
      <c r="AN56" s="6" t="n">
        <f aca="false">TRUE()</f>
        <v>1</v>
      </c>
    </row>
    <row r="57" customFormat="false" ht="52.5" hidden="false" customHeight="true" outlineLevel="0" collapsed="false">
      <c r="A57" s="6" t="str">
        <f aca="false">IFERROR(__xludf.dummyfunction("""COMPUTED_VALUE"""),"2026/02/06 23:58:31")</f>
        <v>2026/02/06 23:58:31</v>
      </c>
      <c r="B57" s="6"/>
      <c r="C57" s="6" t="str">
        <f aca="false">IFERROR(__xludf.dummyfunction("""COMPUTED_VALUE"""),"69701")</f>
        <v>69701</v>
      </c>
      <c r="D57" s="6"/>
      <c r="E57" s="6"/>
      <c r="F57" s="6"/>
      <c r="G57" s="6" t="str">
        <f aca="false">IFERROR(__xludf.dummyfunction("""COMPUTED_VALUE"""),"2026/02/28")</f>
        <v>2026/02/28</v>
      </c>
      <c r="H57" s="6" t="str">
        <f aca="false">IFERROR(__xludf.dummyfunction("""COMPUTED_VALUE"""),"必要")</f>
        <v>必要</v>
      </c>
      <c r="I57" s="6" t="str">
        <f aca="false">IFERROR(__xludf.dummyfunction("""COMPUTED_VALUE"""),"男性")</f>
        <v>男性</v>
      </c>
      <c r="J57" s="6" t="str">
        <f aca="false">IFERROR(__xludf.dummyfunction("""COMPUTED_VALUE"""),"日本")</f>
        <v>日本</v>
      </c>
      <c r="K57" s="6" t="str">
        <f aca="false">IFERROR(__xludf.dummyfunction("""COMPUTED_VALUE"""),"8")</f>
        <v>8</v>
      </c>
      <c r="L57" s="6" t="str">
        <f aca="false">IFERROR(__xludf.dummyfunction("""COMPUTED_VALUE"""),"扇風機、掃除機、ヒーター")</f>
        <v>扇風機、掃除機、ヒーター</v>
      </c>
      <c r="M57" s="6" t="str">
        <f aca="false">IFERROR(__xludf.dummyfunction("""COMPUTED_VALUE"""),"机（横90cm、奥60cm、高さ30cm）
サイドテーブル（横20cm、奥35cm、
　　高さ50cm）
服収納ケース（横40cm、奥45cm、　　
　　高さ60cm）")</f>
        <v>机（横90cm、奥60cm、高さ30cm）
サイドテーブル（横20cm、奥35cm、
　　高さ50cm）
服収納ケース（横40cm、奥45cm、　　
　　高さ60cm）</v>
      </c>
      <c r="N57" s="6" t="str">
        <f aca="false">IFERROR(__xludf.dummyfunction("""COMPUTED_VALUE"""),"自転車")</f>
        <v>自転車</v>
      </c>
      <c r="O57" s="6" t="str">
        <f aca="false">IFERROR(__xludf.dummyfunction("""COMPUTED_VALUE"""),"必要")</f>
        <v>必要</v>
      </c>
      <c r="P57" s="6" t="str">
        <f aca="false">IFERROR(__xludf.dummyfunction("""COMPUTED_VALUE"""),"ダイハツムーヴ")</f>
        <v>ダイハツムーヴ</v>
      </c>
      <c r="Q57" s="6" t="str">
        <f aca="false">IFERROR(__xludf.dummyfunction("""COMPUTED_VALUE"""),"め25-87")</f>
        <v>め25-87</v>
      </c>
      <c r="R57" s="6" t="str">
        <f aca="false">IFERROR(__xludf.dummyfunction("""COMPUTED_VALUE"""),"白")</f>
        <v>白</v>
      </c>
      <c r="S57" s="6" t="str">
        <f aca="false">IFERROR(__xludf.dummyfunction("""COMPUTED_VALUE"""),"家具家電付き社宅")</f>
        <v>家具家電付き社宅</v>
      </c>
      <c r="T57" s="6" t="str">
        <f aca="false">IFERROR(__xludf.dummyfunction("""COMPUTED_VALUE"""),"利用しない")</f>
        <v>利用しない</v>
      </c>
      <c r="U57" s="6"/>
      <c r="V57" s="6" t="str">
        <f aca="false">IFERROR(__xludf.dummyfunction("""COMPUTED_VALUE"""),"自動車")</f>
        <v>自動車</v>
      </c>
      <c r="W57" s="6"/>
      <c r="X57" s="6" t="str">
        <f aca="false">IFERROR(__xludf.dummyfunction("""COMPUTED_VALUE"""),"ご自身で契約中の物件")</f>
        <v>ご自身で契約中の物件</v>
      </c>
      <c r="Y57" s="6"/>
      <c r="Z57" s="6" t="str">
        <f aca="false">IFERROR(__xludf.dummyfunction("""COMPUTED_VALUE"""),"希望する")</f>
        <v>希望する</v>
      </c>
      <c r="AA57" s="6" t="str">
        <f aca="false">IFERROR(__xludf.dummyfunction("""COMPUTED_VALUE"""),"単身")</f>
        <v>単身</v>
      </c>
      <c r="AB57" s="6"/>
      <c r="AC57" s="6"/>
      <c r="AD57" s="6"/>
      <c r="AE57" s="6" t="str">
        <f aca="false">IFERROR(__xludf.dummyfunction("""COMPUTED_VALUE"""),"確認しました。")</f>
        <v>確認しました。</v>
      </c>
      <c r="AF57" s="6" t="str">
        <f aca="false">IFERROR(__xludf.dummyfunction("""COMPUTED_VALUE"""),"社宅基準の内容について確認しました")</f>
        <v>社宅基準の内容について確認しました</v>
      </c>
      <c r="AG57" s="6" t="str">
        <f aca="false">IFERROR(__xludf.dummyfunction("""COMPUTED_VALUE"""),"入居のしおりの内容についてご確認しました")</f>
        <v>入居のしおりの内容についてご確認しました</v>
      </c>
      <c r="AH57" s="6" t="str">
        <f aca="false">IFERROR(__xludf.dummyfunction("""COMPUTED_VALUE"""),"確認しました")</f>
        <v>確認しました</v>
      </c>
      <c r="AI57" s="6"/>
      <c r="AJ57" s="6" t="str">
        <v/>
      </c>
      <c r="AK57" s="6" t="str">
        <v/>
      </c>
      <c r="AL57" s="6" t="str">
        <v/>
      </c>
      <c r="AM57" s="6" t="str">
        <v/>
      </c>
      <c r="AN57" s="6" t="n">
        <f aca="false">TRUE()</f>
        <v>1</v>
      </c>
    </row>
    <row r="58" customFormat="false" ht="52.5" hidden="false" customHeight="true" outlineLevel="0" collapsed="false">
      <c r="A58" s="6" t="str">
        <f aca="false">IFERROR(__xludf.dummyfunction("""COMPUTED_VALUE"""),"2026/02/07 8:28:08")</f>
        <v>2026/02/07 8:28:08</v>
      </c>
      <c r="B58" s="6"/>
      <c r="C58" s="6" t="str">
        <f aca="false">IFERROR(__xludf.dummyfunction("""COMPUTED_VALUE"""),"69564")</f>
        <v>69564</v>
      </c>
      <c r="D58" s="6"/>
      <c r="E58" s="6"/>
      <c r="F58" s="6"/>
      <c r="G58" s="6" t="str">
        <f aca="false">IFERROR(__xludf.dummyfunction("""COMPUTED_VALUE"""),"2026/02/14")</f>
        <v>2026/02/14</v>
      </c>
      <c r="H58" s="6" t="str">
        <f aca="false">IFERROR(__xludf.dummyfunction("""COMPUTED_VALUE"""),"必要")</f>
        <v>必要</v>
      </c>
      <c r="I58" s="6" t="str">
        <f aca="false">IFERROR(__xludf.dummyfunction("""COMPUTED_VALUE"""),"男性")</f>
        <v>男性</v>
      </c>
      <c r="J58" s="6" t="str">
        <f aca="false">IFERROR(__xludf.dummyfunction("""COMPUTED_VALUE"""),"日本")</f>
        <v>日本</v>
      </c>
      <c r="K58" s="6" t="str">
        <f aca="false">IFERROR(__xludf.dummyfunction("""COMPUTED_VALUE"""),"20")</f>
        <v>20</v>
      </c>
      <c r="L58" s="6" t="str">
        <f aca="false">IFERROR(__xludf.dummyfunction("""COMPUTED_VALUE"""),"なし")</f>
        <v>なし</v>
      </c>
      <c r="M58" s="6" t="str">
        <f aca="false">IFERROR(__xludf.dummyfunction("""COMPUTED_VALUE"""),"机(80.40.35)1個  本棚3つ(42.30.90) シングルベッド")</f>
        <v>机(80.40.35)1個  本棚3つ(42.30.90) シングルベッド</v>
      </c>
      <c r="N58" s="6" t="str">
        <f aca="false">IFERROR(__xludf.dummyfunction("""COMPUTED_VALUE"""),"自転車")</f>
        <v>自転車</v>
      </c>
      <c r="O58" s="6" t="str">
        <f aca="false">IFERROR(__xludf.dummyfunction("""COMPUTED_VALUE"""),"不要")</f>
        <v>不要</v>
      </c>
      <c r="P58" s="6"/>
      <c r="Q58" s="6"/>
      <c r="R58" s="6"/>
      <c r="S58" s="6" t="str">
        <f aca="false">IFERROR(__xludf.dummyfunction("""COMPUTED_VALUE"""),"家具家電なし社宅")</f>
        <v>家具家電なし社宅</v>
      </c>
      <c r="T58" s="6" t="str">
        <f aca="false">IFERROR(__xludf.dummyfunction("""COMPUTED_VALUE"""),"利用する")</f>
        <v>利用する</v>
      </c>
      <c r="U58" s="6" t="str">
        <f aca="false">IFERROR(__xludf.dummyfunction("""COMPUTED_VALUE"""),"地デジ液晶テレビ22インチ、テレビ台、洗濯機、エアコン、電子レンジ、照明器具、ガスコンロ、冷蔵庫170g、こたつ台、こたつ布団、ポット")</f>
        <v>地デジ液晶テレビ22インチ、テレビ台、洗濯機、エアコン、電子レンジ、照明器具、ガスコンロ、冷蔵庫170g、こたつ台、こたつ布団、ポット</v>
      </c>
      <c r="V58" s="6" t="str">
        <f aca="false">IFERROR(__xludf.dummyfunction("""COMPUTED_VALUE"""),"自転車, 電車")</f>
        <v>自転車, 電車</v>
      </c>
      <c r="W58" s="6"/>
      <c r="X58" s="6" t="str">
        <f aca="false">IFERROR(__xludf.dummyfunction("""COMPUTED_VALUE"""),"実家")</f>
        <v>実家</v>
      </c>
      <c r="Y58" s="6"/>
      <c r="Z58" s="6" t="str">
        <f aca="false">IFERROR(__xludf.dummyfunction("""COMPUTED_VALUE"""),"希望する")</f>
        <v>希望する</v>
      </c>
      <c r="AA58" s="6" t="str">
        <f aca="false">IFERROR(__xludf.dummyfunction("""COMPUTED_VALUE"""),"単身")</f>
        <v>単身</v>
      </c>
      <c r="AB58" s="6"/>
      <c r="AC58" s="6"/>
      <c r="AD58" s="6"/>
      <c r="AE58" s="6" t="str">
        <f aca="false">IFERROR(__xludf.dummyfunction("""COMPUTED_VALUE"""),"確認しました。")</f>
        <v>確認しました。</v>
      </c>
      <c r="AF58" s="6" t="str">
        <f aca="false">IFERROR(__xludf.dummyfunction("""COMPUTED_VALUE"""),"社宅基準の内容について確認しました")</f>
        <v>社宅基準の内容について確認しました</v>
      </c>
      <c r="AG58" s="6" t="str">
        <f aca="false">IFERROR(__xludf.dummyfunction("""COMPUTED_VALUE"""),"入居のしおりの内容についてご確認しました")</f>
        <v>入居のしおりの内容についてご確認しました</v>
      </c>
      <c r="AH58" s="6" t="str">
        <f aca="false">IFERROR(__xludf.dummyfunction("""COMPUTED_VALUE"""),"確認しました")</f>
        <v>確認しました</v>
      </c>
      <c r="AI58" s="6"/>
      <c r="AJ58" s="6" t="str">
        <v/>
      </c>
      <c r="AK58" s="6" t="str">
        <v/>
      </c>
      <c r="AL58" s="6" t="str">
        <v/>
      </c>
      <c r="AM58" s="6" t="str">
        <v/>
      </c>
      <c r="AN58" s="6" t="n">
        <f aca="false">TRUE()</f>
        <v>1</v>
      </c>
    </row>
    <row r="59" customFormat="false" ht="52.5" hidden="false" customHeight="true" outlineLevel="0" collapsed="false">
      <c r="A59" s="6" t="str">
        <f aca="false">IFERROR(__xludf.dummyfunction("""COMPUTED_VALUE"""),"2026/02/07 18:26:29")</f>
        <v>2026/02/07 18:26:29</v>
      </c>
      <c r="B59" s="6"/>
      <c r="C59" s="6" t="str">
        <f aca="false">IFERROR(__xludf.dummyfunction("""COMPUTED_VALUE"""),"69709")</f>
        <v>69709</v>
      </c>
      <c r="D59" s="6"/>
      <c r="E59" s="6"/>
      <c r="F59" s="6"/>
      <c r="G59" s="6" t="str">
        <f aca="false">IFERROR(__xludf.dummyfunction("""COMPUTED_VALUE"""),"2026/02/26")</f>
        <v>2026/02/26</v>
      </c>
      <c r="H59" s="6" t="str">
        <f aca="false">IFERROR(__xludf.dummyfunction("""COMPUTED_VALUE"""),"必要")</f>
        <v>必要</v>
      </c>
      <c r="I59" s="6" t="str">
        <f aca="false">IFERROR(__xludf.dummyfunction("""COMPUTED_VALUE"""),"男性")</f>
        <v>男性</v>
      </c>
      <c r="J59" s="6" t="str">
        <f aca="false">IFERROR(__xludf.dummyfunction("""COMPUTED_VALUE"""),"日本")</f>
        <v>日本</v>
      </c>
      <c r="K59" s="6" t="str">
        <f aca="false">IFERROR(__xludf.dummyfunction("""COMPUTED_VALUE"""),"6")</f>
        <v>6</v>
      </c>
      <c r="L59" s="6" t="str">
        <f aca="false">IFERROR(__xludf.dummyfunction("""COMPUTED_VALUE"""),"冷蔵庫（2ドア）　洗濯機　ウォーターサーバー")</f>
        <v>冷蔵庫（2ドア）　洗濯機　ウォーターサーバー</v>
      </c>
      <c r="M59" s="6" t="str">
        <f aca="false">IFERROR(__xludf.dummyfunction("""COMPUTED_VALUE"""),"デスクチェア　テーブル　タンス")</f>
        <v>デスクチェア　テーブル　タンス</v>
      </c>
      <c r="N59" s="6"/>
      <c r="O59" s="6" t="str">
        <f aca="false">IFERROR(__xludf.dummyfunction("""COMPUTED_VALUE"""),"必要")</f>
        <v>必要</v>
      </c>
      <c r="P59" s="6" t="str">
        <f aca="false">IFERROR(__xludf.dummyfunction("""COMPUTED_VALUE"""),"アクア")</f>
        <v>アクア</v>
      </c>
      <c r="Q59" s="6" t="str">
        <f aca="false">IFERROR(__xludf.dummyfunction("""COMPUTED_VALUE"""),"さ67-59")</f>
        <v>さ67-59</v>
      </c>
      <c r="R59" s="6" t="str">
        <f aca="false">IFERROR(__xludf.dummyfunction("""COMPUTED_VALUE"""),"黒")</f>
        <v>黒</v>
      </c>
      <c r="S59" s="6" t="str">
        <f aca="false">IFERROR(__xludf.dummyfunction("""COMPUTED_VALUE"""),"家具家電なし社宅")</f>
        <v>家具家電なし社宅</v>
      </c>
      <c r="T59" s="6" t="str">
        <f aca="false">IFERROR(__xludf.dummyfunction("""COMPUTED_VALUE"""),"利用しない")</f>
        <v>利用しない</v>
      </c>
      <c r="U59" s="6"/>
      <c r="V59" s="6" t="str">
        <f aca="false">IFERROR(__xludf.dummyfunction("""COMPUTED_VALUE"""),"自動車, 社用バス")</f>
        <v>自動車, 社用バス</v>
      </c>
      <c r="W59" s="6"/>
      <c r="X59" s="6" t="str">
        <f aca="false">IFERROR(__xludf.dummyfunction("""COMPUTED_VALUE"""),"株式会社ビーネックステクノロジーズの社宅")</f>
        <v>株式会社ビーネックステクノロジーズの社宅</v>
      </c>
      <c r="Y59" s="6" t="str">
        <f aca="false">IFERROR(__xludf.dummyfunction("""COMPUTED_VALUE"""),"利用なし")</f>
        <v>利用なし</v>
      </c>
      <c r="Z59" s="6" t="str">
        <f aca="false">IFERROR(__xludf.dummyfunction("""COMPUTED_VALUE"""),"希望する")</f>
        <v>希望する</v>
      </c>
      <c r="AA59" s="6" t="str">
        <f aca="false">IFERROR(__xludf.dummyfunction("""COMPUTED_VALUE"""),"単身")</f>
        <v>単身</v>
      </c>
      <c r="AB59" s="6"/>
      <c r="AC59" s="6"/>
      <c r="AD59" s="6"/>
      <c r="AE59" s="6" t="str">
        <f aca="false">IFERROR(__xludf.dummyfunction("""COMPUTED_VALUE"""),"確認しました。")</f>
        <v>確認しました。</v>
      </c>
      <c r="AF59" s="6" t="str">
        <f aca="false">IFERROR(__xludf.dummyfunction("""COMPUTED_VALUE"""),"社宅基準の内容について確認しました")</f>
        <v>社宅基準の内容について確認しました</v>
      </c>
      <c r="AG59" s="6" t="str">
        <f aca="false">IFERROR(__xludf.dummyfunction("""COMPUTED_VALUE"""),"入居のしおりの内容についてご確認しました")</f>
        <v>入居のしおりの内容についてご確認しました</v>
      </c>
      <c r="AH59" s="6" t="str">
        <f aca="false">IFERROR(__xludf.dummyfunction("""COMPUTED_VALUE"""),"確認しました")</f>
        <v>確認しました</v>
      </c>
      <c r="AI59" s="6"/>
      <c r="AJ59" s="6" t="str">
        <v/>
      </c>
      <c r="AK59" s="6" t="str">
        <v/>
      </c>
      <c r="AL59" s="6" t="str">
        <v/>
      </c>
      <c r="AM59" s="6" t="str">
        <v/>
      </c>
      <c r="AN59" s="6" t="n">
        <f aca="false">TRUE()</f>
        <v>1</v>
      </c>
    </row>
    <row r="60" customFormat="false" ht="52.5" hidden="false" customHeight="true" outlineLevel="0" collapsed="false">
      <c r="A60" s="6" t="str">
        <f aca="false">IFERROR(__xludf.dummyfunction("""COMPUTED_VALUE"""),"2026/02/07 23:58:08")</f>
        <v>2026/02/07 23:58:08</v>
      </c>
      <c r="B60" s="6"/>
      <c r="C60" s="6" t="str">
        <f aca="false">IFERROR(__xludf.dummyfunction("""COMPUTED_VALUE"""),"69566")</f>
        <v>69566</v>
      </c>
      <c r="D60" s="6"/>
      <c r="E60" s="6"/>
      <c r="F60" s="6"/>
      <c r="G60" s="6" t="str">
        <f aca="false">IFERROR(__xludf.dummyfunction("""COMPUTED_VALUE"""),"2026/03/14")</f>
        <v>2026/03/14</v>
      </c>
      <c r="H60" s="6" t="str">
        <f aca="false">IFERROR(__xludf.dummyfunction("""COMPUTED_VALUE"""),"必要")</f>
        <v>必要</v>
      </c>
      <c r="I60" s="6" t="str">
        <f aca="false">IFERROR(__xludf.dummyfunction("""COMPUTED_VALUE"""),"男性")</f>
        <v>男性</v>
      </c>
      <c r="J60" s="6" t="str">
        <f aca="false">IFERROR(__xludf.dummyfunction("""COMPUTED_VALUE"""),"日本")</f>
        <v>日本</v>
      </c>
      <c r="K60" s="6" t="str">
        <f aca="false">IFERROR(__xludf.dummyfunction("""COMPUTED_VALUE"""),"20")</f>
        <v>20</v>
      </c>
      <c r="L60" s="6" t="str">
        <f aca="false">IFERROR(__xludf.dummyfunction("""COMPUTED_VALUE"""),"ドライヤー、ヘアアイロン、パソコン、pc用モニター、ゲーム機")</f>
        <v>ドライヤー、ヘアアイロン、パソコン、pc用モニター、ゲーム機</v>
      </c>
      <c r="M60" s="6" t="str">
        <f aca="false">IFERROR(__xludf.dummyfunction("""COMPUTED_VALUE"""),"椅子")</f>
        <v>椅子</v>
      </c>
      <c r="N60" s="6" t="str">
        <f aca="false">IFERROR(__xludf.dummyfunction("""COMPUTED_VALUE"""),"自転車")</f>
        <v>自転車</v>
      </c>
      <c r="O60" s="6" t="str">
        <f aca="false">IFERROR(__xludf.dummyfunction("""COMPUTED_VALUE"""),"不要")</f>
        <v>不要</v>
      </c>
      <c r="P60" s="6"/>
      <c r="Q60" s="6"/>
      <c r="R60" s="6"/>
      <c r="S60" s="6" t="str">
        <f aca="false">IFERROR(__xludf.dummyfunction("""COMPUTED_VALUE"""),"家具家電なし社宅")</f>
        <v>家具家電なし社宅</v>
      </c>
      <c r="T60" s="6" t="str">
        <f aca="false">IFERROR(__xludf.dummyfunction("""COMPUTED_VALUE"""),"利用しない")</f>
        <v>利用しない</v>
      </c>
      <c r="U60" s="6"/>
      <c r="V60" s="6" t="str">
        <f aca="false">IFERROR(__xludf.dummyfunction("""COMPUTED_VALUE"""),"徒歩, 自動車, 電車")</f>
        <v>徒歩, 自動車, 電車</v>
      </c>
      <c r="W60" s="6"/>
      <c r="X60" s="6" t="str">
        <f aca="false">IFERROR(__xludf.dummyfunction("""COMPUTED_VALUE"""),"実家")</f>
        <v>実家</v>
      </c>
      <c r="Y60" s="6"/>
      <c r="Z60" s="6" t="str">
        <f aca="false">IFERROR(__xludf.dummyfunction("""COMPUTED_VALUE"""),"希望しない")</f>
        <v>希望しない</v>
      </c>
      <c r="AA60" s="6" t="str">
        <f aca="false">IFERROR(__xludf.dummyfunction("""COMPUTED_VALUE"""),"単身")</f>
        <v>単身</v>
      </c>
      <c r="AB60" s="6"/>
      <c r="AC60" s="6"/>
      <c r="AD60" s="6" t="str">
        <f aca="false">IFERROR(__xludf.dummyfunction("""COMPUTED_VALUE"""),"納得いかなければキャンセルさせていただくかもしれません。申し訳ございません。")</f>
        <v>納得いかなければキャンセルさせていただくかもしれません。申し訳ございません。</v>
      </c>
      <c r="AE60" s="6" t="str">
        <f aca="false">IFERROR(__xludf.dummyfunction("""COMPUTED_VALUE"""),"確認しました。")</f>
        <v>確認しました。</v>
      </c>
      <c r="AF60" s="6" t="str">
        <f aca="false">IFERROR(__xludf.dummyfunction("""COMPUTED_VALUE"""),"社宅基準の内容について確認しました")</f>
        <v>社宅基準の内容について確認しました</v>
      </c>
      <c r="AG60" s="6" t="str">
        <f aca="false">IFERROR(__xludf.dummyfunction("""COMPUTED_VALUE"""),"入居のしおりの内容についてご確認しました")</f>
        <v>入居のしおりの内容についてご確認しました</v>
      </c>
      <c r="AH60" s="6" t="str">
        <f aca="false">IFERROR(__xludf.dummyfunction("""COMPUTED_VALUE"""),"確認しました")</f>
        <v>確認しました</v>
      </c>
      <c r="AI60" s="6"/>
      <c r="AJ60" s="6" t="str">
        <v/>
      </c>
      <c r="AK60" s="6" t="str">
        <v/>
      </c>
      <c r="AL60" s="6" t="str">
        <v/>
      </c>
      <c r="AM60" s="6" t="str">
        <v/>
      </c>
      <c r="AN60" s="6" t="n">
        <f aca="false">FALSE()</f>
        <v>0</v>
      </c>
    </row>
    <row r="61" customFormat="false" ht="52.5" hidden="false" customHeight="true" outlineLevel="0" collapsed="false">
      <c r="A61" s="6" t="str">
        <f aca="false">IFERROR(__xludf.dummyfunction("""COMPUTED_VALUE"""),"2026/02/08 2:50:03")</f>
        <v>2026/02/08 2:50:03</v>
      </c>
      <c r="B61" s="6"/>
      <c r="C61" s="6" t="str">
        <f aca="false">IFERROR(__xludf.dummyfunction("""COMPUTED_VALUE"""),"69711")</f>
        <v>69711</v>
      </c>
      <c r="D61" s="6"/>
      <c r="E61" s="6"/>
      <c r="F61" s="6"/>
      <c r="G61" s="6" t="str">
        <f aca="false">IFERROR(__xludf.dummyfunction("""COMPUTED_VALUE"""),"2026/03/27")</f>
        <v>2026/03/27</v>
      </c>
      <c r="H61" s="6" t="str">
        <f aca="false">IFERROR(__xludf.dummyfunction("""COMPUTED_VALUE"""),"必要")</f>
        <v>必要</v>
      </c>
      <c r="I61" s="6" t="str">
        <f aca="false">IFERROR(__xludf.dummyfunction("""COMPUTED_VALUE"""),"男性")</f>
        <v>男性</v>
      </c>
      <c r="J61" s="6" t="str">
        <f aca="false">IFERROR(__xludf.dummyfunction("""COMPUTED_VALUE"""),"日本")</f>
        <v>日本</v>
      </c>
      <c r="K61" s="6" t="str">
        <f aca="false">IFERROR(__xludf.dummyfunction("""COMPUTED_VALUE"""),"8")</f>
        <v>8</v>
      </c>
      <c r="L61" s="6" t="str">
        <f aca="false">IFERROR(__xludf.dummyfunction("""COMPUTED_VALUE"""),"なし")</f>
        <v>なし</v>
      </c>
      <c r="M61" s="6" t="str">
        <f aca="false">IFERROR(__xludf.dummyfunction("""COMPUTED_VALUE"""),"ゲーミングデスク、ゲーミングチェア、マットレス(シングル)")</f>
        <v>ゲーミングデスク、ゲーミングチェア、マットレス(シングル)</v>
      </c>
      <c r="N61" s="6" t="str">
        <f aca="false">IFERROR(__xludf.dummyfunction("""COMPUTED_VALUE"""),"なし")</f>
        <v>なし</v>
      </c>
      <c r="O61" s="6" t="str">
        <f aca="false">IFERROR(__xludf.dummyfunction("""COMPUTED_VALUE"""),"必要")</f>
        <v>必要</v>
      </c>
      <c r="P61" s="6" t="str">
        <f aca="false">IFERROR(__xludf.dummyfunction("""COMPUTED_VALUE"""),"ワゴンR")</f>
        <v>ワゴンR</v>
      </c>
      <c r="Q61" s="6" t="str">
        <f aca="false">IFERROR(__xludf.dummyfunction("""COMPUTED_VALUE"""),"え17-89")</f>
        <v>え17-89</v>
      </c>
      <c r="R61" s="6" t="str">
        <f aca="false">IFERROR(__xludf.dummyfunction("""COMPUTED_VALUE"""),"水色")</f>
        <v>水色</v>
      </c>
      <c r="S61" s="6" t="str">
        <f aca="false">IFERROR(__xludf.dummyfunction("""COMPUTED_VALUE"""),"家具家電なし社宅")</f>
        <v>家具家電なし社宅</v>
      </c>
      <c r="T61" s="6" t="str">
        <f aca="false">IFERROR(__xludf.dummyfunction("""COMPUTED_VALUE"""),"利用する")</f>
        <v>利用する</v>
      </c>
      <c r="U61" s="6" t="str">
        <f aca="false">IFERROR(__xludf.dummyfunction("""COMPUTED_VALUE"""),"電子レンジ、冷凍冷蔵庫2ドア・80ℓ、")</f>
        <v>電子レンジ、冷凍冷蔵庫2ドア・80ℓ、</v>
      </c>
      <c r="V61" s="6" t="str">
        <f aca="false">IFERROR(__xludf.dummyfunction("""COMPUTED_VALUE"""),"電車, バス")</f>
        <v>電車, バス</v>
      </c>
      <c r="W61" s="6"/>
      <c r="X61" s="6" t="str">
        <f aca="false">IFERROR(__xludf.dummyfunction("""COMPUTED_VALUE"""),"株式会社ビーネックステクノロジーズの社宅")</f>
        <v>株式会社ビーネックステクノロジーズの社宅</v>
      </c>
      <c r="Y61" s="6" t="str">
        <f aca="false">IFERROR(__xludf.dummyfunction("""COMPUTED_VALUE"""),"利用なし")</f>
        <v>利用なし</v>
      </c>
      <c r="Z61" s="6" t="str">
        <f aca="false">IFERROR(__xludf.dummyfunction("""COMPUTED_VALUE"""),"希望しない")</f>
        <v>希望しない</v>
      </c>
      <c r="AA61" s="6" t="str">
        <f aca="false">IFERROR(__xludf.dummyfunction("""COMPUTED_VALUE"""),"単身")</f>
        <v>単身</v>
      </c>
      <c r="AB61" s="6"/>
      <c r="AC61" s="6"/>
      <c r="AD61" s="6" t="str">
        <f aca="false">IFERROR(__xludf.dummyfunction("""COMPUTED_VALUE"""),"風呂・トイレ別、レオパレス以外を希望ネット個人契約可能な所")</f>
        <v>風呂・トイレ別、レオパレス以外を希望ネット個人契約可能な所</v>
      </c>
      <c r="AE61" s="6" t="str">
        <f aca="false">IFERROR(__xludf.dummyfunction("""COMPUTED_VALUE"""),"確認しました。")</f>
        <v>確認しました。</v>
      </c>
      <c r="AF61" s="6" t="str">
        <f aca="false">IFERROR(__xludf.dummyfunction("""COMPUTED_VALUE"""),"社宅基準の内容について確認しました")</f>
        <v>社宅基準の内容について確認しました</v>
      </c>
      <c r="AG61" s="6" t="str">
        <f aca="false">IFERROR(__xludf.dummyfunction("""COMPUTED_VALUE"""),"入居のしおりの内容についてご確認しました")</f>
        <v>入居のしおりの内容についてご確認しました</v>
      </c>
      <c r="AH61" s="6" t="str">
        <f aca="false">IFERROR(__xludf.dummyfunction("""COMPUTED_VALUE"""),"確認しました")</f>
        <v>確認しました</v>
      </c>
      <c r="AI61" s="6"/>
      <c r="AJ61" s="6" t="str">
        <v/>
      </c>
      <c r="AK61" s="6" t="str">
        <v/>
      </c>
      <c r="AL61" s="6" t="str">
        <v/>
      </c>
      <c r="AM61" s="6" t="str">
        <v/>
      </c>
      <c r="AN61" s="6" t="n">
        <f aca="false">FALSE()</f>
        <v>0</v>
      </c>
    </row>
    <row r="62" customFormat="false" ht="52.5" hidden="false" customHeight="true" outlineLevel="0" collapsed="false">
      <c r="A62" s="6" t="str">
        <f aca="false">IFERROR(__xludf.dummyfunction("""COMPUTED_VALUE"""),"2026/02/08 8:05:30")</f>
        <v>2026/02/08 8:05:30</v>
      </c>
      <c r="B62" s="6"/>
      <c r="C62" s="6" t="str">
        <f aca="false">IFERROR(__xludf.dummyfunction("""COMPUTED_VALUE"""),"69712")</f>
        <v>69712</v>
      </c>
      <c r="D62" s="6"/>
      <c r="E62" s="6"/>
      <c r="F62" s="6"/>
      <c r="G62" s="6" t="str">
        <f aca="false">IFERROR(__xludf.dummyfunction("""COMPUTED_VALUE"""),"2026/03/28")</f>
        <v>2026/03/28</v>
      </c>
      <c r="H62" s="6" t="str">
        <f aca="false">IFERROR(__xludf.dummyfunction("""COMPUTED_VALUE"""),"必要")</f>
        <v>必要</v>
      </c>
      <c r="I62" s="6" t="str">
        <f aca="false">IFERROR(__xludf.dummyfunction("""COMPUTED_VALUE"""),"男性")</f>
        <v>男性</v>
      </c>
      <c r="J62" s="6" t="str">
        <f aca="false">IFERROR(__xludf.dummyfunction("""COMPUTED_VALUE"""),"日本")</f>
        <v>日本</v>
      </c>
      <c r="K62" s="6" t="str">
        <f aca="false">IFERROR(__xludf.dummyfunction("""COMPUTED_VALUE"""),"20")</f>
        <v>20</v>
      </c>
      <c r="L62" s="6" t="str">
        <f aca="false">IFERROR(__xludf.dummyfunction("""COMPUTED_VALUE"""),"冷蔵庫(2ドア)、洗濯機(縦型)、電子レンジ、サーキュレーター(30×30×30cm)、除湿器(25×20×50cm)、デスクトップパソコン(薄型)、PCモニター(2台)")</f>
        <v>冷蔵庫(2ドア)、洗濯機(縦型)、電子レンジ、サーキュレーター(30×30×30cm)、除湿器(25×20×50cm)、デスクトップパソコン(薄型)、PCモニター(2台)</v>
      </c>
      <c r="M62" s="6" t="str">
        <f aca="false">IFERROR(__xludf.dummyfunction("""COMPUTED_VALUE"""),"ベッド(シングル)、衣装ケース2個(54.5×39.1×78cm)、衣装ケース(45×45×75cm)、椅子、L字型デスク(140×75×74cm)、パイプハンガー")</f>
        <v>ベッド(シングル)、衣装ケース2個(54.5×39.1×78cm)、衣装ケース(45×45×75cm)、椅子、L字型デスク(140×75×74cm)、パイプハンガー</v>
      </c>
      <c r="N62" s="6" t="str">
        <f aca="false">IFERROR(__xludf.dummyfunction("""COMPUTED_VALUE"""),"なし")</f>
        <v>なし</v>
      </c>
      <c r="O62" s="6" t="str">
        <f aca="false">IFERROR(__xludf.dummyfunction("""COMPUTED_VALUE"""),"必要")</f>
        <v>必要</v>
      </c>
      <c r="P62" s="6" t="str">
        <f aca="false">IFERROR(__xludf.dummyfunction("""COMPUTED_VALUE"""),"スペーシア")</f>
        <v>スペーシア</v>
      </c>
      <c r="Q62" s="6" t="str">
        <f aca="false">IFERROR(__xludf.dummyfunction("""COMPUTED_VALUE"""),"そ45-31")</f>
        <v>そ45-31</v>
      </c>
      <c r="R62" s="6" t="str">
        <f aca="false">IFERROR(__xludf.dummyfunction("""COMPUTED_VALUE"""),"白")</f>
        <v>白</v>
      </c>
      <c r="S62" s="6" t="str">
        <f aca="false">IFERROR(__xludf.dummyfunction("""COMPUTED_VALUE"""),"家具家電なし社宅")</f>
        <v>家具家電なし社宅</v>
      </c>
      <c r="T62" s="6" t="str">
        <f aca="false">IFERROR(__xludf.dummyfunction("""COMPUTED_VALUE"""),"利用しない")</f>
        <v>利用しない</v>
      </c>
      <c r="U62" s="6"/>
      <c r="V62" s="6" t="str">
        <f aca="false">IFERROR(__xludf.dummyfunction("""COMPUTED_VALUE"""),"自動車, 電車, 備考：出張(直行直帰)が多いため電車利用は必須、社宅により通勤方法が変更する可能性あり")</f>
        <v>自動車, 電車, 備考：出張(直行直帰)が多いため電車利用は必須、社宅により通勤方法が変更する可能性あり</v>
      </c>
      <c r="W62" s="6"/>
      <c r="X62" s="6" t="str">
        <f aca="false">IFERROR(__xludf.dummyfunction("""COMPUTED_VALUE"""),"株式会社ビーネックステクノロジーズの社宅")</f>
        <v>株式会社ビーネックステクノロジーズの社宅</v>
      </c>
      <c r="Y62" s="6" t="str">
        <f aca="false">IFERROR(__xludf.dummyfunction("""COMPUTED_VALUE"""),"利用なし")</f>
        <v>利用なし</v>
      </c>
      <c r="Z62" s="6" t="str">
        <f aca="false">IFERROR(__xludf.dummyfunction("""COMPUTED_VALUE"""),"希望する")</f>
        <v>希望する</v>
      </c>
      <c r="AA62" s="6" t="str">
        <f aca="false">IFERROR(__xludf.dummyfunction("""COMPUTED_VALUE"""),"単身")</f>
        <v>単身</v>
      </c>
      <c r="AB62" s="6"/>
      <c r="AC62" s="6"/>
      <c r="AD62" s="6" t="str">
        <f aca="false">IFERROR(__xludf.dummyfunction("""COMPUTED_VALUE"""),"希望順：バス・トイレ別、エアコン付、インターネット無料(または即利用可能)、マンション、独立洗面台")</f>
        <v>希望順：バス・トイレ別、エアコン付、インターネット無料(または即利用可能)、マンション、独立洗面台</v>
      </c>
      <c r="AE62" s="6" t="str">
        <f aca="false">IFERROR(__xludf.dummyfunction("""COMPUTED_VALUE"""),"確認しました。")</f>
        <v>確認しました。</v>
      </c>
      <c r="AF62" s="6" t="str">
        <f aca="false">IFERROR(__xludf.dummyfunction("""COMPUTED_VALUE"""),"社宅基準の内容について確認しました")</f>
        <v>社宅基準の内容について確認しました</v>
      </c>
      <c r="AG62" s="6" t="str">
        <f aca="false">IFERROR(__xludf.dummyfunction("""COMPUTED_VALUE"""),"入居のしおりの内容についてご確認しました")</f>
        <v>入居のしおりの内容についてご確認しました</v>
      </c>
      <c r="AH62" s="6" t="str">
        <f aca="false">IFERROR(__xludf.dummyfunction("""COMPUTED_VALUE"""),"確認しました")</f>
        <v>確認しました</v>
      </c>
      <c r="AI62" s="6"/>
      <c r="AJ62" s="6" t="str">
        <v/>
      </c>
      <c r="AK62" s="6" t="str">
        <v/>
      </c>
      <c r="AL62" s="6" t="str">
        <v/>
      </c>
      <c r="AM62" s="6" t="str">
        <v/>
      </c>
      <c r="AN62" s="6" t="n">
        <f aca="false">FALSE()</f>
        <v>0</v>
      </c>
    </row>
    <row r="63" customFormat="false" ht="52.5" hidden="false" customHeight="true" outlineLevel="0" collapsed="false">
      <c r="A63" s="6" t="str">
        <f aca="false">IFERROR(__xludf.dummyfunction("""COMPUTED_VALUE"""),"2026/02/08 21:55:34")</f>
        <v>2026/02/08 21:55:34</v>
      </c>
      <c r="B63" s="6"/>
      <c r="C63" s="6" t="str">
        <f aca="false">IFERROR(__xludf.dummyfunction("""COMPUTED_VALUE"""),"69707")</f>
        <v>69707</v>
      </c>
      <c r="D63" s="6"/>
      <c r="E63" s="6"/>
      <c r="F63" s="6"/>
      <c r="G63" s="6" t="str">
        <f aca="false">IFERROR(__xludf.dummyfunction("""COMPUTED_VALUE"""),"2026/02/21")</f>
        <v>2026/02/21</v>
      </c>
      <c r="H63" s="6" t="str">
        <f aca="false">IFERROR(__xludf.dummyfunction("""COMPUTED_VALUE"""),"必要")</f>
        <v>必要</v>
      </c>
      <c r="I63" s="6" t="str">
        <f aca="false">IFERROR(__xludf.dummyfunction("""COMPUTED_VALUE"""),"男性")</f>
        <v>男性</v>
      </c>
      <c r="J63" s="6" t="str">
        <f aca="false">IFERROR(__xludf.dummyfunction("""COMPUTED_VALUE"""),"日本")</f>
        <v>日本</v>
      </c>
      <c r="K63" s="6" t="str">
        <f aca="false">IFERROR(__xludf.dummyfunction("""COMPUTED_VALUE"""),"8")</f>
        <v>8</v>
      </c>
      <c r="L63" s="6" t="str">
        <f aca="false">IFERROR(__xludf.dummyfunction("""COMPUTED_VALUE"""),"扇風機、ファンヒーター、電気ケトル、炊飯器などなど")</f>
        <v>扇風機、ファンヒーター、電気ケトル、炊飯器などなど</v>
      </c>
      <c r="M63" s="6" t="str">
        <f aca="false">IFERROR(__xludf.dummyfunction("""COMPUTED_VALUE"""),"机　90×60×32
棚　88×29×41.5など")</f>
        <v>机　90×60×32
棚　88×29×41.5など</v>
      </c>
      <c r="N63" s="6" t="str">
        <f aca="false">IFERROR(__xludf.dummyfunction("""COMPUTED_VALUE"""),"ロードバイク、サバゲーの銃")</f>
        <v>ロードバイク、サバゲーの銃</v>
      </c>
      <c r="O63" s="6" t="str">
        <f aca="false">IFERROR(__xludf.dummyfunction("""COMPUTED_VALUE"""),"不要")</f>
        <v>不要</v>
      </c>
      <c r="P63" s="6"/>
      <c r="Q63" s="6"/>
      <c r="R63" s="6"/>
      <c r="S63" s="6" t="str">
        <f aca="false">IFERROR(__xludf.dummyfunction("""COMPUTED_VALUE"""),"家具家電付き社宅")</f>
        <v>家具家電付き社宅</v>
      </c>
      <c r="T63" s="6" t="str">
        <f aca="false">IFERROR(__xludf.dummyfunction("""COMPUTED_VALUE"""),"利用しない")</f>
        <v>利用しない</v>
      </c>
      <c r="U63" s="6"/>
      <c r="V63" s="6" t="str">
        <f aca="false">IFERROR(__xludf.dummyfunction("""COMPUTED_VALUE"""),"徒歩, 自転車, 電車, バス")</f>
        <v>徒歩, 自転車, 電車, バス</v>
      </c>
      <c r="W63" s="6"/>
      <c r="X63" s="6" t="str">
        <f aca="false">IFERROR(__xludf.dummyfunction("""COMPUTED_VALUE"""),"実家")</f>
        <v>実家</v>
      </c>
      <c r="Y63" s="6"/>
      <c r="Z63" s="6" t="str">
        <f aca="false">IFERROR(__xludf.dummyfunction("""COMPUTED_VALUE"""),"希望する")</f>
        <v>希望する</v>
      </c>
      <c r="AA63" s="6" t="str">
        <f aca="false">IFERROR(__xludf.dummyfunction("""COMPUTED_VALUE"""),"単身")</f>
        <v>単身</v>
      </c>
      <c r="AB63" s="6"/>
      <c r="AC63" s="6"/>
      <c r="AD63" s="6" t="str">
        <f aca="false">IFERROR(__xludf.dummyfunction("""COMPUTED_VALUE"""),"178cmでも足を伸ばせる大きめのお風呂がいいです
ロードバイクを家の中に入れても大丈夫な物件、入れやすい物件がいいです
普段のロードバイクで買い物に行ける立地だと嬉しいです")</f>
        <v>178cmでも足を伸ばせる大きめのお風呂がいいです
ロードバイクを家の中に入れても大丈夫な物件、入れやすい物件がいいです
普段のロードバイクで買い物に行ける立地だと嬉しいです</v>
      </c>
      <c r="AE63" s="6" t="str">
        <f aca="false">IFERROR(__xludf.dummyfunction("""COMPUTED_VALUE"""),"確認しました。")</f>
        <v>確認しました。</v>
      </c>
      <c r="AF63" s="6" t="str">
        <f aca="false">IFERROR(__xludf.dummyfunction("""COMPUTED_VALUE"""),"社宅基準の内容について確認しました")</f>
        <v>社宅基準の内容について確認しました</v>
      </c>
      <c r="AG63" s="6" t="str">
        <f aca="false">IFERROR(__xludf.dummyfunction("""COMPUTED_VALUE"""),"入居のしおりの内容についてご確認しました")</f>
        <v>入居のしおりの内容についてご確認しました</v>
      </c>
      <c r="AH63" s="6" t="str">
        <f aca="false">IFERROR(__xludf.dummyfunction("""COMPUTED_VALUE"""),"確認しました")</f>
        <v>確認しました</v>
      </c>
      <c r="AI63" s="6"/>
      <c r="AJ63" s="6" t="str">
        <v/>
      </c>
      <c r="AK63" s="6" t="str">
        <v/>
      </c>
      <c r="AL63" s="6" t="str">
        <v/>
      </c>
      <c r="AM63" s="6" t="str">
        <v/>
      </c>
      <c r="AN63" s="6" t="n">
        <f aca="false">TRUE()</f>
        <v>1</v>
      </c>
    </row>
    <row r="64" customFormat="false" ht="52.5" hidden="false" customHeight="true" outlineLevel="0" collapsed="false">
      <c r="A64" s="6" t="str">
        <f aca="false">IFERROR(__xludf.dummyfunction("""COMPUTED_VALUE"""),"2026/02/09 5:54:39")</f>
        <v>2026/02/09 5:54:39</v>
      </c>
      <c r="B64" s="6"/>
      <c r="C64" s="6" t="str">
        <f aca="false">IFERROR(__xludf.dummyfunction("""COMPUTED_VALUE"""),"69655")</f>
        <v>69655</v>
      </c>
      <c r="D64" s="6"/>
      <c r="E64" s="6"/>
      <c r="F64" s="6"/>
      <c r="G64" s="6" t="str">
        <f aca="false">IFERROR(__xludf.dummyfunction("""COMPUTED_VALUE"""),"2026/02/20")</f>
        <v>2026/02/20</v>
      </c>
      <c r="H64" s="6" t="str">
        <f aca="false">IFERROR(__xludf.dummyfunction("""COMPUTED_VALUE"""),"必要")</f>
        <v>必要</v>
      </c>
      <c r="I64" s="6" t="str">
        <f aca="false">IFERROR(__xludf.dummyfunction("""COMPUTED_VALUE"""),"男性")</f>
        <v>男性</v>
      </c>
      <c r="J64" s="6" t="str">
        <f aca="false">IFERROR(__xludf.dummyfunction("""COMPUTED_VALUE"""),"日本")</f>
        <v>日本</v>
      </c>
      <c r="K64" s="6" t="str">
        <f aca="false">IFERROR(__xludf.dummyfunction("""COMPUTED_VALUE"""),"7")</f>
        <v>7</v>
      </c>
      <c r="L64" s="6" t="str">
        <f aca="false">IFERROR(__xludf.dummyfunction("""COMPUTED_VALUE"""),"なし")</f>
        <v>なし</v>
      </c>
      <c r="M64" s="6" t="str">
        <f aca="false">IFERROR(__xludf.dummyfunction("""COMPUTED_VALUE"""),"なし")</f>
        <v>なし</v>
      </c>
      <c r="N64" s="6" t="str">
        <f aca="false">IFERROR(__xludf.dummyfunction("""COMPUTED_VALUE"""),"PCと、その他周辺機器")</f>
        <v>PCと、その他周辺機器</v>
      </c>
      <c r="O64" s="6" t="str">
        <f aca="false">IFERROR(__xludf.dummyfunction("""COMPUTED_VALUE"""),"不要")</f>
        <v>不要</v>
      </c>
      <c r="P64" s="6"/>
      <c r="Q64" s="6"/>
      <c r="R64" s="6"/>
      <c r="S64" s="6" t="str">
        <f aca="false">IFERROR(__xludf.dummyfunction("""COMPUTED_VALUE"""),"家具家電付き社宅")</f>
        <v>家具家電付き社宅</v>
      </c>
      <c r="T64" s="6" t="str">
        <f aca="false">IFERROR(__xludf.dummyfunction("""COMPUTED_VALUE"""),"利用しない")</f>
        <v>利用しない</v>
      </c>
      <c r="U64" s="6"/>
      <c r="V64" s="6" t="str">
        <f aca="false">IFERROR(__xludf.dummyfunction("""COMPUTED_VALUE"""),"徒歩, 電車")</f>
        <v>徒歩, 電車</v>
      </c>
      <c r="W64" s="6"/>
      <c r="X64" s="6" t="str">
        <f aca="false">IFERROR(__xludf.dummyfunction("""COMPUTED_VALUE"""),"実家")</f>
        <v>実家</v>
      </c>
      <c r="Y64" s="6"/>
      <c r="Z64" s="6" t="str">
        <f aca="false">IFERROR(__xludf.dummyfunction("""COMPUTED_VALUE"""),"希望する")</f>
        <v>希望する</v>
      </c>
      <c r="AA64" s="6" t="str">
        <f aca="false">IFERROR(__xludf.dummyfunction("""COMPUTED_VALUE"""),"単身")</f>
        <v>単身</v>
      </c>
      <c r="AB64" s="6"/>
      <c r="AC64" s="6"/>
      <c r="AD64" s="6" t="str">
        <f aca="false">IFERROR(__xludf.dummyfunction("""COMPUTED_VALUE"""),"物件をいくつか見せていただきじっくりと考えたいです")</f>
        <v>物件をいくつか見せていただきじっくりと考えたいです</v>
      </c>
      <c r="AE64" s="6" t="str">
        <f aca="false">IFERROR(__xludf.dummyfunction("""COMPUTED_VALUE"""),"確認しました。")</f>
        <v>確認しました。</v>
      </c>
      <c r="AF64" s="6" t="str">
        <f aca="false">IFERROR(__xludf.dummyfunction("""COMPUTED_VALUE"""),"社宅基準の内容について確認しました")</f>
        <v>社宅基準の内容について確認しました</v>
      </c>
      <c r="AG64" s="6" t="str">
        <f aca="false">IFERROR(__xludf.dummyfunction("""COMPUTED_VALUE"""),"入居のしおりの内容についてご確認しました")</f>
        <v>入居のしおりの内容についてご確認しました</v>
      </c>
      <c r="AH64" s="6" t="str">
        <f aca="false">IFERROR(__xludf.dummyfunction("""COMPUTED_VALUE"""),"確認しました")</f>
        <v>確認しました</v>
      </c>
      <c r="AI64" s="6"/>
      <c r="AJ64" s="6" t="str">
        <v/>
      </c>
      <c r="AK64" s="6" t="str">
        <v/>
      </c>
      <c r="AL64" s="6" t="str">
        <v/>
      </c>
      <c r="AM64" s="6" t="str">
        <v/>
      </c>
      <c r="AN64" s="6" t="n">
        <f aca="false">TRUE()</f>
        <v>1</v>
      </c>
    </row>
    <row r="65" customFormat="false" ht="52.5" hidden="false" customHeight="true" outlineLevel="0" collapsed="false">
      <c r="A65" s="6" t="str">
        <f aca="false">IFERROR(__xludf.dummyfunction("""COMPUTED_VALUE"""),"2026/02/09 8:12:56")</f>
        <v>2026/02/09 8:12:56</v>
      </c>
      <c r="B65" s="6"/>
      <c r="C65" s="6" t="str">
        <f aca="false">IFERROR(__xludf.dummyfunction("""COMPUTED_VALUE"""),"69665")</f>
        <v>69665</v>
      </c>
      <c r="D65" s="6"/>
      <c r="E65" s="6"/>
      <c r="F65" s="6"/>
      <c r="G65" s="6" t="str">
        <f aca="false">IFERROR(__xludf.dummyfunction("""COMPUTED_VALUE"""),"2026/02/21")</f>
        <v>2026/02/21</v>
      </c>
      <c r="H65" s="6" t="str">
        <f aca="false">IFERROR(__xludf.dummyfunction("""COMPUTED_VALUE"""),"必要")</f>
        <v>必要</v>
      </c>
      <c r="I65" s="6" t="str">
        <f aca="false">IFERROR(__xludf.dummyfunction("""COMPUTED_VALUE"""),"男性")</f>
        <v>男性</v>
      </c>
      <c r="J65" s="6" t="str">
        <f aca="false">IFERROR(__xludf.dummyfunction("""COMPUTED_VALUE"""),"日本")</f>
        <v>日本</v>
      </c>
      <c r="K65" s="6" t="str">
        <f aca="false">IFERROR(__xludf.dummyfunction("""COMPUTED_VALUE"""),"8")</f>
        <v>8</v>
      </c>
      <c r="L65" s="6" t="str">
        <f aca="false">IFERROR(__xludf.dummyfunction("""COMPUTED_VALUE"""),"単身用冷蔵庫、縦型洗濯機、炊飯器、電子レンジ、ポット")</f>
        <v>単身用冷蔵庫、縦型洗濯機、炊飯器、電子レンジ、ポット</v>
      </c>
      <c r="M65" s="6" t="str">
        <f aca="false">IFERROR(__xludf.dummyfunction("""COMPUTED_VALUE"""),"シングルベッド、タンス(54・40・63)、キャスター付タンス(31・35・66)、キャスター付ラック(50・40・92)")</f>
        <v>シングルベッド、タンス(54・40・63)、キャスター付タンス(31・35・66)、キャスター付ラック(50・40・92)</v>
      </c>
      <c r="N65" s="6" t="str">
        <f aca="false">IFERROR(__xludf.dummyfunction("""COMPUTED_VALUE"""),"自転車")</f>
        <v>自転車</v>
      </c>
      <c r="O65" s="6" t="str">
        <f aca="false">IFERROR(__xludf.dummyfunction("""COMPUTED_VALUE"""),"不要")</f>
        <v>不要</v>
      </c>
      <c r="P65" s="6"/>
      <c r="Q65" s="6"/>
      <c r="R65" s="6"/>
      <c r="S65" s="6" t="str">
        <f aca="false">IFERROR(__xludf.dummyfunction("""COMPUTED_VALUE"""),"家具家電なし社宅")</f>
        <v>家具家電なし社宅</v>
      </c>
      <c r="T65" s="6" t="str">
        <f aca="false">IFERROR(__xludf.dummyfunction("""COMPUTED_VALUE"""),"利用しない")</f>
        <v>利用しない</v>
      </c>
      <c r="U65" s="6"/>
      <c r="V65" s="6" t="str">
        <f aca="false">IFERROR(__xludf.dummyfunction("""COMPUTED_VALUE"""),"徒歩, 電車")</f>
        <v>徒歩, 電車</v>
      </c>
      <c r="W65" s="6"/>
      <c r="X65" s="6" t="str">
        <f aca="false">IFERROR(__xludf.dummyfunction("""COMPUTED_VALUE"""),"株式会社ビーネックステクノロジーズの社宅")</f>
        <v>株式会社ビーネックステクノロジーズの社宅</v>
      </c>
      <c r="Y65" s="6" t="str">
        <f aca="false">IFERROR(__xludf.dummyfunction("""COMPUTED_VALUE"""),"利用なし")</f>
        <v>利用なし</v>
      </c>
      <c r="Z65" s="6" t="str">
        <f aca="false">IFERROR(__xludf.dummyfunction("""COMPUTED_VALUE"""),"希望する")</f>
        <v>希望する</v>
      </c>
      <c r="AA65" s="6" t="str">
        <f aca="false">IFERROR(__xludf.dummyfunction("""COMPUTED_VALUE"""),"単身")</f>
        <v>単身</v>
      </c>
      <c r="AB65" s="6"/>
      <c r="AC65" s="6"/>
      <c r="AD65" s="6"/>
      <c r="AE65" s="6" t="str">
        <f aca="false">IFERROR(__xludf.dummyfunction("""COMPUTED_VALUE"""),"確認しました。")</f>
        <v>確認しました。</v>
      </c>
      <c r="AF65" s="6" t="str">
        <f aca="false">IFERROR(__xludf.dummyfunction("""COMPUTED_VALUE"""),"社宅基準の内容について確認しました")</f>
        <v>社宅基準の内容について確認しました</v>
      </c>
      <c r="AG65" s="6" t="str">
        <f aca="false">IFERROR(__xludf.dummyfunction("""COMPUTED_VALUE"""),"入居のしおりの内容についてご確認しました")</f>
        <v>入居のしおりの内容についてご確認しました</v>
      </c>
      <c r="AH65" s="6" t="str">
        <f aca="false">IFERROR(__xludf.dummyfunction("""COMPUTED_VALUE"""),"確認しました")</f>
        <v>確認しました</v>
      </c>
      <c r="AI65" s="6"/>
      <c r="AJ65" s="6" t="str">
        <v/>
      </c>
      <c r="AK65" s="6" t="str">
        <v/>
      </c>
      <c r="AL65" s="6" t="str">
        <v/>
      </c>
      <c r="AM65" s="6" t="str">
        <v/>
      </c>
      <c r="AN65" s="6" t="n">
        <f aca="false">FALSE()</f>
        <v>0</v>
      </c>
    </row>
    <row r="66" customFormat="false" ht="52.5" hidden="false" customHeight="true" outlineLevel="0" collapsed="false">
      <c r="A66" s="6" t="str">
        <f aca="false">IFERROR(__xludf.dummyfunction("""COMPUTED_VALUE"""),"2026/02/09 11:28:36")</f>
        <v>2026/02/09 11:28:36</v>
      </c>
      <c r="B66" s="6"/>
      <c r="C66" s="6" t="str">
        <f aca="false">IFERROR(__xludf.dummyfunction("""COMPUTED_VALUE"""),"69668")</f>
        <v>69668</v>
      </c>
      <c r="D66" s="6"/>
      <c r="E66" s="6"/>
      <c r="F66" s="6"/>
      <c r="G66" s="6" t="str">
        <f aca="false">IFERROR(__xludf.dummyfunction("""COMPUTED_VALUE"""),"2026/03/14")</f>
        <v>2026/03/14</v>
      </c>
      <c r="H66" s="6" t="str">
        <f aca="false">IFERROR(__xludf.dummyfunction("""COMPUTED_VALUE"""),"不要")</f>
        <v>不要</v>
      </c>
      <c r="I66" s="6" t="str">
        <f aca="false">IFERROR(__xludf.dummyfunction("""COMPUTED_VALUE"""),"女性")</f>
        <v>女性</v>
      </c>
      <c r="J66" s="6" t="str">
        <f aca="false">IFERROR(__xludf.dummyfunction("""COMPUTED_VALUE"""),"日本")</f>
        <v>日本</v>
      </c>
      <c r="K66" s="6"/>
      <c r="L66" s="6"/>
      <c r="M66" s="6"/>
      <c r="N66" s="6"/>
      <c r="O66" s="6" t="str">
        <f aca="false">IFERROR(__xludf.dummyfunction("""COMPUTED_VALUE"""),"不要")</f>
        <v>不要</v>
      </c>
      <c r="P66" s="6"/>
      <c r="Q66" s="6"/>
      <c r="R66" s="6"/>
      <c r="S66" s="6" t="str">
        <f aca="false">IFERROR(__xludf.dummyfunction("""COMPUTED_VALUE"""),"家具家電付き社宅")</f>
        <v>家具家電付き社宅</v>
      </c>
      <c r="T66" s="6" t="str">
        <f aca="false">IFERROR(__xludf.dummyfunction("""COMPUTED_VALUE"""),"利用しない")</f>
        <v>利用しない</v>
      </c>
      <c r="U66" s="6"/>
      <c r="V66" s="6" t="str">
        <f aca="false">IFERROR(__xludf.dummyfunction("""COMPUTED_VALUE"""),"自転車, 社用バス")</f>
        <v>自転車, 社用バス</v>
      </c>
      <c r="W66" s="6"/>
      <c r="X66" s="6" t="str">
        <f aca="false">IFERROR(__xludf.dummyfunction("""COMPUTED_VALUE"""),"実家")</f>
        <v>実家</v>
      </c>
      <c r="Y66" s="6"/>
      <c r="Z66" s="6" t="str">
        <f aca="false">IFERROR(__xludf.dummyfunction("""COMPUTED_VALUE"""),"希望する")</f>
        <v>希望する</v>
      </c>
      <c r="AA66" s="6" t="str">
        <f aca="false">IFERROR(__xludf.dummyfunction("""COMPUTED_VALUE"""),"単身")</f>
        <v>単身</v>
      </c>
      <c r="AB66" s="6"/>
      <c r="AC66" s="6"/>
      <c r="AD66" s="6"/>
      <c r="AE66" s="6" t="str">
        <f aca="false">IFERROR(__xludf.dummyfunction("""COMPUTED_VALUE"""),"確認しました。")</f>
        <v>確認しました。</v>
      </c>
      <c r="AF66" s="6" t="str">
        <f aca="false">IFERROR(__xludf.dummyfunction("""COMPUTED_VALUE"""),"社宅基準の内容について確認しました")</f>
        <v>社宅基準の内容について確認しました</v>
      </c>
      <c r="AG66" s="6" t="str">
        <f aca="false">IFERROR(__xludf.dummyfunction("""COMPUTED_VALUE"""),"入居のしおりの内容についてご確認しました")</f>
        <v>入居のしおりの内容についてご確認しました</v>
      </c>
      <c r="AH66" s="6" t="str">
        <f aca="false">IFERROR(__xludf.dummyfunction("""COMPUTED_VALUE"""),"確認しました")</f>
        <v>確認しました</v>
      </c>
      <c r="AI66" s="6"/>
      <c r="AJ66" s="6" t="str">
        <v/>
      </c>
      <c r="AK66" s="6" t="str">
        <v/>
      </c>
      <c r="AL66" s="6" t="str">
        <v/>
      </c>
      <c r="AM66" s="6" t="str">
        <v/>
      </c>
      <c r="AN66" s="6" t="n">
        <f aca="false">FALSE()</f>
        <v>0</v>
      </c>
    </row>
    <row r="67" customFormat="false" ht="52.5" hidden="false" customHeight="true" outlineLevel="0" collapsed="false">
      <c r="A67" s="6" t="str">
        <f aca="false">IFERROR(__xludf.dummyfunction("""COMPUTED_VALUE"""),"2026/02/09 13:34:37")</f>
        <v>2026/02/09 13:34:37</v>
      </c>
      <c r="B67" s="6"/>
      <c r="C67" s="6" t="str">
        <f aca="false">IFERROR(__xludf.dummyfunction("""COMPUTED_VALUE"""),"69727")</f>
        <v>69727</v>
      </c>
      <c r="D67" s="6"/>
      <c r="E67" s="6"/>
      <c r="F67" s="6"/>
      <c r="G67" s="6" t="str">
        <f aca="false">IFERROR(__xludf.dummyfunction("""COMPUTED_VALUE"""),"2026/03/12")</f>
        <v>2026/03/12</v>
      </c>
      <c r="H67" s="6" t="str">
        <f aca="false">IFERROR(__xludf.dummyfunction("""COMPUTED_VALUE"""),"不要")</f>
        <v>不要</v>
      </c>
      <c r="I67" s="6" t="str">
        <f aca="false">IFERROR(__xludf.dummyfunction("""COMPUTED_VALUE"""),"女性")</f>
        <v>女性</v>
      </c>
      <c r="J67" s="6" t="str">
        <f aca="false">IFERROR(__xludf.dummyfunction("""COMPUTED_VALUE"""),"日本")</f>
        <v>日本</v>
      </c>
      <c r="K67" s="6"/>
      <c r="L67" s="6"/>
      <c r="M67" s="6"/>
      <c r="N67" s="6"/>
      <c r="O67" s="6" t="str">
        <f aca="false">IFERROR(__xludf.dummyfunction("""COMPUTED_VALUE"""),"不要")</f>
        <v>不要</v>
      </c>
      <c r="P67" s="6"/>
      <c r="Q67" s="6"/>
      <c r="R67" s="6"/>
      <c r="S67" s="6" t="str">
        <f aca="false">IFERROR(__xludf.dummyfunction("""COMPUTED_VALUE"""),"家具家電なし社宅")</f>
        <v>家具家電なし社宅</v>
      </c>
      <c r="T67" s="6" t="str">
        <f aca="false">IFERROR(__xludf.dummyfunction("""COMPUTED_VALUE"""),"利用しない")</f>
        <v>利用しない</v>
      </c>
      <c r="U67" s="6"/>
      <c r="V67" s="6" t="str">
        <f aca="false">IFERROR(__xludf.dummyfunction("""COMPUTED_VALUE"""),"徒歩")</f>
        <v>徒歩</v>
      </c>
      <c r="W67" s="6"/>
      <c r="X67" s="6" t="str">
        <f aca="false">IFERROR(__xludf.dummyfunction("""COMPUTED_VALUE"""),"実家")</f>
        <v>実家</v>
      </c>
      <c r="Y67" s="6"/>
      <c r="Z67" s="6" t="str">
        <f aca="false">IFERROR(__xludf.dummyfunction("""COMPUTED_VALUE"""),"希望しない")</f>
        <v>希望しない</v>
      </c>
      <c r="AA67" s="6" t="str">
        <f aca="false">IFERROR(__xludf.dummyfunction("""COMPUTED_VALUE"""),"単身")</f>
        <v>単身</v>
      </c>
      <c r="AB67" s="6"/>
      <c r="AC67" s="6"/>
      <c r="AD67" s="6" t="str">
        <f aca="false">IFERROR(__xludf.dummyfunction("""COMPUTED_VALUE"""),"新横浜駅徒歩圏内を希望します。
ユニットバスは避けたいです。
鉄筋造の物件を希望します。
モニター付きインターホンを希望します。")</f>
        <v>新横浜駅徒歩圏内を希望します。
ユニットバスは避けたいです。
鉄筋造の物件を希望します。
モニター付きインターホンを希望します。</v>
      </c>
      <c r="AE67" s="6" t="str">
        <f aca="false">IFERROR(__xludf.dummyfunction("""COMPUTED_VALUE"""),"確認しました。")</f>
        <v>確認しました。</v>
      </c>
      <c r="AF67" s="6" t="str">
        <f aca="false">IFERROR(__xludf.dummyfunction("""COMPUTED_VALUE"""),"社宅基準の内容について確認しました")</f>
        <v>社宅基準の内容について確認しました</v>
      </c>
      <c r="AG67" s="6" t="str">
        <f aca="false">IFERROR(__xludf.dummyfunction("""COMPUTED_VALUE"""),"入居のしおりの内容についてご確認しました")</f>
        <v>入居のしおりの内容についてご確認しました</v>
      </c>
      <c r="AH67" s="6" t="str">
        <f aca="false">IFERROR(__xludf.dummyfunction("""COMPUTED_VALUE"""),"確認しました")</f>
        <v>確認しました</v>
      </c>
      <c r="AI67" s="6"/>
      <c r="AJ67" s="6" t="str">
        <v/>
      </c>
      <c r="AK67" s="6" t="str">
        <v/>
      </c>
      <c r="AL67" s="6" t="str">
        <v/>
      </c>
      <c r="AM67" s="6" t="str">
        <v/>
      </c>
      <c r="AN67" s="6" t="n">
        <f aca="false">TRUE()</f>
        <v>1</v>
      </c>
    </row>
    <row r="68" customFormat="false" ht="52.5" hidden="false" customHeight="true" outlineLevel="0" collapsed="false">
      <c r="A68" s="6" t="str">
        <f aca="false">IFERROR(__xludf.dummyfunction("""COMPUTED_VALUE"""),"2026/02/09 18:15:46")</f>
        <v>2026/02/09 18:15:46</v>
      </c>
      <c r="B68" s="6"/>
      <c r="C68" s="6" t="str">
        <f aca="false">IFERROR(__xludf.dummyfunction("""COMPUTED_VALUE"""),"69752")</f>
        <v>69752</v>
      </c>
      <c r="D68" s="6"/>
      <c r="E68" s="6"/>
      <c r="F68" s="6"/>
      <c r="G68" s="6" t="str">
        <f aca="false">IFERROR(__xludf.dummyfunction("""COMPUTED_VALUE"""),"2026/02/25")</f>
        <v>2026/02/25</v>
      </c>
      <c r="H68" s="6" t="str">
        <f aca="false">IFERROR(__xludf.dummyfunction("""COMPUTED_VALUE"""),"必要")</f>
        <v>必要</v>
      </c>
      <c r="I68" s="6" t="str">
        <f aca="false">IFERROR(__xludf.dummyfunction("""COMPUTED_VALUE"""),"男性")</f>
        <v>男性</v>
      </c>
      <c r="J68" s="6" t="str">
        <f aca="false">IFERROR(__xludf.dummyfunction("""COMPUTED_VALUE"""),"日本")</f>
        <v>日本</v>
      </c>
      <c r="K68" s="6" t="str">
        <f aca="false">IFERROR(__xludf.dummyfunction("""COMPUTED_VALUE"""),"6")</f>
        <v>6</v>
      </c>
      <c r="L68" s="6" t="str">
        <f aca="false">IFERROR(__xludf.dummyfunction("""COMPUTED_VALUE"""),"洗濯機（7kg量）、炊飯器、電子レンジ、お湯沸かし器")</f>
        <v>洗濯機（7kg量）、炊飯器、電子レンジ、お湯沸かし器</v>
      </c>
      <c r="M68" s="6" t="str">
        <f aca="false">IFERROR(__xludf.dummyfunction("""COMPUTED_VALUE"""),"シングルベッド（横2.2m、奥行1.1m、高0.3m）
天井突っ張りハンガーラック（高2.2m、横1.8m、奥行1m）
テーブル（高0.8m、横1.2m、奥行0.6m）
オフィスチェア（高01.1m、横0.7m、奥行0.7m）
キッチンワゴン（高0.9m、横0.2m、奥行0.5m）")</f>
        <v>シングルベッド（横2.2m、奥行1.1m、高0.3m）
天井突っ張りハンガーラック（高2.2m、横1.8m、奥行1m）
テーブル（高0.8m、横1.2m、奥行0.6m）
オフィスチェア（高01.1m、横0.7m、奥行0.7m）
キッチンワゴン（高0.9m、横0.2m、奥行0.5m）</v>
      </c>
      <c r="N68" s="6"/>
      <c r="O68" s="6" t="str">
        <f aca="false">IFERROR(__xludf.dummyfunction("""COMPUTED_VALUE"""),"不要")</f>
        <v>不要</v>
      </c>
      <c r="P68" s="6"/>
      <c r="Q68" s="6"/>
      <c r="R68" s="6"/>
      <c r="S68" s="6" t="str">
        <f aca="false">IFERROR(__xludf.dummyfunction("""COMPUTED_VALUE"""),"家具家電なし社宅")</f>
        <v>家具家電なし社宅</v>
      </c>
      <c r="T68" s="6" t="str">
        <f aca="false">IFERROR(__xludf.dummyfunction("""COMPUTED_VALUE"""),"利用しない")</f>
        <v>利用しない</v>
      </c>
      <c r="U68" s="6"/>
      <c r="V68" s="6" t="str">
        <f aca="false">IFERROR(__xludf.dummyfunction("""COMPUTED_VALUE"""),"電車")</f>
        <v>電車</v>
      </c>
      <c r="W68" s="6"/>
      <c r="X68" s="6" t="str">
        <f aca="false">IFERROR(__xludf.dummyfunction("""COMPUTED_VALUE"""),"ご自身で契約中の物件")</f>
        <v>ご自身で契約中の物件</v>
      </c>
      <c r="Y68" s="6"/>
      <c r="Z68" s="6" t="str">
        <f aca="false">IFERROR(__xludf.dummyfunction("""COMPUTED_VALUE"""),"希望する")</f>
        <v>希望する</v>
      </c>
      <c r="AA68" s="6" t="str">
        <f aca="false">IFERROR(__xludf.dummyfunction("""COMPUTED_VALUE"""),"単身")</f>
        <v>単身</v>
      </c>
      <c r="AB68" s="6"/>
      <c r="AC68" s="6"/>
      <c r="AD68" s="6" t="str">
        <f aca="false">IFERROR(__xludf.dummyfunction("""COMPUTED_VALUE"""),"キッチンと寝室の間に間仕切りドアがあると助かります。
キッチンはIHよりガスのタイプを希望します。
できれば、防音性の高い物件を希望しています。鉄筋コンクリート造のほうが安心です。")</f>
        <v>キッチンと寝室の間に間仕切りドアがあると助かります。
キッチンはIHよりガスのタイプを希望します。
できれば、防音性の高い物件を希望しています。鉄筋コンクリート造のほうが安心です。</v>
      </c>
      <c r="AE68" s="6" t="str">
        <f aca="false">IFERROR(__xludf.dummyfunction("""COMPUTED_VALUE"""),"確認しました。")</f>
        <v>確認しました。</v>
      </c>
      <c r="AF68" s="6" t="str">
        <f aca="false">IFERROR(__xludf.dummyfunction("""COMPUTED_VALUE"""),"社宅基準の内容について確認しました")</f>
        <v>社宅基準の内容について確認しました</v>
      </c>
      <c r="AG68" s="6" t="str">
        <f aca="false">IFERROR(__xludf.dummyfunction("""COMPUTED_VALUE"""),"入居のしおりの内容についてご確認しました")</f>
        <v>入居のしおりの内容についてご確認しました</v>
      </c>
      <c r="AH68" s="6" t="str">
        <f aca="false">IFERROR(__xludf.dummyfunction("""COMPUTED_VALUE"""),"確認しました")</f>
        <v>確認しました</v>
      </c>
      <c r="AI68" s="6"/>
      <c r="AJ68" s="6" t="str">
        <v/>
      </c>
      <c r="AK68" s="6" t="str">
        <v/>
      </c>
      <c r="AL68" s="6" t="str">
        <v/>
      </c>
      <c r="AM68" s="6" t="str">
        <v/>
      </c>
      <c r="AN68" s="6" t="n">
        <f aca="false">FALSE()</f>
        <v>0</v>
      </c>
    </row>
    <row r="69" customFormat="false" ht="52.5" hidden="false" customHeight="true" outlineLevel="0" collapsed="false">
      <c r="A69" s="6" t="str">
        <f aca="false">IFERROR(__xludf.dummyfunction("""COMPUTED_VALUE"""),"2026/02/10 10:51:49")</f>
        <v>2026/02/10 10:51:49</v>
      </c>
      <c r="B69" s="6"/>
      <c r="C69" s="6" t="str">
        <f aca="false">IFERROR(__xludf.dummyfunction("""COMPUTED_VALUE"""),"69770")</f>
        <v>69770</v>
      </c>
      <c r="D69" s="6"/>
      <c r="E69" s="6"/>
      <c r="F69" s="6"/>
      <c r="G69" s="6" t="str">
        <f aca="false">IFERROR(__xludf.dummyfunction("""COMPUTED_VALUE"""),"2026/02/19")</f>
        <v>2026/02/19</v>
      </c>
      <c r="H69" s="6" t="str">
        <f aca="false">IFERROR(__xludf.dummyfunction("""COMPUTED_VALUE"""),"必要")</f>
        <v>必要</v>
      </c>
      <c r="I69" s="6" t="str">
        <f aca="false">IFERROR(__xludf.dummyfunction("""COMPUTED_VALUE"""),"男性")</f>
        <v>男性</v>
      </c>
      <c r="J69" s="6" t="str">
        <f aca="false">IFERROR(__xludf.dummyfunction("""COMPUTED_VALUE"""),"日本")</f>
        <v>日本</v>
      </c>
      <c r="K69" s="6" t="str">
        <f aca="false">IFERROR(__xludf.dummyfunction("""COMPUTED_VALUE"""),"20")</f>
        <v>20</v>
      </c>
      <c r="L69" s="6" t="str">
        <f aca="false">IFERROR(__xludf.dummyfunction("""COMPUTED_VALUE"""),"炊飯器　扇風機2個")</f>
        <v>炊飯器　扇風機2個</v>
      </c>
      <c r="M69" s="6" t="str">
        <f aca="false">IFERROR(__xludf.dummyfunction("""COMPUTED_VALUE"""),"小型机、折りたたみベット")</f>
        <v>小型机、折りたたみベット</v>
      </c>
      <c r="N69" s="6" t="str">
        <f aca="false">IFERROR(__xludf.dummyfunction("""COMPUTED_VALUE"""),"物干し竿2本、収納ケース約5箱、自転車、物干しスタンド、トランクケース")</f>
        <v>物干し竿2本、収納ケース約5箱、自転車、物干しスタンド、トランクケース</v>
      </c>
      <c r="O69" s="6" t="str">
        <f aca="false">IFERROR(__xludf.dummyfunction("""COMPUTED_VALUE"""),"不要")</f>
        <v>不要</v>
      </c>
      <c r="P69" s="6"/>
      <c r="Q69" s="6"/>
      <c r="R69" s="6"/>
      <c r="S69" s="6" t="str">
        <f aca="false">IFERROR(__xludf.dummyfunction("""COMPUTED_VALUE"""),"家具家電付き社宅")</f>
        <v>家具家電付き社宅</v>
      </c>
      <c r="T69" s="6" t="str">
        <f aca="false">IFERROR(__xludf.dummyfunction("""COMPUTED_VALUE"""),"利用しない")</f>
        <v>利用しない</v>
      </c>
      <c r="U69" s="6"/>
      <c r="V69" s="6" t="str">
        <f aca="false">IFERROR(__xludf.dummyfunction("""COMPUTED_VALUE"""),"自転車, 電車")</f>
        <v>自転車, 電車</v>
      </c>
      <c r="W69" s="6"/>
      <c r="X69" s="6" t="str">
        <f aca="false">IFERROR(__xludf.dummyfunction("""COMPUTED_VALUE"""),"株式会社ビーネックステクノロジーズの社宅")</f>
        <v>株式会社ビーネックステクノロジーズの社宅</v>
      </c>
      <c r="Y69" s="6" t="str">
        <f aca="false">IFERROR(__xludf.dummyfunction("""COMPUTED_VALUE"""),"利用なし")</f>
        <v>利用なし</v>
      </c>
      <c r="Z69" s="6" t="str">
        <f aca="false">IFERROR(__xludf.dummyfunction("""COMPUTED_VALUE"""),"希望しない")</f>
        <v>希望しない</v>
      </c>
      <c r="AA69" s="6" t="str">
        <f aca="false">IFERROR(__xludf.dummyfunction("""COMPUTED_VALUE"""),"単身")</f>
        <v>単身</v>
      </c>
      <c r="AB69" s="6"/>
      <c r="AC69" s="6"/>
      <c r="AD69" s="6"/>
      <c r="AE69" s="6" t="str">
        <f aca="false">IFERROR(__xludf.dummyfunction("""COMPUTED_VALUE"""),"確認しました。")</f>
        <v>確認しました。</v>
      </c>
      <c r="AF69" s="6" t="str">
        <f aca="false">IFERROR(__xludf.dummyfunction("""COMPUTED_VALUE"""),"社宅基準の内容について確認しました")</f>
        <v>社宅基準の内容について確認しました</v>
      </c>
      <c r="AG69" s="6" t="str">
        <f aca="false">IFERROR(__xludf.dummyfunction("""COMPUTED_VALUE"""),"入居のしおりの内容についてご確認しました")</f>
        <v>入居のしおりの内容についてご確認しました</v>
      </c>
      <c r="AH69" s="6" t="str">
        <f aca="false">IFERROR(__xludf.dummyfunction("""COMPUTED_VALUE"""),"確認しました")</f>
        <v>確認しました</v>
      </c>
      <c r="AI69" s="6"/>
      <c r="AJ69" s="6" t="str">
        <v/>
      </c>
      <c r="AK69" s="6" t="str">
        <v/>
      </c>
      <c r="AL69" s="6" t="str">
        <v/>
      </c>
      <c r="AM69" s="6" t="str">
        <v/>
      </c>
      <c r="AN69" s="6" t="n">
        <f aca="false">TRUE()</f>
        <v>1</v>
      </c>
    </row>
    <row r="70" customFormat="false" ht="52.5" hidden="false" customHeight="true" outlineLevel="0" collapsed="false">
      <c r="A70" s="6" t="str">
        <f aca="false">IFERROR(__xludf.dummyfunction("""COMPUTED_VALUE"""),"2026/02/10 11:58:33")</f>
        <v>2026/02/10 11:58:33</v>
      </c>
      <c r="B70" s="6"/>
      <c r="C70" s="6" t="str">
        <f aca="false">IFERROR(__xludf.dummyfunction("""COMPUTED_VALUE"""),"69773")</f>
        <v>69773</v>
      </c>
      <c r="D70" s="6"/>
      <c r="E70" s="6"/>
      <c r="F70" s="6"/>
      <c r="G70" s="6" t="str">
        <f aca="false">IFERROR(__xludf.dummyfunction("""COMPUTED_VALUE"""),"2026/02/15")</f>
        <v>2026/02/15</v>
      </c>
      <c r="H70" s="6" t="str">
        <f aca="false">IFERROR(__xludf.dummyfunction("""COMPUTED_VALUE"""),"必要")</f>
        <v>必要</v>
      </c>
      <c r="I70" s="6" t="str">
        <f aca="false">IFERROR(__xludf.dummyfunction("""COMPUTED_VALUE"""),"男性")</f>
        <v>男性</v>
      </c>
      <c r="J70" s="6" t="str">
        <f aca="false">IFERROR(__xludf.dummyfunction("""COMPUTED_VALUE"""),"ブラジル")</f>
        <v>ブラジル</v>
      </c>
      <c r="K70" s="6" t="str">
        <f aca="false">IFERROR(__xludf.dummyfunction("""COMPUTED_VALUE"""),"15")</f>
        <v>15</v>
      </c>
      <c r="L70" s="6" t="str">
        <f aca="false">IFERROR(__xludf.dummyfunction("""COMPUTED_VALUE"""),"デスクトップパソコンとそのモニター")</f>
        <v>デスクトップパソコンとそのモニター</v>
      </c>
      <c r="M70" s="6" t="str">
        <f aca="false">IFERROR(__xludf.dummyfunction("""COMPUTED_VALUE"""),"マットレス、テーブル1台")</f>
        <v>マットレス、テーブル1台</v>
      </c>
      <c r="N70" s="6" t="str">
        <f aca="false">IFERROR(__xludf.dummyfunction("""COMPUTED_VALUE"""),"VR用HMD(精密機器)")</f>
        <v>VR用HMD(精密機器)</v>
      </c>
      <c r="O70" s="6" t="str">
        <f aca="false">IFERROR(__xludf.dummyfunction("""COMPUTED_VALUE"""),"不要")</f>
        <v>不要</v>
      </c>
      <c r="P70" s="6"/>
      <c r="Q70" s="6"/>
      <c r="R70" s="6"/>
      <c r="S70" s="6" t="str">
        <f aca="false">IFERROR(__xludf.dummyfunction("""COMPUTED_VALUE"""),"家具家電付き社宅")</f>
        <v>家具家電付き社宅</v>
      </c>
      <c r="T70" s="6" t="str">
        <f aca="false">IFERROR(__xludf.dummyfunction("""COMPUTED_VALUE"""),"利用する")</f>
        <v>利用する</v>
      </c>
      <c r="U70" s="6" t="str">
        <f aca="false">IFERROR(__xludf.dummyfunction("""COMPUTED_VALUE"""),"冷凍冷蔵庫(2ドア)、ガスコンロ2口(入らないなら一口)、電子レンジ、炊飯器、照明器具、エアコン")</f>
        <v>冷凍冷蔵庫(2ドア)、ガスコンロ2口(入らないなら一口)、電子レンジ、炊飯器、照明器具、エアコン</v>
      </c>
      <c r="V70" s="6" t="str">
        <f aca="false">IFERROR(__xludf.dummyfunction("""COMPUTED_VALUE"""),"徒歩, 自転車, 電車, バス, 社用バス")</f>
        <v>徒歩, 自転車, 電車, バス, 社用バス</v>
      </c>
      <c r="W70" s="6"/>
      <c r="X70" s="6" t="str">
        <f aca="false">IFERROR(__xludf.dummyfunction("""COMPUTED_VALUE"""),"実家")</f>
        <v>実家</v>
      </c>
      <c r="Y70" s="6"/>
      <c r="Z70" s="6" t="str">
        <f aca="false">IFERROR(__xludf.dummyfunction("""COMPUTED_VALUE"""),"希望する")</f>
        <v>希望する</v>
      </c>
      <c r="AA70" s="6" t="str">
        <f aca="false">IFERROR(__xludf.dummyfunction("""COMPUTED_VALUE"""),"単身")</f>
        <v>単身</v>
      </c>
      <c r="AB70" s="6"/>
      <c r="AC70" s="6"/>
      <c r="AD70" s="6" t="str">
        <f aca="false">IFERROR(__xludf.dummyfunction("""COMPUTED_VALUE"""),"できる範囲であれば、鉄筋コンクリートなどの遮音性が高めの物件を希望します。")</f>
        <v>できる範囲であれば、鉄筋コンクリートなどの遮音性が高めの物件を希望します。</v>
      </c>
      <c r="AE70" s="6" t="str">
        <f aca="false">IFERROR(__xludf.dummyfunction("""COMPUTED_VALUE"""),"確認しました。")</f>
        <v>確認しました。</v>
      </c>
      <c r="AF70" s="6" t="str">
        <f aca="false">IFERROR(__xludf.dummyfunction("""COMPUTED_VALUE"""),"社宅基準の内容について確認しました")</f>
        <v>社宅基準の内容について確認しました</v>
      </c>
      <c r="AG70" s="6" t="str">
        <f aca="false">IFERROR(__xludf.dummyfunction("""COMPUTED_VALUE"""),"入居のしおりの内容についてご確認しました")</f>
        <v>入居のしおりの内容についてご確認しました</v>
      </c>
      <c r="AH70" s="6" t="str">
        <f aca="false">IFERROR(__xludf.dummyfunction("""COMPUTED_VALUE"""),"確認しました")</f>
        <v>確認しました</v>
      </c>
      <c r="AI70" s="6"/>
      <c r="AJ70" s="6" t="str">
        <v/>
      </c>
      <c r="AK70" s="6" t="str">
        <v/>
      </c>
      <c r="AL70" s="6" t="str">
        <v/>
      </c>
      <c r="AM70" s="6" t="str">
        <v/>
      </c>
      <c r="AN70" s="6" t="n">
        <f aca="false">FALSE()</f>
        <v>0</v>
      </c>
    </row>
    <row r="71" customFormat="false" ht="52.5" hidden="false" customHeight="true" outlineLevel="0" collapsed="false">
      <c r="A71" s="6" t="str">
        <f aca="false">IFERROR(__xludf.dummyfunction("""COMPUTED_VALUE"""),"2026/02/10 13:03:25")</f>
        <v>2026/02/10 13:03:25</v>
      </c>
      <c r="B71" s="6"/>
      <c r="C71" s="6" t="str">
        <f aca="false">IFERROR(__xludf.dummyfunction("""COMPUTED_VALUE"""),"69766")</f>
        <v>69766</v>
      </c>
      <c r="D71" s="6"/>
      <c r="E71" s="6"/>
      <c r="F71" s="6"/>
      <c r="G71" s="6" t="str">
        <f aca="false">IFERROR(__xludf.dummyfunction("""COMPUTED_VALUE"""),"2026/02/26")</f>
        <v>2026/02/26</v>
      </c>
      <c r="H71" s="6" t="str">
        <f aca="false">IFERROR(__xludf.dummyfunction("""COMPUTED_VALUE"""),"必要")</f>
        <v>必要</v>
      </c>
      <c r="I71" s="6" t="str">
        <f aca="false">IFERROR(__xludf.dummyfunction("""COMPUTED_VALUE"""),"男性")</f>
        <v>男性</v>
      </c>
      <c r="J71" s="6" t="str">
        <f aca="false">IFERROR(__xludf.dummyfunction("""COMPUTED_VALUE"""),"日本")</f>
        <v>日本</v>
      </c>
      <c r="K71" s="6" t="str">
        <f aca="false">IFERROR(__xludf.dummyfunction("""COMPUTED_VALUE"""),"20")</f>
        <v>20</v>
      </c>
      <c r="L71" s="6" t="str">
        <f aca="false">IFERROR(__xludf.dummyfunction("""COMPUTED_VALUE"""),"単身用冷蔵庫、オーブンレンジ、洗濯機、炊飯器、電気ケトル")</f>
        <v>単身用冷蔵庫、オーブンレンジ、洗濯機、炊飯器、電気ケトル</v>
      </c>
      <c r="M71" s="6" t="str">
        <f aca="false">IFERROR(__xludf.dummyfunction("""COMPUTED_VALUE"""),"棚（53,104,43）机（85,37,40）机2（110,72,80）
ベッド（シングル）")</f>
        <v>棚（53,104,43）机（85,37,40）机2（110,72,80）
ベッド（シングル）</v>
      </c>
      <c r="N71" s="6" t="str">
        <f aca="false">IFERROR(__xludf.dummyfunction("""COMPUTED_VALUE"""),"デスクトップPC、モニター、作業用オフィスチェア、録音ブース、マットレス、物干し竿、物干しラック")</f>
        <v>デスクトップPC、モニター、作業用オフィスチェア、録音ブース、マットレス、物干し竿、物干しラック</v>
      </c>
      <c r="O71" s="6" t="str">
        <f aca="false">IFERROR(__xludf.dummyfunction("""COMPUTED_VALUE"""),"不要")</f>
        <v>不要</v>
      </c>
      <c r="P71" s="6"/>
      <c r="Q71" s="6"/>
      <c r="R71" s="6"/>
      <c r="S71" s="6" t="str">
        <f aca="false">IFERROR(__xludf.dummyfunction("""COMPUTED_VALUE"""),"家具家電なし社宅")</f>
        <v>家具家電なし社宅</v>
      </c>
      <c r="T71" s="6" t="str">
        <f aca="false">IFERROR(__xludf.dummyfunction("""COMPUTED_VALUE"""),"利用しない")</f>
        <v>利用しない</v>
      </c>
      <c r="U71" s="6"/>
      <c r="V71" s="6" t="str">
        <f aca="false">IFERROR(__xludf.dummyfunction("""COMPUTED_VALUE"""),"バス")</f>
        <v>バス</v>
      </c>
      <c r="W71" s="6"/>
      <c r="X71" s="6" t="str">
        <f aca="false">IFERROR(__xludf.dummyfunction("""COMPUTED_VALUE"""),"株式会社ビーネックステクノロジーズの社宅")</f>
        <v>株式会社ビーネックステクノロジーズの社宅</v>
      </c>
      <c r="Y71" s="6" t="str">
        <f aca="false">IFERROR(__xludf.dummyfunction("""COMPUTED_VALUE"""),"利用なし")</f>
        <v>利用なし</v>
      </c>
      <c r="Z71" s="6" t="str">
        <f aca="false">IFERROR(__xludf.dummyfunction("""COMPUTED_VALUE"""),"希望する")</f>
        <v>希望する</v>
      </c>
      <c r="AA71" s="6" t="str">
        <f aca="false">IFERROR(__xludf.dummyfunction("""COMPUTED_VALUE"""),"単身")</f>
        <v>単身</v>
      </c>
      <c r="AB71" s="6"/>
      <c r="AC71" s="6"/>
      <c r="AD71" s="6" t="str">
        <f aca="false">IFERROR(__xludf.dummyfunction("""COMPUTED_VALUE"""),"メール、電話問いませんので物件内容についてのヒアリングの機会をいただきたいです。
よろしくお願いいたします。")</f>
        <v>メール、電話問いませんので物件内容についてのヒアリングの機会をいただきたいです。
よろしくお願いいたします。</v>
      </c>
      <c r="AE71" s="6" t="str">
        <f aca="false">IFERROR(__xludf.dummyfunction("""COMPUTED_VALUE"""),"確認しました。")</f>
        <v>確認しました。</v>
      </c>
      <c r="AF71" s="6" t="str">
        <f aca="false">IFERROR(__xludf.dummyfunction("""COMPUTED_VALUE"""),"社宅基準の内容について確認しました")</f>
        <v>社宅基準の内容について確認しました</v>
      </c>
      <c r="AG71" s="6" t="str">
        <f aca="false">IFERROR(__xludf.dummyfunction("""COMPUTED_VALUE"""),"入居のしおりの内容についてご確認しました")</f>
        <v>入居のしおりの内容についてご確認しました</v>
      </c>
      <c r="AH71" s="6" t="str">
        <f aca="false">IFERROR(__xludf.dummyfunction("""COMPUTED_VALUE"""),"確認しました")</f>
        <v>確認しました</v>
      </c>
      <c r="AI71" s="6"/>
      <c r="AJ71" s="6" t="str">
        <v/>
      </c>
      <c r="AK71" s="6" t="str">
        <v/>
      </c>
      <c r="AL71" s="6" t="str">
        <v/>
      </c>
      <c r="AM71" s="6" t="str">
        <v/>
      </c>
      <c r="AN71" s="6" t="n">
        <f aca="false">FALSE()</f>
        <v>0</v>
      </c>
    </row>
    <row r="72" customFormat="false" ht="52.5" hidden="false" customHeight="true" outlineLevel="0" collapsed="false">
      <c r="A72" s="6" t="str">
        <f aca="false">IFERROR(__xludf.dummyfunction("""COMPUTED_VALUE"""),"2026/02/10 15:51:33")</f>
        <v>2026/02/10 15:51:33</v>
      </c>
      <c r="B72" s="6"/>
      <c r="C72" s="6" t="str">
        <f aca="false">IFERROR(__xludf.dummyfunction("""COMPUTED_VALUE"""),"69720")</f>
        <v>69720</v>
      </c>
      <c r="D72" s="6"/>
      <c r="E72" s="6"/>
      <c r="F72" s="6"/>
      <c r="G72" s="6" t="str">
        <f aca="false">IFERROR(__xludf.dummyfunction("""COMPUTED_VALUE"""),"2026/03/21")</f>
        <v>2026/03/21</v>
      </c>
      <c r="H72" s="6" t="str">
        <f aca="false">IFERROR(__xludf.dummyfunction("""COMPUTED_VALUE"""),"必要")</f>
        <v>必要</v>
      </c>
      <c r="I72" s="6" t="str">
        <f aca="false">IFERROR(__xludf.dummyfunction("""COMPUTED_VALUE"""),"男性")</f>
        <v>男性</v>
      </c>
      <c r="J72" s="6" t="str">
        <f aca="false">IFERROR(__xludf.dummyfunction("""COMPUTED_VALUE"""),"日本")</f>
        <v>日本</v>
      </c>
      <c r="K72" s="6" t="str">
        <f aca="false">IFERROR(__xludf.dummyfunction("""COMPUTED_VALUE"""),"50")</f>
        <v>50</v>
      </c>
      <c r="L72" s="6" t="str">
        <f aca="false">IFERROR(__xludf.dummyfunction("""COMPUTED_VALUE"""),"家庭用冷蔵庫、ドラム洗濯機、テレビ")</f>
        <v>家庭用冷蔵庫、ドラム洗濯機、テレビ</v>
      </c>
      <c r="M72" s="6" t="str">
        <f aca="false">IFERROR(__xludf.dummyfunction("""COMPUTED_VALUE"""),"米櫃、ベッド、タンス、マッサージチェア、三人掛けソファ、二人掛けソファ、茶碗棚")</f>
        <v>米櫃、ベッド、タンス、マッサージチェア、三人掛けソファ、二人掛けソファ、茶碗棚</v>
      </c>
      <c r="N72" s="6" t="str">
        <f aca="false">IFERROR(__xludf.dummyfunction("""COMPUTED_VALUE"""),"自転車")</f>
        <v>自転車</v>
      </c>
      <c r="O72" s="6" t="str">
        <f aca="false">IFERROR(__xludf.dummyfunction("""COMPUTED_VALUE"""),"必要")</f>
        <v>必要</v>
      </c>
      <c r="P72" s="6" t="str">
        <f aca="false">IFERROR(__xludf.dummyfunction("""COMPUTED_VALUE"""),"ムーヴ")</f>
        <v>ムーヴ</v>
      </c>
      <c r="Q72" s="6" t="str">
        <f aca="false">IFERROR(__xludf.dummyfunction("""COMPUTED_VALUE"""),"四日市 580 う 5954")</f>
        <v>四日市 580 う 5954</v>
      </c>
      <c r="R72" s="6" t="str">
        <f aca="false">IFERROR(__xludf.dummyfunction("""COMPUTED_VALUE"""),"黒")</f>
        <v>黒</v>
      </c>
      <c r="S72" s="6" t="str">
        <f aca="false">IFERROR(__xludf.dummyfunction("""COMPUTED_VALUE"""),"家具家電なし社宅")</f>
        <v>家具家電なし社宅</v>
      </c>
      <c r="T72" s="6" t="str">
        <f aca="false">IFERROR(__xludf.dummyfunction("""COMPUTED_VALUE"""),"利用しない")</f>
        <v>利用しない</v>
      </c>
      <c r="U72" s="6"/>
      <c r="V72" s="6" t="str">
        <f aca="false">IFERROR(__xludf.dummyfunction("""COMPUTED_VALUE"""),"自動車")</f>
        <v>自動車</v>
      </c>
      <c r="W72" s="6"/>
      <c r="X72" s="6" t="str">
        <f aca="false">IFERROR(__xludf.dummyfunction("""COMPUTED_VALUE"""),"株式会社ビーネックステクノロジーズの社宅")</f>
        <v>株式会社ビーネックステクノロジーズの社宅</v>
      </c>
      <c r="Y72" s="6" t="str">
        <f aca="false">IFERROR(__xludf.dummyfunction("""COMPUTED_VALUE"""),"利用なし")</f>
        <v>利用なし</v>
      </c>
      <c r="Z72" s="6" t="str">
        <f aca="false">IFERROR(__xludf.dummyfunction("""COMPUTED_VALUE"""),"希望しない")</f>
        <v>希望しない</v>
      </c>
      <c r="AA72" s="6" t="str">
        <f aca="false">IFERROR(__xludf.dummyfunction("""COMPUTED_VALUE"""),"家族")</f>
        <v>家族</v>
      </c>
      <c r="AB72" s="6" t="str">
        <f aca="false">IFERROR(__xludf.dummyfunction("""COMPUTED_VALUE"""),"氏名：小堀　マリリン
フリガナ：コホリ　マリリン
生年月日：1980.07.07
携帯番号：
続柄：妻
氏名：小堀　真由実
フリガナ：コホリ　マユミ
生年月日：2004.11.10
携帯番号：
続柄  長女")</f>
        <v>氏名：小堀　マリリン
フリガナ：コホリ　マリリン
生年月日：1980.07.07
携帯番号：
続柄：妻
氏名：小堀　真由実
フリガナ：コホリ　マユミ
生年月日：2004.11.10
携帯番号：
続柄  長女</v>
      </c>
      <c r="AC72" s="6"/>
      <c r="AD72" s="6"/>
      <c r="AE72" s="6" t="str">
        <f aca="false">IFERROR(__xludf.dummyfunction("""COMPUTED_VALUE"""),"確認しました。")</f>
        <v>確認しました。</v>
      </c>
      <c r="AF72" s="6" t="str">
        <f aca="false">IFERROR(__xludf.dummyfunction("""COMPUTED_VALUE"""),"社宅基準の内容について確認しました")</f>
        <v>社宅基準の内容について確認しました</v>
      </c>
      <c r="AG72" s="6" t="str">
        <f aca="false">IFERROR(__xludf.dummyfunction("""COMPUTED_VALUE"""),"入居のしおりの内容についてご確認しました")</f>
        <v>入居のしおりの内容についてご確認しました</v>
      </c>
      <c r="AH72" s="6" t="str">
        <f aca="false">IFERROR(__xludf.dummyfunction("""COMPUTED_VALUE"""),"確認しました")</f>
        <v>確認しました</v>
      </c>
      <c r="AI72" s="6"/>
      <c r="AJ72" s="6" t="str">
        <v/>
      </c>
      <c r="AK72" s="6" t="str">
        <v/>
      </c>
      <c r="AL72" s="6" t="str">
        <v/>
      </c>
      <c r="AM72" s="6" t="str">
        <v/>
      </c>
      <c r="AN72" s="6" t="n">
        <f aca="false">FALSE()</f>
        <v>0</v>
      </c>
    </row>
    <row r="73" customFormat="false" ht="52.5" hidden="false" customHeight="true" outlineLevel="0" collapsed="false">
      <c r="A73" s="6" t="str">
        <f aca="false">IFERROR(__xludf.dummyfunction("""COMPUTED_VALUE"""),"2026/02/10 19:04:34")</f>
        <v>2026/02/10 19:04:34</v>
      </c>
      <c r="B73" s="6"/>
      <c r="C73" s="6" t="str">
        <f aca="false">IFERROR(__xludf.dummyfunction("""COMPUTED_VALUE"""),"69831")</f>
        <v>69831</v>
      </c>
      <c r="D73" s="6"/>
      <c r="E73" s="6"/>
      <c r="F73" s="6"/>
      <c r="G73" s="6" t="str">
        <f aca="false">IFERROR(__xludf.dummyfunction("""COMPUTED_VALUE"""),"2026/03/15")</f>
        <v>2026/03/15</v>
      </c>
      <c r="H73" s="6" t="str">
        <f aca="false">IFERROR(__xludf.dummyfunction("""COMPUTED_VALUE"""),"必要")</f>
        <v>必要</v>
      </c>
      <c r="I73" s="6" t="str">
        <f aca="false">IFERROR(__xludf.dummyfunction("""COMPUTED_VALUE"""),"男性")</f>
        <v>男性</v>
      </c>
      <c r="J73" s="6" t="str">
        <f aca="false">IFERROR(__xludf.dummyfunction("""COMPUTED_VALUE"""),"日本")</f>
        <v>日本</v>
      </c>
      <c r="K73" s="6" t="str">
        <f aca="false">IFERROR(__xludf.dummyfunction("""COMPUTED_VALUE"""),"12")</f>
        <v>12</v>
      </c>
      <c r="L73" s="6" t="str">
        <f aca="false">IFERROR(__xludf.dummyfunction("""COMPUTED_VALUE"""),"無")</f>
        <v>無</v>
      </c>
      <c r="M73" s="6" t="str">
        <f aca="false">IFERROR(__xludf.dummyfunction("""COMPUTED_VALUE"""),"シングルマットレス、テレビ台幅111.5×奥行29.5×高さ41.5cm、ゲーミングデスクおおよそ幅100cm×奥行50cm×高さ75cm、ゲーミングチェア、ローテーブル48奥行き×80幅x40.5高さcm")</f>
        <v>シングルマットレス、テレビ台幅111.5×奥行29.5×高さ41.5cm、ゲーミングデスクおおよそ幅100cm×奥行50cm×高さ75cm、ゲーミングチェア、ローテーブル48奥行き×80幅x40.5高さcm</v>
      </c>
      <c r="N73" s="6" t="str">
        <f aca="false">IFERROR(__xludf.dummyfunction("""COMPUTED_VALUE"""),"無")</f>
        <v>無</v>
      </c>
      <c r="O73" s="6" t="str">
        <f aca="false">IFERROR(__xludf.dummyfunction("""COMPUTED_VALUE"""),"不要")</f>
        <v>不要</v>
      </c>
      <c r="P73" s="6"/>
      <c r="Q73" s="6"/>
      <c r="R73" s="6"/>
      <c r="S73" s="6" t="str">
        <f aca="false">IFERROR(__xludf.dummyfunction("""COMPUTED_VALUE"""),"家具家電なし社宅")</f>
        <v>家具家電なし社宅</v>
      </c>
      <c r="T73" s="6" t="str">
        <f aca="false">IFERROR(__xludf.dummyfunction("""COMPUTED_VALUE"""),"利用しない")</f>
        <v>利用しない</v>
      </c>
      <c r="U73" s="6"/>
      <c r="V73" s="6" t="str">
        <f aca="false">IFERROR(__xludf.dummyfunction("""COMPUTED_VALUE"""),"徒歩, 電車")</f>
        <v>徒歩, 電車</v>
      </c>
      <c r="W73" s="6"/>
      <c r="X73" s="6" t="str">
        <f aca="false">IFERROR(__xludf.dummyfunction("""COMPUTED_VALUE"""),"ご自身で契約中の物件")</f>
        <v>ご自身で契約中の物件</v>
      </c>
      <c r="Y73" s="6"/>
      <c r="Z73" s="6" t="str">
        <f aca="false">IFERROR(__xludf.dummyfunction("""COMPUTED_VALUE"""),"希望しない")</f>
        <v>希望しない</v>
      </c>
      <c r="AA73" s="6" t="str">
        <f aca="false">IFERROR(__xludf.dummyfunction("""COMPUTED_VALUE"""),"単身")</f>
        <v>単身</v>
      </c>
      <c r="AB73" s="6"/>
      <c r="AC73" s="6"/>
      <c r="AD73" s="6" t="str">
        <f aca="false">IFERROR(__xludf.dummyfunction("""COMPUTED_VALUE"""),"こちらに希望物件条件を記載するのでしょうか。またお電話にてお話しできたらと思います。")</f>
        <v>こちらに希望物件条件を記載するのでしょうか。またお電話にてお話しできたらと思います。</v>
      </c>
      <c r="AE73" s="6" t="str">
        <f aca="false">IFERROR(__xludf.dummyfunction("""COMPUTED_VALUE"""),"確認しました。")</f>
        <v>確認しました。</v>
      </c>
      <c r="AF73" s="6" t="str">
        <f aca="false">IFERROR(__xludf.dummyfunction("""COMPUTED_VALUE"""),"社宅基準の内容について確認しました")</f>
        <v>社宅基準の内容について確認しました</v>
      </c>
      <c r="AG73" s="6" t="str">
        <f aca="false">IFERROR(__xludf.dummyfunction("""COMPUTED_VALUE"""),"入居のしおりの内容についてご確認しました")</f>
        <v>入居のしおりの内容についてご確認しました</v>
      </c>
      <c r="AH73" s="6" t="str">
        <f aca="false">IFERROR(__xludf.dummyfunction("""COMPUTED_VALUE"""),"確認しました")</f>
        <v>確認しました</v>
      </c>
      <c r="AI73" s="6"/>
      <c r="AJ73" s="6" t="str">
        <v/>
      </c>
      <c r="AK73" s="6" t="str">
        <v/>
      </c>
      <c r="AL73" s="6" t="str">
        <v/>
      </c>
      <c r="AM73" s="6" t="str">
        <v/>
      </c>
      <c r="AN73" s="6" t="n">
        <f aca="false">TRUE()</f>
        <v>1</v>
      </c>
    </row>
    <row r="74" customFormat="false" ht="52.5" hidden="false" customHeight="true" outlineLevel="0" collapsed="false">
      <c r="A74" s="6" t="str">
        <f aca="false">IFERROR(__xludf.dummyfunction("""COMPUTED_VALUE"""),"2026/02/10 19:46:05")</f>
        <v>2026/02/10 19:46:05</v>
      </c>
      <c r="B74" s="6"/>
      <c r="C74" s="6" t="str">
        <f aca="false">IFERROR(__xludf.dummyfunction("""COMPUTED_VALUE"""),"69828")</f>
        <v>69828</v>
      </c>
      <c r="D74" s="6"/>
      <c r="E74" s="6"/>
      <c r="F74" s="6"/>
      <c r="G74" s="6" t="str">
        <f aca="false">IFERROR(__xludf.dummyfunction("""COMPUTED_VALUE"""),"2026/03/28")</f>
        <v>2026/03/28</v>
      </c>
      <c r="H74" s="6" t="str">
        <f aca="false">IFERROR(__xludf.dummyfunction("""COMPUTED_VALUE"""),"必要")</f>
        <v>必要</v>
      </c>
      <c r="I74" s="6" t="str">
        <f aca="false">IFERROR(__xludf.dummyfunction("""COMPUTED_VALUE"""),"男性")</f>
        <v>男性</v>
      </c>
      <c r="J74" s="6" t="str">
        <f aca="false">IFERROR(__xludf.dummyfunction("""COMPUTED_VALUE"""),"日本")</f>
        <v>日本</v>
      </c>
      <c r="K74" s="6" t="str">
        <f aca="false">IFERROR(__xludf.dummyfunction("""COMPUTED_VALUE"""),"20")</f>
        <v>20</v>
      </c>
      <c r="L74" s="6" t="str">
        <f aca="false">IFERROR(__xludf.dummyfunction("""COMPUTED_VALUE"""),"冷蔵庫（単身用）・洗濯機・電子レンジ・炊飯器・ドライヤー・湯沸かし器")</f>
        <v>冷蔵庫（単身用）・洗濯機・電子レンジ・炊飯器・ドライヤー・湯沸かし器</v>
      </c>
      <c r="M74" s="6" t="str">
        <f aca="false">IFERROR(__xludf.dummyfunction("""COMPUTED_VALUE"""),"シングルベッド・机（120・70・75）本棚（120・35・93）×2・卓上ラック（108・28・14.5）・スチールラック（91・35・137）キッチンラック（46/61/150）・キッチンワゴン（44・35・78）・オフィスチェア（56・62・87）")</f>
        <v>シングルベッド・机（120・70・75）本棚（120・35・93）×2・卓上ラック（108・28・14.5）・スチールラック（91・35・137）キッチンラック（46/61/150）・キッチンワゴン（44・35・78）・オフィスチェア（56・62・87）</v>
      </c>
      <c r="N74" s="6" t="str">
        <f aca="false">IFERROR(__xludf.dummyfunction("""COMPUTED_VALUE"""),"自転車・ホワイトボード（190㎝・30・180）・デスクトップパソコン関連（本体・モニター2枚・その他オーディオ関連）・本・雑品")</f>
        <v>自転車・ホワイトボード（190㎝・30・180）・デスクトップパソコン関連（本体・モニター2枚・その他オーディオ関連）・本・雑品</v>
      </c>
      <c r="O74" s="6" t="str">
        <f aca="false">IFERROR(__xludf.dummyfunction("""COMPUTED_VALUE"""),"不要")</f>
        <v>不要</v>
      </c>
      <c r="P74" s="6"/>
      <c r="Q74" s="6"/>
      <c r="R74" s="6"/>
      <c r="S74" s="6" t="str">
        <f aca="false">IFERROR(__xludf.dummyfunction("""COMPUTED_VALUE"""),"家具家電なし社宅")</f>
        <v>家具家電なし社宅</v>
      </c>
      <c r="T74" s="6" t="str">
        <f aca="false">IFERROR(__xludf.dummyfunction("""COMPUTED_VALUE"""),"利用しない")</f>
        <v>利用しない</v>
      </c>
      <c r="U74" s="6"/>
      <c r="V74" s="6" t="str">
        <f aca="false">IFERROR(__xludf.dummyfunction("""COMPUTED_VALUE"""),"徒歩, 自転車, 電車")</f>
        <v>徒歩, 自転車, 電車</v>
      </c>
      <c r="W74" s="6"/>
      <c r="X74" s="6" t="str">
        <f aca="false">IFERROR(__xludf.dummyfunction("""COMPUTED_VALUE"""),"株式会社ビーネックステクノロジーズの社宅")</f>
        <v>株式会社ビーネックステクノロジーズの社宅</v>
      </c>
      <c r="Y74" s="6" t="str">
        <f aca="false">IFERROR(__xludf.dummyfunction("""COMPUTED_VALUE"""),"利用なし")</f>
        <v>利用なし</v>
      </c>
      <c r="Z74" s="6" t="str">
        <f aca="false">IFERROR(__xludf.dummyfunction("""COMPUTED_VALUE"""),"希望する")</f>
        <v>希望する</v>
      </c>
      <c r="AA74" s="6" t="str">
        <f aca="false">IFERROR(__xludf.dummyfunction("""COMPUTED_VALUE"""),"単身")</f>
        <v>単身</v>
      </c>
      <c r="AB74" s="6"/>
      <c r="AC74" s="6"/>
      <c r="AD74" s="6" t="str">
        <f aca="false">IFERROR(__xludf.dummyfunction("""COMPUTED_VALUE"""),"音に敏感な為、鉄筋鉄骨or鉄筋の建造物が嬉しいです。
トイレと浴室は別々だと嬉しいです！")</f>
        <v>音に敏感な為、鉄筋鉄骨or鉄筋の建造物が嬉しいです。
トイレと浴室は別々だと嬉しいです！</v>
      </c>
      <c r="AE74" s="6" t="str">
        <f aca="false">IFERROR(__xludf.dummyfunction("""COMPUTED_VALUE"""),"確認しました。")</f>
        <v>確認しました。</v>
      </c>
      <c r="AF74" s="6" t="str">
        <f aca="false">IFERROR(__xludf.dummyfunction("""COMPUTED_VALUE"""),"社宅基準の内容について確認しました")</f>
        <v>社宅基準の内容について確認しました</v>
      </c>
      <c r="AG74" s="6" t="str">
        <f aca="false">IFERROR(__xludf.dummyfunction("""COMPUTED_VALUE"""),"入居のしおりの内容についてご確認しました")</f>
        <v>入居のしおりの内容についてご確認しました</v>
      </c>
      <c r="AH74" s="6" t="str">
        <f aca="false">IFERROR(__xludf.dummyfunction("""COMPUTED_VALUE"""),"確認しました")</f>
        <v>確認しました</v>
      </c>
      <c r="AI74" s="6"/>
      <c r="AJ74" s="6" t="str">
        <v/>
      </c>
      <c r="AK74" s="6" t="str">
        <v/>
      </c>
      <c r="AL74" s="6" t="str">
        <v/>
      </c>
      <c r="AM74" s="6" t="str">
        <v/>
      </c>
      <c r="AN74" s="6" t="n">
        <f aca="false">TRUE()</f>
        <v>1</v>
      </c>
    </row>
    <row r="75" customFormat="false" ht="52.5" hidden="false" customHeight="true" outlineLevel="0" collapsed="false">
      <c r="A75" s="6" t="str">
        <f aca="false">IFERROR(__xludf.dummyfunction("""COMPUTED_VALUE"""),"2026/02/10 20:13:17")</f>
        <v>2026/02/10 20:13:17</v>
      </c>
      <c r="B75" s="6"/>
      <c r="C75" s="6" t="str">
        <f aca="false">IFERROR(__xludf.dummyfunction("""COMPUTED_VALUE"""),"69827")</f>
        <v>69827</v>
      </c>
      <c r="D75" s="6"/>
      <c r="E75" s="6"/>
      <c r="F75" s="6"/>
      <c r="G75" s="6" t="str">
        <f aca="false">IFERROR(__xludf.dummyfunction("""COMPUTED_VALUE"""),"2026/03/26")</f>
        <v>2026/03/26</v>
      </c>
      <c r="H75" s="6" t="str">
        <f aca="false">IFERROR(__xludf.dummyfunction("""COMPUTED_VALUE"""),"必要")</f>
        <v>必要</v>
      </c>
      <c r="I75" s="6" t="str">
        <f aca="false">IFERROR(__xludf.dummyfunction("""COMPUTED_VALUE"""),"男性")</f>
        <v>男性</v>
      </c>
      <c r="J75" s="6" t="str">
        <f aca="false">IFERROR(__xludf.dummyfunction("""COMPUTED_VALUE"""),"日本")</f>
        <v>日本</v>
      </c>
      <c r="K75" s="6" t="str">
        <f aca="false">IFERROR(__xludf.dummyfunction("""COMPUTED_VALUE"""),"30")</f>
        <v>30</v>
      </c>
      <c r="L75" s="6" t="str">
        <f aca="false">IFERROR(__xludf.dummyfunction("""COMPUTED_VALUE"""),"43型液晶TV、洗濯機（縦型）、冷蔵庫（2ドア）、電子レンジ")</f>
        <v>43型液晶TV、洗濯機（縦型）、冷蔵庫（2ドア）、電子レンジ</v>
      </c>
      <c r="M75" s="6" t="str">
        <f aca="false">IFERROR(__xludf.dummyfunction("""COMPUTED_VALUE"""),"セミダブルベッド及びマットレス、本棚、ソファベッド（1人掛け）")</f>
        <v>セミダブルベッド及びマットレス、本棚、ソファベッド（1人掛け）</v>
      </c>
      <c r="N75" s="6" t="str">
        <f aca="false">IFERROR(__xludf.dummyfunction("""COMPUTED_VALUE"""),"小型自転車、パイプハンガーラック、スチール棚")</f>
        <v>小型自転車、パイプハンガーラック、スチール棚</v>
      </c>
      <c r="O75" s="6" t="str">
        <f aca="false">IFERROR(__xludf.dummyfunction("""COMPUTED_VALUE"""),"必要")</f>
        <v>必要</v>
      </c>
      <c r="P75" s="6" t="str">
        <f aca="false">IFERROR(__xludf.dummyfunction("""COMPUTED_VALUE"""),"ヴィッツ")</f>
        <v>ヴィッツ</v>
      </c>
      <c r="Q75" s="6" t="str">
        <f aca="false">IFERROR(__xludf.dummyfunction("""COMPUTED_VALUE"""),"も78-50")</f>
        <v>も78-50</v>
      </c>
      <c r="R75" s="6" t="str">
        <f aca="false">IFERROR(__xludf.dummyfunction("""COMPUTED_VALUE"""),"ホワイトパール")</f>
        <v>ホワイトパール</v>
      </c>
      <c r="S75" s="6" t="str">
        <f aca="false">IFERROR(__xludf.dummyfunction("""COMPUTED_VALUE"""),"家具家電なし社宅")</f>
        <v>家具家電なし社宅</v>
      </c>
      <c r="T75" s="6" t="str">
        <f aca="false">IFERROR(__xludf.dummyfunction("""COMPUTED_VALUE"""),"利用しない")</f>
        <v>利用しない</v>
      </c>
      <c r="U75" s="6"/>
      <c r="V75" s="6" t="str">
        <f aca="false">IFERROR(__xludf.dummyfunction("""COMPUTED_VALUE"""),"電車, ")</f>
        <v>電車, </v>
      </c>
      <c r="W75" s="6"/>
      <c r="X75" s="6" t="str">
        <f aca="false">IFERROR(__xludf.dummyfunction("""COMPUTED_VALUE"""),"株式会社ビーネックステクノロジーズの社宅")</f>
        <v>株式会社ビーネックステクノロジーズの社宅</v>
      </c>
      <c r="Y75" s="6" t="str">
        <f aca="false">IFERROR(__xludf.dummyfunction("""COMPUTED_VALUE"""),"利用なし")</f>
        <v>利用なし</v>
      </c>
      <c r="Z75" s="6" t="str">
        <f aca="false">IFERROR(__xludf.dummyfunction("""COMPUTED_VALUE"""),"希望しない")</f>
        <v>希望しない</v>
      </c>
      <c r="AA75" s="6" t="str">
        <f aca="false">IFERROR(__xludf.dummyfunction("""COMPUTED_VALUE"""),"単身")</f>
        <v>単身</v>
      </c>
      <c r="AB75" s="6"/>
      <c r="AC75" s="6"/>
      <c r="AD75" s="6" t="str">
        <f aca="false">IFERROR(__xludf.dummyfunction("""COMPUTED_VALUE"""),"明石市大久保町でご提案下さい")</f>
        <v>明石市大久保町でご提案下さい</v>
      </c>
      <c r="AE75" s="6" t="str">
        <f aca="false">IFERROR(__xludf.dummyfunction("""COMPUTED_VALUE"""),"確認しました。")</f>
        <v>確認しました。</v>
      </c>
      <c r="AF75" s="6" t="str">
        <f aca="false">IFERROR(__xludf.dummyfunction("""COMPUTED_VALUE"""),"社宅基準の内容について確認しました")</f>
        <v>社宅基準の内容について確認しました</v>
      </c>
      <c r="AG75" s="6" t="str">
        <f aca="false">IFERROR(__xludf.dummyfunction("""COMPUTED_VALUE"""),"入居のしおりの内容についてご確認しました")</f>
        <v>入居のしおりの内容についてご確認しました</v>
      </c>
      <c r="AH75" s="6" t="str">
        <f aca="false">IFERROR(__xludf.dummyfunction("""COMPUTED_VALUE"""),"確認しました")</f>
        <v>確認しました</v>
      </c>
      <c r="AI75" s="6"/>
      <c r="AJ75" s="6" t="str">
        <v/>
      </c>
      <c r="AK75" s="6" t="str">
        <v/>
      </c>
      <c r="AL75" s="6" t="str">
        <v/>
      </c>
      <c r="AM75" s="6" t="str">
        <v/>
      </c>
      <c r="AN75" s="6" t="n">
        <f aca="false">FALSE()</f>
        <v>0</v>
      </c>
    </row>
    <row r="76" customFormat="false" ht="52.5" hidden="false" customHeight="true" outlineLevel="0" collapsed="false">
      <c r="A76" s="6" t="str">
        <f aca="false">IFERROR(__xludf.dummyfunction("""COMPUTED_VALUE"""),"2026/02/10 23:18:23")</f>
        <v>2026/02/10 23:18:23</v>
      </c>
      <c r="B76" s="6"/>
      <c r="C76" s="6" t="str">
        <f aca="false">IFERROR(__xludf.dummyfunction("""COMPUTED_VALUE"""),"69560")</f>
        <v>69560</v>
      </c>
      <c r="D76" s="6"/>
      <c r="E76" s="6"/>
      <c r="F76" s="6"/>
      <c r="G76" s="6" t="str">
        <f aca="false">IFERROR(__xludf.dummyfunction("""COMPUTED_VALUE"""),"2026/03/27")</f>
        <v>2026/03/27</v>
      </c>
      <c r="H76" s="6" t="str">
        <f aca="false">IFERROR(__xludf.dummyfunction("""COMPUTED_VALUE"""),"必要")</f>
        <v>必要</v>
      </c>
      <c r="I76" s="6" t="str">
        <f aca="false">IFERROR(__xludf.dummyfunction("""COMPUTED_VALUE"""),"男性")</f>
        <v>男性</v>
      </c>
      <c r="J76" s="6" t="str">
        <f aca="false">IFERROR(__xludf.dummyfunction("""COMPUTED_VALUE"""),"日本")</f>
        <v>日本</v>
      </c>
      <c r="K76" s="6" t="str">
        <f aca="false">IFERROR(__xludf.dummyfunction("""COMPUTED_VALUE"""),"15")</f>
        <v>15</v>
      </c>
      <c r="L76" s="6" t="str">
        <f aca="false">IFERROR(__xludf.dummyfunction("""COMPUTED_VALUE"""),"単身用冷蔵庫 洗濯機 オーブンレンジ デスクトップPC")</f>
        <v>単身用冷蔵庫 洗濯機 オーブンレンジ デスクトップPC</v>
      </c>
      <c r="M76" s="6" t="str">
        <f aca="false">IFERROR(__xludf.dummyfunction("""COMPUTED_VALUE"""),"セミダブル用ベッドフレーム 机(高さ75cm横126cm縦50cm)")</f>
        <v>セミダブル用ベッドフレーム 机(高さ75cm横126cm縦50cm)</v>
      </c>
      <c r="N76" s="6" t="str">
        <f aca="false">IFERROR(__xludf.dummyfunction("""COMPUTED_VALUE"""),"自転車")</f>
        <v>自転車</v>
      </c>
      <c r="O76" s="6" t="str">
        <f aca="false">IFERROR(__xludf.dummyfunction("""COMPUTED_VALUE"""),"必要")</f>
        <v>必要</v>
      </c>
      <c r="P76" s="6" t="str">
        <f aca="false">IFERROR(__xludf.dummyfunction("""COMPUTED_VALUE"""),"トヨタ ライズ")</f>
        <v>トヨタ ライズ</v>
      </c>
      <c r="Q76" s="6" t="str">
        <f aca="false">IFERROR(__xludf.dummyfunction("""COMPUTED_VALUE"""),"り・・17")</f>
        <v>り・・17</v>
      </c>
      <c r="R76" s="6" t="str">
        <f aca="false">IFERROR(__xludf.dummyfunction("""COMPUTED_VALUE"""),"白")</f>
        <v>白</v>
      </c>
      <c r="S76" s="6" t="str">
        <f aca="false">IFERROR(__xludf.dummyfunction("""COMPUTED_VALUE"""),"家具家電なし社宅")</f>
        <v>家具家電なし社宅</v>
      </c>
      <c r="T76" s="6" t="str">
        <f aca="false">IFERROR(__xludf.dummyfunction("""COMPUTED_VALUE"""),"利用しない")</f>
        <v>利用しない</v>
      </c>
      <c r="U76" s="6"/>
      <c r="V76" s="6" t="str">
        <f aca="false">IFERROR(__xludf.dummyfunction("""COMPUTED_VALUE"""),"自動車")</f>
        <v>自動車</v>
      </c>
      <c r="W76" s="6"/>
      <c r="X76" s="6" t="str">
        <f aca="false">IFERROR(__xludf.dummyfunction("""COMPUTED_VALUE"""),"ご自身で契約中の物件")</f>
        <v>ご自身で契約中の物件</v>
      </c>
      <c r="Y76" s="6"/>
      <c r="Z76" s="6" t="str">
        <f aca="false">IFERROR(__xludf.dummyfunction("""COMPUTED_VALUE"""),"希望する")</f>
        <v>希望する</v>
      </c>
      <c r="AA76" s="6" t="str">
        <f aca="false">IFERROR(__xludf.dummyfunction("""COMPUTED_VALUE"""),"単身")</f>
        <v>単身</v>
      </c>
      <c r="AB76" s="6"/>
      <c r="AC76" s="6"/>
      <c r="AD76" s="6"/>
      <c r="AE76" s="6" t="str">
        <f aca="false">IFERROR(__xludf.dummyfunction("""COMPUTED_VALUE"""),"確認しました。")</f>
        <v>確認しました。</v>
      </c>
      <c r="AF76" s="6" t="str">
        <f aca="false">IFERROR(__xludf.dummyfunction("""COMPUTED_VALUE"""),"社宅基準の内容について確認しました")</f>
        <v>社宅基準の内容について確認しました</v>
      </c>
      <c r="AG76" s="6" t="str">
        <f aca="false">IFERROR(__xludf.dummyfunction("""COMPUTED_VALUE"""),"入居のしおりの内容についてご確認しました")</f>
        <v>入居のしおりの内容についてご確認しました</v>
      </c>
      <c r="AH76" s="6" t="str">
        <f aca="false">IFERROR(__xludf.dummyfunction("""COMPUTED_VALUE"""),"確認しました")</f>
        <v>確認しました</v>
      </c>
      <c r="AI76" s="6"/>
      <c r="AJ76" s="6" t="str">
        <v/>
      </c>
      <c r="AK76" s="6" t="str">
        <v/>
      </c>
      <c r="AL76" s="6" t="str">
        <v/>
      </c>
      <c r="AM76" s="6" t="str">
        <v/>
      </c>
      <c r="AN76" s="6" t="n">
        <f aca="false">FALSE()</f>
        <v>0</v>
      </c>
    </row>
    <row r="77" customFormat="false" ht="52.5" hidden="false" customHeight="true" outlineLevel="0" collapsed="false">
      <c r="A77" s="6" t="str">
        <f aca="false">IFERROR(__xludf.dummyfunction("""COMPUTED_VALUE"""),"2026/02/10 23:20:35")</f>
        <v>2026/02/10 23:20:35</v>
      </c>
      <c r="B77" s="6"/>
      <c r="C77" s="6" t="str">
        <f aca="false">IFERROR(__xludf.dummyfunction("""COMPUTED_VALUE"""),"69799")</f>
        <v>69799</v>
      </c>
      <c r="D77" s="6"/>
      <c r="E77" s="6"/>
      <c r="F77" s="6"/>
      <c r="G77" s="6" t="str">
        <f aca="false">IFERROR(__xludf.dummyfunction("""COMPUTED_VALUE"""),"2026/03/14")</f>
        <v>2026/03/14</v>
      </c>
      <c r="H77" s="6" t="str">
        <f aca="false">IFERROR(__xludf.dummyfunction("""COMPUTED_VALUE"""),"必要")</f>
        <v>必要</v>
      </c>
      <c r="I77" s="6" t="str">
        <f aca="false">IFERROR(__xludf.dummyfunction("""COMPUTED_VALUE"""),"男性")</f>
        <v>男性</v>
      </c>
      <c r="J77" s="6" t="str">
        <f aca="false">IFERROR(__xludf.dummyfunction("""COMPUTED_VALUE"""),"ベトナム")</f>
        <v>ベトナム</v>
      </c>
      <c r="K77" s="6" t="str">
        <f aca="false">IFERROR(__xludf.dummyfunction("""COMPUTED_VALUE"""),"4")</f>
        <v>4</v>
      </c>
      <c r="L77" s="6" t="str">
        <f aca="false">IFERROR(__xludf.dummyfunction("""COMPUTED_VALUE"""),"なし")</f>
        <v>なし</v>
      </c>
      <c r="M77" s="6" t="str">
        <f aca="false">IFERROR(__xludf.dummyfunction("""COMPUTED_VALUE"""),"布団。服。鍋。")</f>
        <v>布団。服。鍋。</v>
      </c>
      <c r="N77" s="6" t="str">
        <f aca="false">IFERROR(__xludf.dummyfunction("""COMPUTED_VALUE"""),"自転車1 台")</f>
        <v>自転車1 台</v>
      </c>
      <c r="O77" s="6" t="str">
        <f aca="false">IFERROR(__xludf.dummyfunction("""COMPUTED_VALUE"""),"必要")</f>
        <v>必要</v>
      </c>
      <c r="P77" s="6" t="str">
        <f aca="false">IFERROR(__xludf.dummyfunction("""COMPUTED_VALUE"""),"まだないです。")</f>
        <v>まだないです。</v>
      </c>
      <c r="Q77" s="6" t="str">
        <f aca="false">IFERROR(__xludf.dummyfunction("""COMPUTED_VALUE"""),"まだないですり")</f>
        <v>まだないですり</v>
      </c>
      <c r="R77" s="6" t="str">
        <f aca="false">IFERROR(__xludf.dummyfunction("""COMPUTED_VALUE"""),"まだないです。")</f>
        <v>まだないです。</v>
      </c>
      <c r="S77" s="6" t="str">
        <f aca="false">IFERROR(__xludf.dummyfunction("""COMPUTED_VALUE"""),"家具家電付き社宅")</f>
        <v>家具家電付き社宅</v>
      </c>
      <c r="T77" s="6" t="str">
        <f aca="false">IFERROR(__xludf.dummyfunction("""COMPUTED_VALUE"""),"利用しない")</f>
        <v>利用しない</v>
      </c>
      <c r="U77" s="6"/>
      <c r="V77" s="6" t="str">
        <f aca="false">IFERROR(__xludf.dummyfunction("""COMPUTED_VALUE"""),"自動車")</f>
        <v>自動車</v>
      </c>
      <c r="W77" s="6"/>
      <c r="X77" s="6" t="str">
        <f aca="false">IFERROR(__xludf.dummyfunction("""COMPUTED_VALUE"""),"株式会社ビーネックステクノロジーズの社宅")</f>
        <v>株式会社ビーネックステクノロジーズの社宅</v>
      </c>
      <c r="Y77" s="6" t="str">
        <f aca="false">IFERROR(__xludf.dummyfunction("""COMPUTED_VALUE"""),"利用なし")</f>
        <v>利用なし</v>
      </c>
      <c r="Z77" s="6" t="str">
        <f aca="false">IFERROR(__xludf.dummyfunction("""COMPUTED_VALUE"""),"希望する")</f>
        <v>希望する</v>
      </c>
      <c r="AA77" s="6" t="str">
        <f aca="false">IFERROR(__xludf.dummyfunction("""COMPUTED_VALUE"""),"単身")</f>
        <v>単身</v>
      </c>
      <c r="AB77" s="6"/>
      <c r="AC77" s="6"/>
      <c r="AD77" s="6" t="str">
        <f aca="false">IFERROR(__xludf.dummyfunction("""COMPUTED_VALUE"""),"今年7に結婚する予定ですので広い家を希望します。")</f>
        <v>今年7に結婚する予定ですので広い家を希望します。</v>
      </c>
      <c r="AE77" s="6" t="str">
        <f aca="false">IFERROR(__xludf.dummyfunction("""COMPUTED_VALUE"""),"確認しました。")</f>
        <v>確認しました。</v>
      </c>
      <c r="AF77" s="6" t="str">
        <f aca="false">IFERROR(__xludf.dummyfunction("""COMPUTED_VALUE"""),"社宅基準の内容について確認しました")</f>
        <v>社宅基準の内容について確認しました</v>
      </c>
      <c r="AG77" s="6" t="str">
        <f aca="false">IFERROR(__xludf.dummyfunction("""COMPUTED_VALUE"""),"入居のしおりの内容についてご確認しました")</f>
        <v>入居のしおりの内容についてご確認しました</v>
      </c>
      <c r="AH77" s="6" t="str">
        <f aca="false">IFERROR(__xludf.dummyfunction("""COMPUTED_VALUE"""),"確認しました")</f>
        <v>確認しました</v>
      </c>
      <c r="AI77" s="6"/>
      <c r="AJ77" s="6" t="str">
        <v/>
      </c>
      <c r="AK77" s="6" t="str">
        <v/>
      </c>
      <c r="AL77" s="6" t="str">
        <v/>
      </c>
      <c r="AM77" s="6" t="str">
        <v/>
      </c>
      <c r="AN77" s="6" t="n">
        <f aca="false">FALSE()</f>
        <v>0</v>
      </c>
    </row>
    <row r="78" customFormat="false" ht="52.5" hidden="false" customHeight="true" outlineLevel="0" collapsed="false">
      <c r="A78" s="6" t="str">
        <f aca="false">IFERROR(__xludf.dummyfunction("""COMPUTED_VALUE"""),"2026/02/11 3:11:13")</f>
        <v>2026/02/11 3:11:13</v>
      </c>
      <c r="B78" s="6"/>
      <c r="C78" s="6" t="str">
        <f aca="false">IFERROR(__xludf.dummyfunction("""COMPUTED_VALUE"""),"69746")</f>
        <v>69746</v>
      </c>
      <c r="D78" s="6"/>
      <c r="E78" s="6"/>
      <c r="F78" s="6"/>
      <c r="G78" s="6" t="str">
        <f aca="false">IFERROR(__xludf.dummyfunction("""COMPUTED_VALUE"""),"2026/02/28")</f>
        <v>2026/02/28</v>
      </c>
      <c r="H78" s="6" t="str">
        <f aca="false">IFERROR(__xludf.dummyfunction("""COMPUTED_VALUE"""),"必要")</f>
        <v>必要</v>
      </c>
      <c r="I78" s="6" t="str">
        <f aca="false">IFERROR(__xludf.dummyfunction("""COMPUTED_VALUE"""),"男性")</f>
        <v>男性</v>
      </c>
      <c r="J78" s="6" t="str">
        <f aca="false">IFERROR(__xludf.dummyfunction("""COMPUTED_VALUE"""),"日本")</f>
        <v>日本</v>
      </c>
      <c r="K78" s="6" t="str">
        <f aca="false">IFERROR(__xludf.dummyfunction("""COMPUTED_VALUE"""),"5")</f>
        <v>5</v>
      </c>
      <c r="L78" s="6" t="str">
        <f aca="false">IFERROR(__xludf.dummyfunction("""COMPUTED_VALUE"""),"炊飯器、モニター、PC(タワー型)")</f>
        <v>炊飯器、モニター、PC(タワー型)</v>
      </c>
      <c r="M78" s="6" t="str">
        <f aca="false">IFERROR(__xludf.dummyfunction("""COMPUTED_VALUE"""),"マットレス(シングル)、布団、カラーボックス、チェスト(3段)、ものほし、L字デスク(130×110×70)、デスクチェア")</f>
        <v>マットレス(シングル)、布団、カラーボックス、チェスト(3段)、ものほし、L字デスク(130×110×70)、デスクチェア</v>
      </c>
      <c r="N78" s="6"/>
      <c r="O78" s="6" t="str">
        <f aca="false">IFERROR(__xludf.dummyfunction("""COMPUTED_VALUE"""),"不要")</f>
        <v>不要</v>
      </c>
      <c r="P78" s="6"/>
      <c r="Q78" s="6"/>
      <c r="R78" s="6"/>
      <c r="S78" s="6" t="str">
        <f aca="false">IFERROR(__xludf.dummyfunction("""COMPUTED_VALUE"""),"家具家電なし社宅")</f>
        <v>家具家電なし社宅</v>
      </c>
      <c r="T78" s="6" t="str">
        <f aca="false">IFERROR(__xludf.dummyfunction("""COMPUTED_VALUE"""),"利用する")</f>
        <v>利用する</v>
      </c>
      <c r="U78" s="6" t="str">
        <f aca="false">IFERROR(__xludf.dummyfunction("""COMPUTED_VALUE"""),"冷蔵庫(2ドア)、洗濯機、電子レンジ")</f>
        <v>冷蔵庫(2ドア)、洗濯機、電子レンジ</v>
      </c>
      <c r="V78" s="6" t="str">
        <f aca="false">IFERROR(__xludf.dummyfunction("""COMPUTED_VALUE"""),"徒歩, 電車, バス")</f>
        <v>徒歩, 電車, バス</v>
      </c>
      <c r="W78" s="6"/>
      <c r="X78" s="6" t="str">
        <f aca="false">IFERROR(__xludf.dummyfunction("""COMPUTED_VALUE"""),"株式会社ビーネックステクノロジーズの社宅")</f>
        <v>株式会社ビーネックステクノロジーズの社宅</v>
      </c>
      <c r="Y78" s="6" t="str">
        <f aca="false">IFERROR(__xludf.dummyfunction("""COMPUTED_VALUE"""),"利用なし")</f>
        <v>利用なし</v>
      </c>
      <c r="Z78" s="6" t="str">
        <f aca="false">IFERROR(__xludf.dummyfunction("""COMPUTED_VALUE"""),"希望する")</f>
        <v>希望する</v>
      </c>
      <c r="AA78" s="6" t="str">
        <f aca="false">IFERROR(__xludf.dummyfunction("""COMPUTED_VALUE"""),"単身")</f>
        <v>単身</v>
      </c>
      <c r="AB78" s="6"/>
      <c r="AC78" s="6"/>
      <c r="AD78" s="6" t="str">
        <f aca="false">IFERROR(__xludf.dummyfunction("""COMPUTED_VALUE"""),"可能であれば鉄筋コンクリート造や築浅の、防音性の高い物件を希望します。")</f>
        <v>可能であれば鉄筋コンクリート造や築浅の、防音性の高い物件を希望します。</v>
      </c>
      <c r="AE78" s="6" t="str">
        <f aca="false">IFERROR(__xludf.dummyfunction("""COMPUTED_VALUE"""),"確認しました。")</f>
        <v>確認しました。</v>
      </c>
      <c r="AF78" s="6" t="str">
        <f aca="false">IFERROR(__xludf.dummyfunction("""COMPUTED_VALUE"""),"社宅基準の内容について確認しました")</f>
        <v>社宅基準の内容について確認しました</v>
      </c>
      <c r="AG78" s="6" t="str">
        <f aca="false">IFERROR(__xludf.dummyfunction("""COMPUTED_VALUE"""),"入居のしおりの内容についてご確認しました")</f>
        <v>入居のしおりの内容についてご確認しました</v>
      </c>
      <c r="AH78" s="6" t="str">
        <f aca="false">IFERROR(__xludf.dummyfunction("""COMPUTED_VALUE"""),"確認しました")</f>
        <v>確認しました</v>
      </c>
      <c r="AI78" s="6"/>
      <c r="AJ78" s="6" t="str">
        <v/>
      </c>
      <c r="AK78" s="6" t="str">
        <v/>
      </c>
      <c r="AL78" s="6" t="str">
        <v/>
      </c>
      <c r="AM78" s="6" t="str">
        <v/>
      </c>
      <c r="AN78" s="6" t="n">
        <f aca="false">FALSE()</f>
        <v>0</v>
      </c>
    </row>
    <row r="79" customFormat="false" ht="52.5" hidden="false" customHeight="true" outlineLevel="0" collapsed="false">
      <c r="A79" s="6" t="str">
        <f aca="false">IFERROR(__xludf.dummyfunction("""COMPUTED_VALUE"""),"2026/02/11 16:11:02")</f>
        <v>2026/02/11 16:11:02</v>
      </c>
      <c r="B79" s="6"/>
      <c r="C79" s="6" t="str">
        <f aca="false">IFERROR(__xludf.dummyfunction("""COMPUTED_VALUE"""),"69758")</f>
        <v>69758</v>
      </c>
      <c r="D79" s="6"/>
      <c r="E79" s="6"/>
      <c r="F79" s="6"/>
      <c r="G79" s="6" t="str">
        <f aca="false">IFERROR(__xludf.dummyfunction("""COMPUTED_VALUE"""),"2026/03/21")</f>
        <v>2026/03/21</v>
      </c>
      <c r="H79" s="6" t="str">
        <f aca="false">IFERROR(__xludf.dummyfunction("""COMPUTED_VALUE"""),"不要")</f>
        <v>不要</v>
      </c>
      <c r="I79" s="6" t="str">
        <f aca="false">IFERROR(__xludf.dummyfunction("""COMPUTED_VALUE"""),"男性")</f>
        <v>男性</v>
      </c>
      <c r="J79" s="6" t="str">
        <f aca="false">IFERROR(__xludf.dummyfunction("""COMPUTED_VALUE"""),"日本")</f>
        <v>日本</v>
      </c>
      <c r="K79" s="6"/>
      <c r="L79" s="6"/>
      <c r="M79" s="6"/>
      <c r="N79" s="6"/>
      <c r="O79" s="6" t="str">
        <f aca="false">IFERROR(__xludf.dummyfunction("""COMPUTED_VALUE"""),"不要")</f>
        <v>不要</v>
      </c>
      <c r="P79" s="6"/>
      <c r="Q79" s="6"/>
      <c r="R79" s="6"/>
      <c r="S79" s="6" t="str">
        <f aca="false">IFERROR(__xludf.dummyfunction("""COMPUTED_VALUE"""),"家具家電なし社宅")</f>
        <v>家具家電なし社宅</v>
      </c>
      <c r="T79" s="6" t="str">
        <f aca="false">IFERROR(__xludf.dummyfunction("""COMPUTED_VALUE"""),"利用する")</f>
        <v>利用する</v>
      </c>
      <c r="U79" s="6" t="str">
        <f aca="false">IFERROR(__xludf.dummyfunction("""COMPUTED_VALUE"""),"冷蔵庫、洗濯機、電子レンジ")</f>
        <v>冷蔵庫、洗濯機、電子レンジ</v>
      </c>
      <c r="V79" s="6" t="str">
        <f aca="false">IFERROR(__xludf.dummyfunction("""COMPUTED_VALUE"""),"自転車, 電車")</f>
        <v>自転車, 電車</v>
      </c>
      <c r="W79" s="6"/>
      <c r="X79" s="6" t="str">
        <f aca="false">IFERROR(__xludf.dummyfunction("""COMPUTED_VALUE"""),"株式会社ビーネックステクノロジーズの社宅")</f>
        <v>株式会社ビーネックステクノロジーズの社宅</v>
      </c>
      <c r="Y79" s="6" t="str">
        <f aca="false">IFERROR(__xludf.dummyfunction("""COMPUTED_VALUE"""),"・寝具一式/回収希望・冷蔵庫2ドア80ℓ/新社宅へ引き継ぎ・洗濯機/新社宅へ引き継ぎ・電子レンジ/新社宅へ引き継ぎ")</f>
        <v>・寝具一式/回収希望・冷蔵庫2ドア80ℓ/新社宅へ引き継ぎ・洗濯機/新社宅へ引き継ぎ・電子レンジ/新社宅へ引き継ぎ</v>
      </c>
      <c r="Z79" s="6" t="str">
        <f aca="false">IFERROR(__xludf.dummyfunction("""COMPUTED_VALUE"""),"希望する")</f>
        <v>希望する</v>
      </c>
      <c r="AA79" s="6" t="str">
        <f aca="false">IFERROR(__xludf.dummyfunction("""COMPUTED_VALUE"""),"単身")</f>
        <v>単身</v>
      </c>
      <c r="AB79" s="6"/>
      <c r="AC79" s="6"/>
      <c r="AD79" s="6" t="str">
        <f aca="false">IFERROR(__xludf.dummyfunction("""COMPUTED_VALUE"""),"稲沢か清州のどちらかのエリアでお願いいたします")</f>
        <v>稲沢か清州のどちらかのエリアでお願いいたします</v>
      </c>
      <c r="AE79" s="6" t="str">
        <f aca="false">IFERROR(__xludf.dummyfunction("""COMPUTED_VALUE"""),"確認しました。")</f>
        <v>確認しました。</v>
      </c>
      <c r="AF79" s="6" t="str">
        <f aca="false">IFERROR(__xludf.dummyfunction("""COMPUTED_VALUE"""),"社宅基準の内容について確認しました")</f>
        <v>社宅基準の内容について確認しました</v>
      </c>
      <c r="AG79" s="6" t="str">
        <f aca="false">IFERROR(__xludf.dummyfunction("""COMPUTED_VALUE"""),"入居のしおりの内容についてご確認しました")</f>
        <v>入居のしおりの内容についてご確認しました</v>
      </c>
      <c r="AH79" s="6" t="str">
        <f aca="false">IFERROR(__xludf.dummyfunction("""COMPUTED_VALUE"""),"確認しました")</f>
        <v>確認しました</v>
      </c>
      <c r="AI79" s="6"/>
      <c r="AJ79" s="6" t="str">
        <v/>
      </c>
      <c r="AK79" s="6" t="str">
        <v/>
      </c>
      <c r="AL79" s="6" t="str">
        <v/>
      </c>
      <c r="AM79" s="6" t="str">
        <v/>
      </c>
      <c r="AN79" s="6" t="n">
        <f aca="false">TRUE()</f>
        <v>1</v>
      </c>
    </row>
    <row r="80" customFormat="false" ht="52.5" hidden="false" customHeight="true" outlineLevel="0" collapsed="false">
      <c r="A80" s="6" t="str">
        <f aca="false">IFERROR(__xludf.dummyfunction("""COMPUTED_VALUE"""),"2026/02/11 16:18:30")</f>
        <v>2026/02/11 16:18:30</v>
      </c>
      <c r="B80" s="6"/>
      <c r="C80" s="6" t="str">
        <f aca="false">IFERROR(__xludf.dummyfunction("""COMPUTED_VALUE"""),"69734")</f>
        <v>69734</v>
      </c>
      <c r="D80" s="6"/>
      <c r="E80" s="6"/>
      <c r="F80" s="6"/>
      <c r="G80" s="6" t="str">
        <f aca="false">IFERROR(__xludf.dummyfunction("""COMPUTED_VALUE"""),"2026/02/28")</f>
        <v>2026/02/28</v>
      </c>
      <c r="H80" s="6" t="str">
        <f aca="false">IFERROR(__xludf.dummyfunction("""COMPUTED_VALUE"""),"不要")</f>
        <v>不要</v>
      </c>
      <c r="I80" s="6" t="str">
        <f aca="false">IFERROR(__xludf.dummyfunction("""COMPUTED_VALUE"""),"男性")</f>
        <v>男性</v>
      </c>
      <c r="J80" s="6" t="str">
        <f aca="false">IFERROR(__xludf.dummyfunction("""COMPUTED_VALUE"""),"日本")</f>
        <v>日本</v>
      </c>
      <c r="K80" s="6"/>
      <c r="L80" s="6"/>
      <c r="M80" s="6"/>
      <c r="N80" s="6"/>
      <c r="O80" s="6" t="str">
        <f aca="false">IFERROR(__xludf.dummyfunction("""COMPUTED_VALUE"""),"不要")</f>
        <v>不要</v>
      </c>
      <c r="P80" s="6"/>
      <c r="Q80" s="6"/>
      <c r="R80" s="6"/>
      <c r="S80" s="6" t="str">
        <f aca="false">IFERROR(__xludf.dummyfunction("""COMPUTED_VALUE"""),"家具家電付き社宅")</f>
        <v>家具家電付き社宅</v>
      </c>
      <c r="T80" s="6" t="str">
        <f aca="false">IFERROR(__xludf.dummyfunction("""COMPUTED_VALUE"""),"利用しない")</f>
        <v>利用しない</v>
      </c>
      <c r="U80" s="6"/>
      <c r="V80" s="6" t="str">
        <f aca="false">IFERROR(__xludf.dummyfunction("""COMPUTED_VALUE"""),"自転車, 電車")</f>
        <v>自転車, 電車</v>
      </c>
      <c r="W80" s="6"/>
      <c r="X80" s="6" t="str">
        <f aca="false">IFERROR(__xludf.dummyfunction("""COMPUTED_VALUE"""),"ご自身で契約中の物件")</f>
        <v>ご自身で契約中の物件</v>
      </c>
      <c r="Y80" s="6"/>
      <c r="Z80" s="6" t="str">
        <f aca="false">IFERROR(__xludf.dummyfunction("""COMPUTED_VALUE"""),"希望する")</f>
        <v>希望する</v>
      </c>
      <c r="AA80" s="6" t="str">
        <f aca="false">IFERROR(__xludf.dummyfunction("""COMPUTED_VALUE"""),"単身")</f>
        <v>単身</v>
      </c>
      <c r="AB80" s="6"/>
      <c r="AC80" s="6"/>
      <c r="AD80" s="6" t="str">
        <f aca="false">IFERROR(__xludf.dummyfunction("""COMPUTED_VALUE"""),"荷物の一時保管ができないため荷物を入居先に送ることは可能か。荷物が多いため可能であれば助かります。")</f>
        <v>荷物の一時保管ができないため荷物を入居先に送ることは可能か。荷物が多いため可能であれば助かります。</v>
      </c>
      <c r="AE80" s="6" t="str">
        <f aca="false">IFERROR(__xludf.dummyfunction("""COMPUTED_VALUE"""),"確認しました。, ")</f>
        <v>確認しました。, </v>
      </c>
      <c r="AF80" s="6" t="str">
        <f aca="false">IFERROR(__xludf.dummyfunction("""COMPUTED_VALUE"""),"社宅基準の内容について確認しました")</f>
        <v>社宅基準の内容について確認しました</v>
      </c>
      <c r="AG80" s="6" t="str">
        <f aca="false">IFERROR(__xludf.dummyfunction("""COMPUTED_VALUE"""),"入居のしおりの内容についてご確認しました")</f>
        <v>入居のしおりの内容についてご確認しました</v>
      </c>
      <c r="AH80" s="6" t="str">
        <f aca="false">IFERROR(__xludf.dummyfunction("""COMPUTED_VALUE"""),"確認しました")</f>
        <v>確認しました</v>
      </c>
      <c r="AI80" s="6"/>
      <c r="AJ80" s="6" t="str">
        <v/>
      </c>
      <c r="AK80" s="6" t="str">
        <v/>
      </c>
      <c r="AL80" s="6" t="str">
        <v/>
      </c>
      <c r="AM80" s="6" t="str">
        <v/>
      </c>
      <c r="AN80" s="6" t="n">
        <f aca="false">FALSE()</f>
        <v>0</v>
      </c>
    </row>
    <row r="81" customFormat="false" ht="52.5" hidden="false" customHeight="true" outlineLevel="0" collapsed="false">
      <c r="A81" s="6" t="str">
        <f aca="false">IFERROR(__xludf.dummyfunction("""COMPUTED_VALUE"""),"2026/02/11 21:20:35")</f>
        <v>2026/02/11 21:20:35</v>
      </c>
      <c r="B81" s="6"/>
      <c r="C81" s="6" t="str">
        <f aca="false">IFERROR(__xludf.dummyfunction("""COMPUTED_VALUE"""),"69830")</f>
        <v>69830</v>
      </c>
      <c r="D81" s="6"/>
      <c r="E81" s="6"/>
      <c r="F81" s="6"/>
      <c r="G81" s="6" t="str">
        <f aca="false">IFERROR(__xludf.dummyfunction("""COMPUTED_VALUE"""),"2026/03/11")</f>
        <v>2026/03/11</v>
      </c>
      <c r="H81" s="6" t="str">
        <f aca="false">IFERROR(__xludf.dummyfunction("""COMPUTED_VALUE"""),"必要")</f>
        <v>必要</v>
      </c>
      <c r="I81" s="6" t="str">
        <f aca="false">IFERROR(__xludf.dummyfunction("""COMPUTED_VALUE"""),"男性")</f>
        <v>男性</v>
      </c>
      <c r="J81" s="6" t="str">
        <f aca="false">IFERROR(__xludf.dummyfunction("""COMPUTED_VALUE"""),"日本")</f>
        <v>日本</v>
      </c>
      <c r="K81" s="6" t="str">
        <f aca="false">IFERROR(__xludf.dummyfunction("""COMPUTED_VALUE"""),"10")</f>
        <v>10</v>
      </c>
      <c r="L81" s="6" t="str">
        <f aca="false">IFERROR(__xludf.dummyfunction("""COMPUTED_VALUE"""),"冷蔵庫（単身用）、縦型洗濯機、電子レンジ")</f>
        <v>冷蔵庫（単身用）、縦型洗濯機、電子レンジ</v>
      </c>
      <c r="M81" s="6" t="str">
        <f aca="false">IFERROR(__xludf.dummyfunction("""COMPUTED_VALUE"""),"棚（横40cm,奥行30cm,高さ130cm）")</f>
        <v>棚（横40cm,奥行30cm,高さ130cm）</v>
      </c>
      <c r="N81" s="6"/>
      <c r="O81" s="6" t="str">
        <f aca="false">IFERROR(__xludf.dummyfunction("""COMPUTED_VALUE"""),"不要")</f>
        <v>不要</v>
      </c>
      <c r="P81" s="6"/>
      <c r="Q81" s="6"/>
      <c r="R81" s="6"/>
      <c r="S81" s="6" t="str">
        <f aca="false">IFERROR(__xludf.dummyfunction("""COMPUTED_VALUE"""),"家具家電なし社宅")</f>
        <v>家具家電なし社宅</v>
      </c>
      <c r="T81" s="6" t="str">
        <f aca="false">IFERROR(__xludf.dummyfunction("""COMPUTED_VALUE"""),"利用しない")</f>
        <v>利用しない</v>
      </c>
      <c r="U81" s="6"/>
      <c r="V81" s="6" t="str">
        <f aca="false">IFERROR(__xludf.dummyfunction("""COMPUTED_VALUE"""),"徒歩, 電車, バス")</f>
        <v>徒歩, 電車, バス</v>
      </c>
      <c r="W81" s="6"/>
      <c r="X81" s="6" t="str">
        <f aca="false">IFERROR(__xludf.dummyfunction("""COMPUTED_VALUE"""),"ご自身で契約中の物件")</f>
        <v>ご自身で契約中の物件</v>
      </c>
      <c r="Y81" s="6"/>
      <c r="Z81" s="6" t="str">
        <f aca="false">IFERROR(__xludf.dummyfunction("""COMPUTED_VALUE"""),"希望する")</f>
        <v>希望する</v>
      </c>
      <c r="AA81" s="6" t="str">
        <f aca="false">IFERROR(__xludf.dummyfunction("""COMPUTED_VALUE"""),"単身")</f>
        <v>単身</v>
      </c>
      <c r="AB81" s="6"/>
      <c r="AC81" s="6"/>
      <c r="AD81" s="6" t="str">
        <f aca="false">IFERROR(__xludf.dummyfunction("""COMPUTED_VALUE"""),"駐車場についてですが、まだ車を持っていないため、一旦なしを選択しました。
後に欲しいとは考えているため、駐車場はあるところがいいです。")</f>
        <v>駐車場についてですが、まだ車を持っていないため、一旦なしを選択しました。
後に欲しいとは考えているため、駐車場はあるところがいいです。</v>
      </c>
      <c r="AE81" s="6" t="str">
        <f aca="false">IFERROR(__xludf.dummyfunction("""COMPUTED_VALUE"""),"確認しました。")</f>
        <v>確認しました。</v>
      </c>
      <c r="AF81" s="6" t="str">
        <f aca="false">IFERROR(__xludf.dummyfunction("""COMPUTED_VALUE"""),"社宅基準の内容について確認しました")</f>
        <v>社宅基準の内容について確認しました</v>
      </c>
      <c r="AG81" s="6" t="str">
        <f aca="false">IFERROR(__xludf.dummyfunction("""COMPUTED_VALUE"""),"入居のしおりの内容についてご確認しました")</f>
        <v>入居のしおりの内容についてご確認しました</v>
      </c>
      <c r="AH81" s="6" t="str">
        <f aca="false">IFERROR(__xludf.dummyfunction("""COMPUTED_VALUE"""),"確認しました")</f>
        <v>確認しました</v>
      </c>
      <c r="AI81" s="6"/>
      <c r="AJ81" s="6" t="str">
        <v/>
      </c>
      <c r="AK81" s="6" t="str">
        <v/>
      </c>
      <c r="AL81" s="6" t="str">
        <v/>
      </c>
      <c r="AM81" s="6" t="str">
        <v/>
      </c>
      <c r="AN81" s="6" t="n">
        <f aca="false">TRUE()</f>
        <v>1</v>
      </c>
    </row>
    <row r="82" customFormat="false" ht="52.5" hidden="false" customHeight="true" outlineLevel="0" collapsed="false">
      <c r="A82" s="6" t="str">
        <f aca="false">IFERROR(__xludf.dummyfunction("""COMPUTED_VALUE"""),"2026/02/12 9:57:50")</f>
        <v>2026/02/12 9:57:50</v>
      </c>
      <c r="B82" s="6"/>
      <c r="C82" s="6" t="str">
        <f aca="false">IFERROR(__xludf.dummyfunction("""COMPUTED_VALUE"""),"69772")</f>
        <v>69772</v>
      </c>
      <c r="D82" s="6"/>
      <c r="E82" s="6"/>
      <c r="F82" s="6"/>
      <c r="G82" s="6" t="str">
        <f aca="false">IFERROR(__xludf.dummyfunction("""COMPUTED_VALUE"""),"2026/03/01")</f>
        <v>2026/03/01</v>
      </c>
      <c r="H82" s="6" t="str">
        <f aca="false">IFERROR(__xludf.dummyfunction("""COMPUTED_VALUE"""),"必要")</f>
        <v>必要</v>
      </c>
      <c r="I82" s="6" t="str">
        <f aca="false">IFERROR(__xludf.dummyfunction("""COMPUTED_VALUE"""),"男性")</f>
        <v>男性</v>
      </c>
      <c r="J82" s="6" t="str">
        <f aca="false">IFERROR(__xludf.dummyfunction("""COMPUTED_VALUE"""),"日本")</f>
        <v>日本</v>
      </c>
      <c r="K82" s="6" t="str">
        <f aca="false">IFERROR(__xludf.dummyfunction("""COMPUTED_VALUE"""),"15")</f>
        <v>15</v>
      </c>
      <c r="L82" s="6" t="str">
        <f aca="false">IFERROR(__xludf.dummyfunction("""COMPUTED_VALUE"""),"単身用冷蔵庫、洗濯機、レンジ")</f>
        <v>単身用冷蔵庫、洗濯機、レンジ</v>
      </c>
      <c r="M82" s="6" t="str">
        <f aca="false">IFERROR(__xludf.dummyfunction("""COMPUTED_VALUE"""),"棚×2 カラボ4")</f>
        <v>棚×2 カラボ4</v>
      </c>
      <c r="N82" s="6"/>
      <c r="O82" s="6" t="str">
        <f aca="false">IFERROR(__xludf.dummyfunction("""COMPUTED_VALUE"""),"不要")</f>
        <v>不要</v>
      </c>
      <c r="P82" s="6"/>
      <c r="Q82" s="6"/>
      <c r="R82" s="6"/>
      <c r="S82" s="6" t="str">
        <f aca="false">IFERROR(__xludf.dummyfunction("""COMPUTED_VALUE"""),"家具家電なし社宅")</f>
        <v>家具家電なし社宅</v>
      </c>
      <c r="T82" s="6" t="str">
        <f aca="false">IFERROR(__xludf.dummyfunction("""COMPUTED_VALUE"""),"利用しない")</f>
        <v>利用しない</v>
      </c>
      <c r="U82" s="6"/>
      <c r="V82" s="6" t="str">
        <f aca="false">IFERROR(__xludf.dummyfunction("""COMPUTED_VALUE"""),"自転車")</f>
        <v>自転車</v>
      </c>
      <c r="W82" s="6"/>
      <c r="X82" s="6" t="str">
        <f aca="false">IFERROR(__xludf.dummyfunction("""COMPUTED_VALUE"""),"株式会社ビーネックステクノロジーズの社宅")</f>
        <v>株式会社ビーネックステクノロジーズの社宅</v>
      </c>
      <c r="Y82" s="6" t="str">
        <f aca="false">IFERROR(__xludf.dummyfunction("""COMPUTED_VALUE"""),"なし")</f>
        <v>なし</v>
      </c>
      <c r="Z82" s="6" t="str">
        <f aca="false">IFERROR(__xludf.dummyfunction("""COMPUTED_VALUE"""),"希望する")</f>
        <v>希望する</v>
      </c>
      <c r="AA82" s="6" t="str">
        <f aca="false">IFERROR(__xludf.dummyfunction("""COMPUTED_VALUE"""),"単身")</f>
        <v>単身</v>
      </c>
      <c r="AB82" s="6"/>
      <c r="AC82" s="6"/>
      <c r="AD82" s="6"/>
      <c r="AE82" s="6" t="str">
        <f aca="false">IFERROR(__xludf.dummyfunction("""COMPUTED_VALUE"""),"確認しました。")</f>
        <v>確認しました。</v>
      </c>
      <c r="AF82" s="6" t="str">
        <f aca="false">IFERROR(__xludf.dummyfunction("""COMPUTED_VALUE"""),"社宅基準の内容について確認しました")</f>
        <v>社宅基準の内容について確認しました</v>
      </c>
      <c r="AG82" s="6" t="str">
        <f aca="false">IFERROR(__xludf.dummyfunction("""COMPUTED_VALUE"""),"入居のしおりの内容についてご確認しました")</f>
        <v>入居のしおりの内容についてご確認しました</v>
      </c>
      <c r="AH82" s="6" t="str">
        <f aca="false">IFERROR(__xludf.dummyfunction("""COMPUTED_VALUE"""),"確認しました")</f>
        <v>確認しました</v>
      </c>
      <c r="AI82" s="6"/>
      <c r="AJ82" s="6" t="str">
        <v/>
      </c>
      <c r="AK82" s="6" t="str">
        <v/>
      </c>
      <c r="AL82" s="6" t="str">
        <v/>
      </c>
      <c r="AM82" s="6" t="str">
        <v/>
      </c>
      <c r="AN82" s="6" t="n">
        <f aca="false">TRUE()</f>
        <v>1</v>
      </c>
    </row>
    <row r="83" customFormat="false" ht="52.5" hidden="false" customHeight="true" outlineLevel="0" collapsed="false">
      <c r="A83" s="6" t="str">
        <f aca="false">IFERROR(__xludf.dummyfunction("""COMPUTED_VALUE"""),"2026/02/12 9:59:11")</f>
        <v>2026/02/12 9:59:11</v>
      </c>
      <c r="B83" s="6"/>
      <c r="C83" s="6" t="str">
        <f aca="false">IFERROR(__xludf.dummyfunction("""COMPUTED_VALUE"""),"69844")</f>
        <v>69844</v>
      </c>
      <c r="D83" s="6"/>
      <c r="E83" s="6"/>
      <c r="F83" s="6"/>
      <c r="G83" s="6" t="str">
        <f aca="false">IFERROR(__xludf.dummyfunction("""COMPUTED_VALUE"""),"2026/02/20")</f>
        <v>2026/02/20</v>
      </c>
      <c r="H83" s="6" t="str">
        <f aca="false">IFERROR(__xludf.dummyfunction("""COMPUTED_VALUE"""),"必要")</f>
        <v>必要</v>
      </c>
      <c r="I83" s="6" t="str">
        <f aca="false">IFERROR(__xludf.dummyfunction("""COMPUTED_VALUE"""),"男性")</f>
        <v>男性</v>
      </c>
      <c r="J83" s="6" t="str">
        <f aca="false">IFERROR(__xludf.dummyfunction("""COMPUTED_VALUE"""),"日本")</f>
        <v>日本</v>
      </c>
      <c r="K83" s="6" t="str">
        <f aca="false">IFERROR(__xludf.dummyfunction("""COMPUTED_VALUE"""),"20")</f>
        <v>20</v>
      </c>
      <c r="L83" s="6" t="str">
        <f aca="false">IFERROR(__xludf.dummyfunction("""COMPUTED_VALUE"""),"冷蔵庫(単身)、電子レンジ、洗濯機、デスクトップPCx2、扇風機、電気コンロ")</f>
        <v>冷蔵庫(単身)、電子レンジ、洗濯機、デスクトップPCx2、扇風機、電気コンロ</v>
      </c>
      <c r="M83" s="6" t="str">
        <f aca="false">IFERROR(__xludf.dummyfunction("""COMPUTED_VALUE"""),"棚、デスク(170x150)解体可、マットレス(シングル)x２、布団(シングル)、カラーボックス")</f>
        <v>棚、デスク(170x150)解体可、マットレス(シングル)x２、布団(シングル)、カラーボックス</v>
      </c>
      <c r="N83" s="6" t="str">
        <f aca="false">IFERROR(__xludf.dummyfunction("""COMPUTED_VALUE"""),"自転車、ガラスマウスパッド")</f>
        <v>自転車、ガラスマウスパッド</v>
      </c>
      <c r="O83" s="6" t="str">
        <f aca="false">IFERROR(__xludf.dummyfunction("""COMPUTED_VALUE"""),"不要")</f>
        <v>不要</v>
      </c>
      <c r="P83" s="6"/>
      <c r="Q83" s="6"/>
      <c r="R83" s="6"/>
      <c r="S83" s="6" t="str">
        <f aca="false">IFERROR(__xludf.dummyfunction("""COMPUTED_VALUE"""),"家具家電なし社宅")</f>
        <v>家具家電なし社宅</v>
      </c>
      <c r="T83" s="6" t="str">
        <f aca="false">IFERROR(__xludf.dummyfunction("""COMPUTED_VALUE"""),"利用しない")</f>
        <v>利用しない</v>
      </c>
      <c r="U83" s="6"/>
      <c r="V83" s="6" t="str">
        <f aca="false">IFERROR(__xludf.dummyfunction("""COMPUTED_VALUE"""),"徒歩, 自動車")</f>
        <v>徒歩, 自動車</v>
      </c>
      <c r="W83" s="6"/>
      <c r="X83" s="6" t="str">
        <f aca="false">IFERROR(__xludf.dummyfunction("""COMPUTED_VALUE"""),"株式会社ビーネックステクノロジーズの社宅")</f>
        <v>株式会社ビーネックステクノロジーズの社宅</v>
      </c>
      <c r="Y83" s="6" t="str">
        <f aca="false">IFERROR(__xludf.dummyfunction("""COMPUTED_VALUE"""),"利用なし")</f>
        <v>利用なし</v>
      </c>
      <c r="Z83" s="6" t="str">
        <f aca="false">IFERROR(__xludf.dummyfunction("""COMPUTED_VALUE"""),"希望する")</f>
        <v>希望する</v>
      </c>
      <c r="AA83" s="6" t="str">
        <f aca="false">IFERROR(__xludf.dummyfunction("""COMPUTED_VALUE"""),"単身")</f>
        <v>単身</v>
      </c>
      <c r="AB83" s="6"/>
      <c r="AC83" s="6"/>
      <c r="AD83" s="6" t="str">
        <f aca="false">IFERROR(__xludf.dummyfunction("""COMPUTED_VALUE"""),"防音設備がしっかりしれいるところ。外音があまり気にならないところ。VDSL回線ではないところ。")</f>
        <v>防音設備がしっかりしれいるところ。外音があまり気にならないところ。VDSL回線ではないところ。</v>
      </c>
      <c r="AE83" s="6" t="str">
        <f aca="false">IFERROR(__xludf.dummyfunction("""COMPUTED_VALUE"""),"確認しました。")</f>
        <v>確認しました。</v>
      </c>
      <c r="AF83" s="6" t="str">
        <f aca="false">IFERROR(__xludf.dummyfunction("""COMPUTED_VALUE"""),"社宅基準の内容について確認しました")</f>
        <v>社宅基準の内容について確認しました</v>
      </c>
      <c r="AG83" s="6" t="str">
        <f aca="false">IFERROR(__xludf.dummyfunction("""COMPUTED_VALUE"""),"入居のしおりの内容についてご確認しました")</f>
        <v>入居のしおりの内容についてご確認しました</v>
      </c>
      <c r="AH83" s="6" t="str">
        <f aca="false">IFERROR(__xludf.dummyfunction("""COMPUTED_VALUE"""),"確認しました")</f>
        <v>確認しました</v>
      </c>
      <c r="AI83" s="6"/>
      <c r="AJ83" s="6" t="str">
        <v/>
      </c>
      <c r="AK83" s="6" t="str">
        <v/>
      </c>
      <c r="AL83" s="6" t="str">
        <v/>
      </c>
      <c r="AM83" s="6" t="str">
        <v/>
      </c>
      <c r="AN83" s="6" t="n">
        <f aca="false">FALSE()</f>
        <v>0</v>
      </c>
    </row>
    <row r="84" customFormat="false" ht="52.5" hidden="false" customHeight="true" outlineLevel="0" collapsed="false">
      <c r="A84" s="6" t="str">
        <f aca="false">IFERROR(__xludf.dummyfunction("""COMPUTED_VALUE"""),"2026/02/12 10:59:35")</f>
        <v>2026/02/12 10:59:35</v>
      </c>
      <c r="B84" s="6"/>
      <c r="C84" s="6" t="str">
        <f aca="false">IFERROR(__xludf.dummyfunction("""COMPUTED_VALUE"""),"69843")</f>
        <v>69843</v>
      </c>
      <c r="D84" s="6"/>
      <c r="E84" s="6"/>
      <c r="F84" s="6"/>
      <c r="G84" s="6" t="str">
        <f aca="false">IFERROR(__xludf.dummyfunction("""COMPUTED_VALUE"""),"2026/02/21")</f>
        <v>2026/02/21</v>
      </c>
      <c r="H84" s="6" t="str">
        <f aca="false">IFERROR(__xludf.dummyfunction("""COMPUTED_VALUE"""),"必要")</f>
        <v>必要</v>
      </c>
      <c r="I84" s="6" t="str">
        <f aca="false">IFERROR(__xludf.dummyfunction("""COMPUTED_VALUE"""),"男性")</f>
        <v>男性</v>
      </c>
      <c r="J84" s="6" t="str">
        <f aca="false">IFERROR(__xludf.dummyfunction("""COMPUTED_VALUE"""),"日本")</f>
        <v>日本</v>
      </c>
      <c r="K84" s="6" t="str">
        <f aca="false">IFERROR(__xludf.dummyfunction("""COMPUTED_VALUE"""),"6")</f>
        <v>6</v>
      </c>
      <c r="L84" s="6" t="str">
        <f aca="false">IFERROR(__xludf.dummyfunction("""COMPUTED_VALUE"""),"炊飯器、トースター、コタツ")</f>
        <v>炊飯器、トースター、コタツ</v>
      </c>
      <c r="M84" s="6" t="str">
        <f aca="false">IFERROR(__xludf.dummyfunction("""COMPUTED_VALUE"""),"2人掛けソファ、ヨギボー")</f>
        <v>2人掛けソファ、ヨギボー</v>
      </c>
      <c r="N84" s="6" t="str">
        <f aca="false">IFERROR(__xludf.dummyfunction("""COMPUTED_VALUE"""),"自動車タイヤ4つ、布団")</f>
        <v>自動車タイヤ4つ、布団</v>
      </c>
      <c r="O84" s="6" t="str">
        <f aca="false">IFERROR(__xludf.dummyfunction("""COMPUTED_VALUE"""),"必要")</f>
        <v>必要</v>
      </c>
      <c r="P84" s="6" t="str">
        <f aca="false">IFERROR(__xludf.dummyfunction("""COMPUTED_VALUE"""),"AZワゴン")</f>
        <v>AZワゴン</v>
      </c>
      <c r="Q84" s="6" t="str">
        <f aca="false">IFERROR(__xludf.dummyfunction("""COMPUTED_VALUE"""),"相原 581 ち 6047")</f>
        <v>相原 581 ち 6047</v>
      </c>
      <c r="R84" s="6" t="str">
        <f aca="false">IFERROR(__xludf.dummyfunction("""COMPUTED_VALUE"""),"黒")</f>
        <v>黒</v>
      </c>
      <c r="S84" s="6" t="str">
        <f aca="false">IFERROR(__xludf.dummyfunction("""COMPUTED_VALUE"""),"家具家電付き社宅")</f>
        <v>家具家電付き社宅</v>
      </c>
      <c r="T84" s="6" t="str">
        <f aca="false">IFERROR(__xludf.dummyfunction("""COMPUTED_VALUE"""),"利用しない")</f>
        <v>利用しない</v>
      </c>
      <c r="U84" s="6"/>
      <c r="V84" s="6" t="str">
        <f aca="false">IFERROR(__xludf.dummyfunction("""COMPUTED_VALUE"""),"電車, バス")</f>
        <v>電車, バス</v>
      </c>
      <c r="W84" s="6"/>
      <c r="X84" s="6" t="str">
        <f aca="false">IFERROR(__xludf.dummyfunction("""COMPUTED_VALUE"""),"株式会社ビーネックステクノロジーズの社宅")</f>
        <v>株式会社ビーネックステクノロジーズの社宅</v>
      </c>
      <c r="Y84" s="6" t="str">
        <f aca="false">IFERROR(__xludf.dummyfunction("""COMPUTED_VALUE"""),"利用なし")</f>
        <v>利用なし</v>
      </c>
      <c r="Z84" s="6" t="str">
        <f aca="false">IFERROR(__xludf.dummyfunction("""COMPUTED_VALUE"""),"希望する")</f>
        <v>希望する</v>
      </c>
      <c r="AA84" s="6" t="str">
        <f aca="false">IFERROR(__xludf.dummyfunction("""COMPUTED_VALUE"""),"単身")</f>
        <v>単身</v>
      </c>
      <c r="AB84" s="6"/>
      <c r="AC84" s="6"/>
      <c r="AD84" s="6" t="str">
        <f aca="false">IFERROR(__xludf.dummyfunction("""COMPUTED_VALUE"""),"通勤時間15分圏内を希望します。
風呂トイレ別の物件を希望します。
家賃は今の物件と同じか低いところ。
駐車場代金もなるべく安い所を希望します。
ライフラインサポートを希望はいたしましたが、電気会社だけは住所変更のみで引越し先でも引き続き契約を続行出来ると聞いているので電気会社の紹介はいらないです。電気会社だけ紹介無しはできないということであれば今の会社とは解約し紹介を受けさせていただきます。
引越し日はずれる可能性があります。")</f>
        <v>通勤時間15分圏内を希望します。
風呂トイレ別の物件を希望します。
家賃は今の物件と同じか低いところ。
駐車場代金もなるべく安い所を希望します。
ライフラインサポートを希望はいたしましたが、電気会社だけは住所変更のみで引越し先でも引き続き契約を続行出来ると聞いているので電気会社の紹介はいらないです。電気会社だけ紹介無しはできないということであれば今の会社とは解約し紹介を受けさせていただきます。
引越し日はずれる可能性があります。</v>
      </c>
      <c r="AE84" s="6" t="str">
        <f aca="false">IFERROR(__xludf.dummyfunction("""COMPUTED_VALUE"""),"確認しました。")</f>
        <v>確認しました。</v>
      </c>
      <c r="AF84" s="6" t="str">
        <f aca="false">IFERROR(__xludf.dummyfunction("""COMPUTED_VALUE"""),"社宅基準の内容について確認しました")</f>
        <v>社宅基準の内容について確認しました</v>
      </c>
      <c r="AG84" s="6" t="str">
        <f aca="false">IFERROR(__xludf.dummyfunction("""COMPUTED_VALUE"""),"入居のしおりの内容についてご確認しました")</f>
        <v>入居のしおりの内容についてご確認しました</v>
      </c>
      <c r="AH84" s="6" t="str">
        <f aca="false">IFERROR(__xludf.dummyfunction("""COMPUTED_VALUE"""),"確認しました")</f>
        <v>確認しました</v>
      </c>
      <c r="AI84" s="6"/>
      <c r="AJ84" s="6" t="str">
        <v/>
      </c>
      <c r="AK84" s="6" t="str">
        <v/>
      </c>
      <c r="AL84" s="6" t="str">
        <v/>
      </c>
      <c r="AM84" s="6" t="str">
        <v/>
      </c>
      <c r="AN84" s="6" t="n">
        <f aca="false">FALSE()</f>
        <v>0</v>
      </c>
    </row>
    <row r="85" customFormat="false" ht="52.5" hidden="false" customHeight="true" outlineLevel="0" collapsed="false">
      <c r="A85" s="6" t="str">
        <f aca="false">IFERROR(__xludf.dummyfunction("""COMPUTED_VALUE"""),"2026/02/12 12:16:25")</f>
        <v>2026/02/12 12:16:25</v>
      </c>
      <c r="B85" s="6"/>
      <c r="C85" s="6" t="str">
        <f aca="false">IFERROR(__xludf.dummyfunction("""COMPUTED_VALUE"""),"69535")</f>
        <v>69535</v>
      </c>
      <c r="D85" s="6"/>
      <c r="E85" s="6"/>
      <c r="F85" s="6"/>
      <c r="G85" s="6" t="str">
        <f aca="false">IFERROR(__xludf.dummyfunction("""COMPUTED_VALUE"""),"2026/03/30")</f>
        <v>2026/03/30</v>
      </c>
      <c r="H85" s="6" t="str">
        <f aca="false">IFERROR(__xludf.dummyfunction("""COMPUTED_VALUE"""),"不要")</f>
        <v>不要</v>
      </c>
      <c r="I85" s="6" t="str">
        <f aca="false">IFERROR(__xludf.dummyfunction("""COMPUTED_VALUE"""),"男性")</f>
        <v>男性</v>
      </c>
      <c r="J85" s="6" t="str">
        <f aca="false">IFERROR(__xludf.dummyfunction("""COMPUTED_VALUE"""),"日本")</f>
        <v>日本</v>
      </c>
      <c r="K85" s="6"/>
      <c r="L85" s="6"/>
      <c r="M85" s="6"/>
      <c r="N85" s="6"/>
      <c r="O85" s="6" t="str">
        <f aca="false">IFERROR(__xludf.dummyfunction("""COMPUTED_VALUE"""),"必要")</f>
        <v>必要</v>
      </c>
      <c r="P85" s="6" t="str">
        <f aca="false">IFERROR(__xludf.dummyfunction("""COMPUTED_VALUE"""),"未購入")</f>
        <v>未購入</v>
      </c>
      <c r="Q85" s="6" t="str">
        <f aca="false">IFERROR(__xludf.dummyfunction("""COMPUTED_VALUE"""),"未購入")</f>
        <v>未購入</v>
      </c>
      <c r="R85" s="6" t="str">
        <f aca="false">IFERROR(__xludf.dummyfunction("""COMPUTED_VALUE"""),"未購入")</f>
        <v>未購入</v>
      </c>
      <c r="S85" s="6" t="str">
        <f aca="false">IFERROR(__xludf.dummyfunction("""COMPUTED_VALUE"""),"家具家電なし社宅")</f>
        <v>家具家電なし社宅</v>
      </c>
      <c r="T85" s="6" t="str">
        <f aca="false">IFERROR(__xludf.dummyfunction("""COMPUTED_VALUE"""),"利用しない")</f>
        <v>利用しない</v>
      </c>
      <c r="U85" s="6"/>
      <c r="V85" s="6" t="str">
        <f aca="false">IFERROR(__xludf.dummyfunction("""COMPUTED_VALUE"""),"自動車, 自転車")</f>
        <v>自動車, 自転車</v>
      </c>
      <c r="W85" s="6"/>
      <c r="X85" s="6" t="str">
        <f aca="false">IFERROR(__xludf.dummyfunction("""COMPUTED_VALUE"""),"実家")</f>
        <v>実家</v>
      </c>
      <c r="Y85" s="6"/>
      <c r="Z85" s="6" t="str">
        <f aca="false">IFERROR(__xludf.dummyfunction("""COMPUTED_VALUE"""),"希望する")</f>
        <v>希望する</v>
      </c>
      <c r="AA85" s="6" t="str">
        <f aca="false">IFERROR(__xludf.dummyfunction("""COMPUTED_VALUE"""),"単身")</f>
        <v>単身</v>
      </c>
      <c r="AB85" s="6"/>
      <c r="AC85" s="6"/>
      <c r="AD85" s="6"/>
      <c r="AE85" s="6" t="str">
        <f aca="false">IFERROR(__xludf.dummyfunction("""COMPUTED_VALUE"""),"確認しました。")</f>
        <v>確認しました。</v>
      </c>
      <c r="AF85" s="6" t="str">
        <f aca="false">IFERROR(__xludf.dummyfunction("""COMPUTED_VALUE"""),"社宅基準の内容について確認しました")</f>
        <v>社宅基準の内容について確認しました</v>
      </c>
      <c r="AG85" s="6" t="str">
        <f aca="false">IFERROR(__xludf.dummyfunction("""COMPUTED_VALUE"""),"入居のしおりの内容についてご確認しました")</f>
        <v>入居のしおりの内容についてご確認しました</v>
      </c>
      <c r="AH85" s="6" t="str">
        <f aca="false">IFERROR(__xludf.dummyfunction("""COMPUTED_VALUE"""),"確認しました")</f>
        <v>確認しました</v>
      </c>
      <c r="AI85" s="6"/>
      <c r="AJ85" s="6" t="str">
        <v/>
      </c>
      <c r="AK85" s="6" t="str">
        <v/>
      </c>
      <c r="AL85" s="6" t="str">
        <v/>
      </c>
      <c r="AM85" s="6" t="str">
        <v/>
      </c>
      <c r="AN85" s="6" t="n">
        <f aca="false">FALSE()</f>
        <v>0</v>
      </c>
    </row>
    <row r="86" customFormat="false" ht="52.5" hidden="false" customHeight="true" outlineLevel="0" collapsed="false">
      <c r="A86" s="6" t="str">
        <f aca="false">IFERROR(__xludf.dummyfunction("""COMPUTED_VALUE"""),"2026/02/12 12:28:23")</f>
        <v>2026/02/12 12:28:23</v>
      </c>
      <c r="B86" s="6"/>
      <c r="C86" s="6" t="str">
        <f aca="false">IFERROR(__xludf.dummyfunction("""COMPUTED_VALUE"""),"69637")</f>
        <v>69637</v>
      </c>
      <c r="D86" s="6"/>
      <c r="E86" s="6"/>
      <c r="F86" s="6"/>
      <c r="G86" s="6" t="str">
        <f aca="false">IFERROR(__xludf.dummyfunction("""COMPUTED_VALUE"""),"2026/03/15")</f>
        <v>2026/03/15</v>
      </c>
      <c r="H86" s="6" t="str">
        <f aca="false">IFERROR(__xludf.dummyfunction("""COMPUTED_VALUE"""),"不要")</f>
        <v>不要</v>
      </c>
      <c r="I86" s="6" t="str">
        <f aca="false">IFERROR(__xludf.dummyfunction("""COMPUTED_VALUE"""),"男性")</f>
        <v>男性</v>
      </c>
      <c r="J86" s="6" t="str">
        <f aca="false">IFERROR(__xludf.dummyfunction("""COMPUTED_VALUE"""),"日本")</f>
        <v>日本</v>
      </c>
      <c r="K86" s="6"/>
      <c r="L86" s="6"/>
      <c r="M86" s="6"/>
      <c r="N86" s="6"/>
      <c r="O86" s="6" t="str">
        <f aca="false">IFERROR(__xludf.dummyfunction("""COMPUTED_VALUE"""),"必要")</f>
        <v>必要</v>
      </c>
      <c r="P86" s="6" t="str">
        <f aca="false">IFERROR(__xludf.dummyfunction("""COMPUTED_VALUE"""),"ラパン")</f>
        <v>ラパン</v>
      </c>
      <c r="Q86" s="6" t="str">
        <f aca="false">IFERROR(__xludf.dummyfunction("""COMPUTED_VALUE"""),"く4-17")</f>
        <v>く4-17</v>
      </c>
      <c r="R86" s="6" t="str">
        <f aca="false">IFERROR(__xludf.dummyfunction("""COMPUTED_VALUE"""),"水色")</f>
        <v>水色</v>
      </c>
      <c r="S86" s="6" t="str">
        <f aca="false">IFERROR(__xludf.dummyfunction("""COMPUTED_VALUE"""),"家具家電付き社宅")</f>
        <v>家具家電付き社宅</v>
      </c>
      <c r="T86" s="6" t="str">
        <f aca="false">IFERROR(__xludf.dummyfunction("""COMPUTED_VALUE"""),"利用しない")</f>
        <v>利用しない</v>
      </c>
      <c r="U86" s="6"/>
      <c r="V86" s="6" t="str">
        <f aca="false">IFERROR(__xludf.dummyfunction("""COMPUTED_VALUE"""),"自動車")</f>
        <v>自動車</v>
      </c>
      <c r="W86" s="6"/>
      <c r="X86" s="6" t="str">
        <f aca="false">IFERROR(__xludf.dummyfunction("""COMPUTED_VALUE"""),"実家")</f>
        <v>実家</v>
      </c>
      <c r="Y86" s="6"/>
      <c r="Z86" s="6" t="str">
        <f aca="false">IFERROR(__xludf.dummyfunction("""COMPUTED_VALUE"""),"希望する")</f>
        <v>希望する</v>
      </c>
      <c r="AA86" s="6" t="str">
        <f aca="false">IFERROR(__xludf.dummyfunction("""COMPUTED_VALUE"""),"単身")</f>
        <v>単身</v>
      </c>
      <c r="AB86" s="6"/>
      <c r="AC86" s="6"/>
      <c r="AD86" s="6"/>
      <c r="AE86" s="6" t="str">
        <f aca="false">IFERROR(__xludf.dummyfunction("""COMPUTED_VALUE"""),"確認しました。")</f>
        <v>確認しました。</v>
      </c>
      <c r="AF86" s="6" t="str">
        <f aca="false">IFERROR(__xludf.dummyfunction("""COMPUTED_VALUE"""),"社宅基準の内容について確認しました")</f>
        <v>社宅基準の内容について確認しました</v>
      </c>
      <c r="AG86" s="6" t="str">
        <f aca="false">IFERROR(__xludf.dummyfunction("""COMPUTED_VALUE"""),"入居のしおりの内容についてご確認しました")</f>
        <v>入居のしおりの内容についてご確認しました</v>
      </c>
      <c r="AH86" s="6" t="str">
        <f aca="false">IFERROR(__xludf.dummyfunction("""COMPUTED_VALUE"""),"確認しました")</f>
        <v>確認しました</v>
      </c>
      <c r="AI86" s="6"/>
      <c r="AJ86" s="6" t="str">
        <v/>
      </c>
      <c r="AK86" s="6" t="str">
        <v/>
      </c>
      <c r="AL86" s="6" t="str">
        <v/>
      </c>
      <c r="AM86" s="6" t="str">
        <v/>
      </c>
      <c r="AN86" s="6" t="n">
        <f aca="false">FALSE()</f>
        <v>0</v>
      </c>
    </row>
    <row r="87" customFormat="false" ht="52.5" hidden="false" customHeight="true" outlineLevel="0" collapsed="false">
      <c r="A87" s="6" t="str">
        <f aca="false">IFERROR(__xludf.dummyfunction("""COMPUTED_VALUE"""),"2026/02/12 12:48:59")</f>
        <v>2026/02/12 12:48:59</v>
      </c>
      <c r="B87" s="6"/>
      <c r="C87" s="6" t="str">
        <f aca="false">IFERROR(__xludf.dummyfunction("""COMPUTED_VALUE"""),"69819")</f>
        <v>69819</v>
      </c>
      <c r="D87" s="6"/>
      <c r="E87" s="6"/>
      <c r="F87" s="6"/>
      <c r="G87" s="6" t="str">
        <f aca="false">IFERROR(__xludf.dummyfunction("""COMPUTED_VALUE"""),"2026/02/28")</f>
        <v>2026/02/28</v>
      </c>
      <c r="H87" s="6" t="str">
        <f aca="false">IFERROR(__xludf.dummyfunction("""COMPUTED_VALUE"""),"必要")</f>
        <v>必要</v>
      </c>
      <c r="I87" s="6" t="str">
        <f aca="false">IFERROR(__xludf.dummyfunction("""COMPUTED_VALUE"""),"男性")</f>
        <v>男性</v>
      </c>
      <c r="J87" s="6" t="str">
        <f aca="false">IFERROR(__xludf.dummyfunction("""COMPUTED_VALUE"""),"日本")</f>
        <v>日本</v>
      </c>
      <c r="K87" s="6" t="str">
        <f aca="false">IFERROR(__xludf.dummyfunction("""COMPUTED_VALUE"""),"25")</f>
        <v>25</v>
      </c>
      <c r="L87" s="6" t="str">
        <f aca="false">IFERROR(__xludf.dummyfunction("""COMPUTED_VALUE"""),"冷蔵庫(単身用)、電子レンジ、縦型洗濯機")</f>
        <v>冷蔵庫(単身用)、電子レンジ、縦型洗濯機</v>
      </c>
      <c r="M87" s="6" t="str">
        <f aca="false">IFERROR(__xludf.dummyfunction("""COMPUTED_VALUE"""),"ベッド(シングル)、L字型デスク(55奥行き x 150幅 x 74高さ cm)、ゲーミングチェア、カラーボックス×2、洋服棚等")</f>
        <v>ベッド(シングル)、L字型デスク(55奥行き x 150幅 x 74高さ cm)、ゲーミングチェア、カラーボックス×2、洋服棚等</v>
      </c>
      <c r="N87" s="6" t="str">
        <f aca="false">IFERROR(__xludf.dummyfunction("""COMPUTED_VALUE"""),"ダンベル25kg×2個、トレーニングチェア×1")</f>
        <v>ダンベル25kg×2個、トレーニングチェア×1</v>
      </c>
      <c r="O87" s="6" t="str">
        <f aca="false">IFERROR(__xludf.dummyfunction("""COMPUTED_VALUE"""),"不要")</f>
        <v>不要</v>
      </c>
      <c r="P87" s="6"/>
      <c r="Q87" s="6"/>
      <c r="R87" s="6"/>
      <c r="S87" s="6" t="str">
        <f aca="false">IFERROR(__xludf.dummyfunction("""COMPUTED_VALUE"""),"家具家電なし社宅")</f>
        <v>家具家電なし社宅</v>
      </c>
      <c r="T87" s="6" t="str">
        <f aca="false">IFERROR(__xludf.dummyfunction("""COMPUTED_VALUE"""),"利用しない")</f>
        <v>利用しない</v>
      </c>
      <c r="U87" s="6"/>
      <c r="V87" s="6" t="str">
        <f aca="false">IFERROR(__xludf.dummyfunction("""COMPUTED_VALUE"""),"徒歩, 電車")</f>
        <v>徒歩, 電車</v>
      </c>
      <c r="W87" s="6"/>
      <c r="X87" s="6" t="str">
        <f aca="false">IFERROR(__xludf.dummyfunction("""COMPUTED_VALUE"""),"株式会社ビーネックステクノロジーズの社宅")</f>
        <v>株式会社ビーネックステクノロジーズの社宅</v>
      </c>
      <c r="Y87" s="6" t="str">
        <f aca="false">IFERROR(__xludf.dummyfunction("""COMPUTED_VALUE"""),"利用なし")</f>
        <v>利用なし</v>
      </c>
      <c r="Z87" s="6" t="str">
        <f aca="false">IFERROR(__xludf.dummyfunction("""COMPUTED_VALUE"""),"希望する")</f>
        <v>希望する</v>
      </c>
      <c r="AA87" s="6" t="str">
        <f aca="false">IFERROR(__xludf.dummyfunction("""COMPUTED_VALUE"""),"単身")</f>
        <v>単身</v>
      </c>
      <c r="AB87" s="6"/>
      <c r="AC87" s="6"/>
      <c r="AD87" s="6" t="str">
        <f aca="false">IFERROR(__xludf.dummyfunction("""COMPUTED_VALUE"""),"インターネットによる通話等をよく行う為、鉄筋コンクリかRC構造を希望します。")</f>
        <v>インターネットによる通話等をよく行う為、鉄筋コンクリかRC構造を希望します。</v>
      </c>
      <c r="AE87" s="6" t="str">
        <f aca="false">IFERROR(__xludf.dummyfunction("""COMPUTED_VALUE"""),"確認しました。")</f>
        <v>確認しました。</v>
      </c>
      <c r="AF87" s="6" t="str">
        <f aca="false">IFERROR(__xludf.dummyfunction("""COMPUTED_VALUE"""),"社宅基準の内容について確認しました")</f>
        <v>社宅基準の内容について確認しました</v>
      </c>
      <c r="AG87" s="6" t="str">
        <f aca="false">IFERROR(__xludf.dummyfunction("""COMPUTED_VALUE"""),"入居のしおりの内容についてご確認しました")</f>
        <v>入居のしおりの内容についてご確認しました</v>
      </c>
      <c r="AH87" s="6" t="str">
        <f aca="false">IFERROR(__xludf.dummyfunction("""COMPUTED_VALUE"""),"確認しました")</f>
        <v>確認しました</v>
      </c>
      <c r="AI87" s="6"/>
      <c r="AJ87" s="6" t="str">
        <v/>
      </c>
      <c r="AK87" s="6" t="str">
        <v/>
      </c>
      <c r="AL87" s="6" t="str">
        <v/>
      </c>
      <c r="AM87" s="6" t="str">
        <v/>
      </c>
      <c r="AN87" s="6" t="n">
        <f aca="false">TRUE()</f>
        <v>1</v>
      </c>
    </row>
    <row r="88" customFormat="false" ht="52.5" hidden="false" customHeight="true" outlineLevel="0" collapsed="false">
      <c r="A88" s="6" t="str">
        <f aca="false">IFERROR(__xludf.dummyfunction("""COMPUTED_VALUE"""),"2026/02/12 14:50:28")</f>
        <v>2026/02/12 14:50:28</v>
      </c>
      <c r="B88" s="6"/>
      <c r="C88" s="6" t="str">
        <f aca="false">IFERROR(__xludf.dummyfunction("""COMPUTED_VALUE"""),"69824")</f>
        <v>69824</v>
      </c>
      <c r="D88" s="6"/>
      <c r="E88" s="6"/>
      <c r="F88" s="6"/>
      <c r="G88" s="6" t="str">
        <f aca="false">IFERROR(__xludf.dummyfunction("""COMPUTED_VALUE"""),"2026/02/27")</f>
        <v>2026/02/27</v>
      </c>
      <c r="H88" s="6" t="str">
        <f aca="false">IFERROR(__xludf.dummyfunction("""COMPUTED_VALUE"""),"必要")</f>
        <v>必要</v>
      </c>
      <c r="I88" s="6" t="str">
        <f aca="false">IFERROR(__xludf.dummyfunction("""COMPUTED_VALUE"""),"男性")</f>
        <v>男性</v>
      </c>
      <c r="J88" s="6" t="str">
        <f aca="false">IFERROR(__xludf.dummyfunction("""COMPUTED_VALUE"""),"日本")</f>
        <v>日本</v>
      </c>
      <c r="K88" s="6" t="str">
        <f aca="false">IFERROR(__xludf.dummyfunction("""COMPUTED_VALUE"""),"3")</f>
        <v>3</v>
      </c>
      <c r="L88" s="6" t="str">
        <f aca="false">IFERROR(__xludf.dummyfunction("""COMPUTED_VALUE"""),"なし")</f>
        <v>なし</v>
      </c>
      <c r="M88" s="6" t="str">
        <f aca="false">IFERROR(__xludf.dummyfunction("""COMPUTED_VALUE"""),"なし")</f>
        <v>なし</v>
      </c>
      <c r="N88" s="6"/>
      <c r="O88" s="6" t="str">
        <f aca="false">IFERROR(__xludf.dummyfunction("""COMPUTED_VALUE"""),"不要")</f>
        <v>不要</v>
      </c>
      <c r="P88" s="6"/>
      <c r="Q88" s="6"/>
      <c r="R88" s="6"/>
      <c r="S88" s="6" t="str">
        <f aca="false">IFERROR(__xludf.dummyfunction("""COMPUTED_VALUE"""),"家具家電付き社宅")</f>
        <v>家具家電付き社宅</v>
      </c>
      <c r="T88" s="6" t="str">
        <f aca="false">IFERROR(__xludf.dummyfunction("""COMPUTED_VALUE"""),"利用する")</f>
        <v>利用する</v>
      </c>
      <c r="U88" s="6" t="str">
        <f aca="false">IFERROR(__xludf.dummyfunction("""COMPUTED_VALUE"""),"掛布団、敷布団、毛布地デジテレビ32インチ、テレビ台、冷凍冷蔵庫、ガスコンロ、電子レンジ、オーブンレンジ、掃除機、エアコン")</f>
        <v>掛布団、敷布団、毛布地デジテレビ32インチ、テレビ台、冷凍冷蔵庫、ガスコンロ、電子レンジ、オーブンレンジ、掃除機、エアコン</v>
      </c>
      <c r="V88" s="6" t="str">
        <f aca="false">IFERROR(__xludf.dummyfunction("""COMPUTED_VALUE"""),"徒歩")</f>
        <v>徒歩</v>
      </c>
      <c r="W88" s="6"/>
      <c r="X88" s="6" t="str">
        <f aca="false">IFERROR(__xludf.dummyfunction("""COMPUTED_VALUE"""),"実家")</f>
        <v>実家</v>
      </c>
      <c r="Y88" s="6"/>
      <c r="Z88" s="6" t="str">
        <f aca="false">IFERROR(__xludf.dummyfunction("""COMPUTED_VALUE"""),"希望する")</f>
        <v>希望する</v>
      </c>
      <c r="AA88" s="6" t="str">
        <f aca="false">IFERROR(__xludf.dummyfunction("""COMPUTED_VALUE"""),"単身")</f>
        <v>単身</v>
      </c>
      <c r="AB88" s="6"/>
      <c r="AC88" s="6"/>
      <c r="AD88" s="6"/>
      <c r="AE88" s="6" t="str">
        <f aca="false">IFERROR(__xludf.dummyfunction("""COMPUTED_VALUE"""),"確認しました。")</f>
        <v>確認しました。</v>
      </c>
      <c r="AF88" s="6" t="str">
        <f aca="false">IFERROR(__xludf.dummyfunction("""COMPUTED_VALUE"""),"社宅基準の内容について確認しました")</f>
        <v>社宅基準の内容について確認しました</v>
      </c>
      <c r="AG88" s="6" t="str">
        <f aca="false">IFERROR(__xludf.dummyfunction("""COMPUTED_VALUE"""),"入居のしおりの内容についてご確認しました")</f>
        <v>入居のしおりの内容についてご確認しました</v>
      </c>
      <c r="AH88" s="6" t="str">
        <f aca="false">IFERROR(__xludf.dummyfunction("""COMPUTED_VALUE"""),"確認しました")</f>
        <v>確認しました</v>
      </c>
      <c r="AI88" s="6"/>
      <c r="AJ88" s="6" t="str">
        <v/>
      </c>
      <c r="AK88" s="6" t="str">
        <v/>
      </c>
      <c r="AL88" s="6" t="str">
        <v/>
      </c>
      <c r="AM88" s="6" t="str">
        <v/>
      </c>
      <c r="AN88" s="6" t="n">
        <f aca="false">FALSE()</f>
        <v>0</v>
      </c>
    </row>
    <row r="89" customFormat="false" ht="52.5" hidden="false" customHeight="true" outlineLevel="0" collapsed="false">
      <c r="A89" s="6" t="str">
        <f aca="false">IFERROR(__xludf.dummyfunction("""COMPUTED_VALUE"""),"2026/02/12 15:31:58")</f>
        <v>2026/02/12 15:31:58</v>
      </c>
      <c r="B89" s="6"/>
      <c r="C89" s="6" t="str">
        <f aca="false">IFERROR(__xludf.dummyfunction("""COMPUTED_VALUE"""),"69648")</f>
        <v>69648</v>
      </c>
      <c r="D89" s="6"/>
      <c r="E89" s="6"/>
      <c r="F89" s="6"/>
      <c r="G89" s="6" t="str">
        <f aca="false">IFERROR(__xludf.dummyfunction("""COMPUTED_VALUE"""),"2026/03/25")</f>
        <v>2026/03/25</v>
      </c>
      <c r="H89" s="6" t="str">
        <f aca="false">IFERROR(__xludf.dummyfunction("""COMPUTED_VALUE"""),"必要")</f>
        <v>必要</v>
      </c>
      <c r="I89" s="6" t="str">
        <f aca="false">IFERROR(__xludf.dummyfunction("""COMPUTED_VALUE"""),"男性")</f>
        <v>男性</v>
      </c>
      <c r="J89" s="6" t="str">
        <f aca="false">IFERROR(__xludf.dummyfunction("""COMPUTED_VALUE"""),"日本")</f>
        <v>日本</v>
      </c>
      <c r="K89" s="6" t="str">
        <f aca="false">IFERROR(__xludf.dummyfunction("""COMPUTED_VALUE"""),"30")</f>
        <v>30</v>
      </c>
      <c r="L89" s="6" t="str">
        <f aca="false">IFERROR(__xludf.dummyfunction("""COMPUTED_VALUE"""),"デスクトップパソコン×2
冷蔵庫×1(単身用2ドア)
電子レンジ×1
トースター×1
ウォーターサーバー×1
テレビ×1
炊飯器×1
洗濯機×1
電気ストーブ×1
電気ケトル×2
通信機器(ルーターやモデム)×3")</f>
        <v>デスクトップパソコン×2
冷蔵庫×1(単身用2ドア)
電子レンジ×1
トースター×1
ウォーターサーバー×1
テレビ×1
炊飯器×1
洗濯機×1
電気ストーブ×1
電気ケトル×2
通信機器(ルーターやモデム)×3</v>
      </c>
      <c r="M89" s="6" t="str">
        <f aca="false">IFERROR(__xludf.dummyfunction("""COMPUTED_VALUE"""),"L字机×1(129×129×74)
セパレートソファ(4人がけ)
ベッド(セミダブル)×1
ゲーミンチェア×1
木棚セパレートタイプ×5
仏壇×1
こたつ机×1
45ℓゴミ箱×2")</f>
        <v>L字机×1(129×129×74)
セパレートソファ(4人がけ)
ベッド(セミダブル)×1
ゲーミンチェア×1
木棚セパレートタイプ×5
仏壇×1
こたつ机×1
45ℓゴミ箱×2</v>
      </c>
      <c r="N89" s="6" t="str">
        <f aca="false">IFERROR(__xludf.dummyfunction("""COMPUTED_VALUE"""),"自転車×2
ベビーカー×1
ゴルフバッグ×1")</f>
        <v>自転車×2
ベビーカー×1
ゴルフバッグ×1</v>
      </c>
      <c r="O89" s="6" t="str">
        <f aca="false">IFERROR(__xludf.dummyfunction("""COMPUTED_VALUE"""),"不要")</f>
        <v>不要</v>
      </c>
      <c r="P89" s="6"/>
      <c r="Q89" s="6"/>
      <c r="R89" s="6"/>
      <c r="S89" s="6" t="str">
        <f aca="false">IFERROR(__xludf.dummyfunction("""COMPUTED_VALUE"""),"家具家電なし社宅")</f>
        <v>家具家電なし社宅</v>
      </c>
      <c r="T89" s="6" t="str">
        <f aca="false">IFERROR(__xludf.dummyfunction("""COMPUTED_VALUE"""),"利用する")</f>
        <v>利用する</v>
      </c>
      <c r="U89" s="6" t="str">
        <f aca="false">IFERROR(__xludf.dummyfunction("""COMPUTED_VALUE"""),"入居予定の社宅にエアコンが無い場合はレンタル希望")</f>
        <v>入居予定の社宅にエアコンが無い場合はレンタル希望</v>
      </c>
      <c r="V89" s="6" t="str">
        <f aca="false">IFERROR(__xludf.dummyfunction("""COMPUTED_VALUE"""),"徒歩, 自転車, 電車, バス")</f>
        <v>徒歩, 自転車, 電車, バス</v>
      </c>
      <c r="W89" s="6"/>
      <c r="X89" s="6" t="str">
        <f aca="false">IFERROR(__xludf.dummyfunction("""COMPUTED_VALUE"""),"株式会社ビーネックステクノロジーズの社宅")</f>
        <v>株式会社ビーネックステクノロジーズの社宅</v>
      </c>
      <c r="Y89" s="6" t="str">
        <f aca="false">IFERROR(__xludf.dummyfunction("""COMPUTED_VALUE"""),"利用なし")</f>
        <v>利用なし</v>
      </c>
      <c r="Z89" s="6" t="str">
        <f aca="false">IFERROR(__xludf.dummyfunction("""COMPUTED_VALUE"""),"希望する")</f>
        <v>希望する</v>
      </c>
      <c r="AA89" s="6" t="str">
        <f aca="false">IFERROR(__xludf.dummyfunction("""COMPUTED_VALUE"""),"家族")</f>
        <v>家族</v>
      </c>
      <c r="AB89" s="6" t="str">
        <f aca="false">IFERROR(__xludf.dummyfunction("""COMPUTED_VALUE"""),"氏名：福岡佑真
フリガナ：フクオカユウマ
生年月日：19920115
携帯番号：09040002698
続柄：本人
氏名：福岡紗矢香
フリガナ：フクオカサヤカ
生年月日：19870207
携帯番号：09054927609
続柄：妻
氏名：福岡裕子
フリガナ：フクオカヒロコ
生年月日：19510901
携帯番号：08056461478
続柄：義母
氏名：福岡楽夢
フリガナ：フクオカラム
生年月日：20230501
携帯番号：
続柄：子")</f>
        <v>氏名：福岡佑真
フリガナ：フクオカユウマ
生年月日：19920115
携帯番号：09040002698
続柄：本人
氏名：福岡紗矢香
フリガナ：フクオカサヤカ
生年月日：19870207
携帯番号：09054927609
続柄：妻
氏名：福岡裕子
フリガナ：フクオカヒロコ
生年月日：19510901
携帯番号：08056461478
続柄：義母
氏名：福岡楽夢
フリガナ：フクオカラム
生年月日：20230501
携帯番号：
続柄：子</v>
      </c>
      <c r="AC89" s="6"/>
      <c r="AD89" s="6" t="str">
        <f aca="false">IFERROR(__xludf.dummyfunction("""COMPUTED_VALUE"""),"小型犬を飼育中の為、ペット可の所を希望
3DK～3LDK以上を希望
仕事場が名古屋市内(最寄りは八田駅)なので、家賃相場は高騰するが費用面はなるべく抑えたい。年数は特に気にしない。
どうぞ、よろしくお願いいたします。")</f>
        <v>小型犬を飼育中の為、ペット可の所を希望
3DK～3LDK以上を希望
仕事場が名古屋市内(最寄りは八田駅)なので、家賃相場は高騰するが費用面はなるべく抑えたい。年数は特に気にしない。
どうぞ、よろしくお願いいたします。</v>
      </c>
      <c r="AE89" s="6" t="str">
        <f aca="false">IFERROR(__xludf.dummyfunction("""COMPUTED_VALUE"""),"確認しました。")</f>
        <v>確認しました。</v>
      </c>
      <c r="AF89" s="6" t="str">
        <f aca="false">IFERROR(__xludf.dummyfunction("""COMPUTED_VALUE"""),"社宅基準の内容について確認しました")</f>
        <v>社宅基準の内容について確認しました</v>
      </c>
      <c r="AG89" s="6" t="str">
        <f aca="false">IFERROR(__xludf.dummyfunction("""COMPUTED_VALUE"""),"入居のしおりの内容についてご確認しました")</f>
        <v>入居のしおりの内容についてご確認しました</v>
      </c>
      <c r="AH89" s="6" t="str">
        <f aca="false">IFERROR(__xludf.dummyfunction("""COMPUTED_VALUE"""),"確認しました")</f>
        <v>確認しました</v>
      </c>
      <c r="AI89" s="6"/>
      <c r="AJ89" s="6" t="str">
        <v/>
      </c>
      <c r="AK89" s="6" t="str">
        <v/>
      </c>
      <c r="AL89" s="6" t="str">
        <v/>
      </c>
      <c r="AM89" s="6" t="str">
        <v/>
      </c>
      <c r="AN89" s="6" t="n">
        <f aca="false">FALSE()</f>
        <v>0</v>
      </c>
    </row>
    <row r="90" customFormat="false" ht="52.5" hidden="false" customHeight="true" outlineLevel="0" collapsed="false">
      <c r="A90" s="6" t="str">
        <f aca="false">IFERROR(__xludf.dummyfunction("""COMPUTED_VALUE"""),"2026/02/12 20:07:38")</f>
        <v>2026/02/12 20:07:38</v>
      </c>
      <c r="B90" s="6"/>
      <c r="C90" s="6" t="str">
        <f aca="false">IFERROR(__xludf.dummyfunction("""COMPUTED_VALUE"""),"69757")</f>
        <v>69757</v>
      </c>
      <c r="D90" s="6"/>
      <c r="E90" s="6"/>
      <c r="F90" s="6"/>
      <c r="G90" s="6" t="str">
        <f aca="false">IFERROR(__xludf.dummyfunction("""COMPUTED_VALUE"""),"2026/03/31")</f>
        <v>2026/03/31</v>
      </c>
      <c r="H90" s="6" t="str">
        <f aca="false">IFERROR(__xludf.dummyfunction("""COMPUTED_VALUE"""),"必要")</f>
        <v>必要</v>
      </c>
      <c r="I90" s="6" t="str">
        <f aca="false">IFERROR(__xludf.dummyfunction("""COMPUTED_VALUE"""),"女性")</f>
        <v>女性</v>
      </c>
      <c r="J90" s="6" t="str">
        <f aca="false">IFERROR(__xludf.dummyfunction("""COMPUTED_VALUE"""),"日本")</f>
        <v>日本</v>
      </c>
      <c r="K90" s="6" t="str">
        <f aca="false">IFERROR(__xludf.dummyfunction("""COMPUTED_VALUE"""),"25")</f>
        <v>25</v>
      </c>
      <c r="L90" s="6" t="str">
        <f aca="false">IFERROR(__xludf.dummyfunction("""COMPUTED_VALUE"""),"なし")</f>
        <v>なし</v>
      </c>
      <c r="M90" s="6" t="str">
        <f aca="false">IFERROR(__xludf.dummyfunction("""COMPUTED_VALUE"""),"机101×52.5×122")</f>
        <v>机101×52.5×122</v>
      </c>
      <c r="N90" s="6" t="str">
        <f aca="false">IFERROR(__xludf.dummyfunction("""COMPUTED_VALUE"""),"なし")</f>
        <v>なし</v>
      </c>
      <c r="O90" s="6" t="str">
        <f aca="false">IFERROR(__xludf.dummyfunction("""COMPUTED_VALUE"""),"必要")</f>
        <v>必要</v>
      </c>
      <c r="P90" s="6" t="str">
        <f aca="false">IFERROR(__xludf.dummyfunction("""COMPUTED_VALUE"""),"エヌボックスカスタム")</f>
        <v>エヌボックスカスタム</v>
      </c>
      <c r="Q90" s="6" t="str">
        <f aca="false">IFERROR(__xludf.dummyfunction("""COMPUTED_VALUE"""),"い751")</f>
        <v>い751</v>
      </c>
      <c r="R90" s="6" t="str">
        <f aca="false">IFERROR(__xludf.dummyfunction("""COMPUTED_VALUE"""),"白")</f>
        <v>白</v>
      </c>
      <c r="S90" s="6" t="str">
        <f aca="false">IFERROR(__xludf.dummyfunction("""COMPUTED_VALUE"""),"家具家電なし社宅")</f>
        <v>家具家電なし社宅</v>
      </c>
      <c r="T90" s="6" t="str">
        <f aca="false">IFERROR(__xludf.dummyfunction("""COMPUTED_VALUE"""),"利用しない")</f>
        <v>利用しない</v>
      </c>
      <c r="U90" s="6"/>
      <c r="V90" s="6" t="str">
        <f aca="false">IFERROR(__xludf.dummyfunction("""COMPUTED_VALUE"""),"徒歩")</f>
        <v>徒歩</v>
      </c>
      <c r="W90" s="6"/>
      <c r="X90" s="6" t="str">
        <f aca="false">IFERROR(__xludf.dummyfunction("""COMPUTED_VALUE"""),"ご自身で契約中の物件")</f>
        <v>ご自身で契約中の物件</v>
      </c>
      <c r="Y90" s="6"/>
      <c r="Z90" s="6" t="str">
        <f aca="false">IFERROR(__xludf.dummyfunction("""COMPUTED_VALUE"""),"希望する")</f>
        <v>希望する</v>
      </c>
      <c r="AA90" s="6" t="str">
        <f aca="false">IFERROR(__xludf.dummyfunction("""COMPUTED_VALUE"""),"単身")</f>
        <v>単身</v>
      </c>
      <c r="AB90" s="6"/>
      <c r="AC90" s="6"/>
      <c r="AD90" s="6"/>
      <c r="AE90" s="6" t="str">
        <f aca="false">IFERROR(__xludf.dummyfunction("""COMPUTED_VALUE"""),"確認しました。")</f>
        <v>確認しました。</v>
      </c>
      <c r="AF90" s="6" t="str">
        <f aca="false">IFERROR(__xludf.dummyfunction("""COMPUTED_VALUE"""),"社宅基準の内容について確認しました")</f>
        <v>社宅基準の内容について確認しました</v>
      </c>
      <c r="AG90" s="6" t="str">
        <f aca="false">IFERROR(__xludf.dummyfunction("""COMPUTED_VALUE"""),"入居のしおりの内容についてご確認しました")</f>
        <v>入居のしおりの内容についてご確認しました</v>
      </c>
      <c r="AH90" s="6" t="str">
        <f aca="false">IFERROR(__xludf.dummyfunction("""COMPUTED_VALUE"""),"確認しました")</f>
        <v>確認しました</v>
      </c>
      <c r="AI90" s="6"/>
      <c r="AJ90" s="6" t="str">
        <v/>
      </c>
      <c r="AK90" s="6" t="str">
        <v/>
      </c>
      <c r="AL90" s="6" t="str">
        <v/>
      </c>
      <c r="AM90" s="6" t="str">
        <v/>
      </c>
      <c r="AN90" s="6" t="n">
        <f aca="false">FALSE()</f>
        <v>0</v>
      </c>
    </row>
    <row r="91" customFormat="false" ht="52.5" hidden="false" customHeight="true" outlineLevel="0" collapsed="false">
      <c r="A91" s="6" t="str">
        <f aca="false">IFERROR(__xludf.dummyfunction("""COMPUTED_VALUE"""),"2026/02/13 2:09:31")</f>
        <v>2026/02/13 2:09:31</v>
      </c>
      <c r="B91" s="6"/>
      <c r="C91" s="6" t="str">
        <f aca="false">IFERROR(__xludf.dummyfunction("""COMPUTED_VALUE"""),"69878")</f>
        <v>69878</v>
      </c>
      <c r="D91" s="6"/>
      <c r="E91" s="6"/>
      <c r="F91" s="6"/>
      <c r="G91" s="6" t="str">
        <f aca="false">IFERROR(__xludf.dummyfunction("""COMPUTED_VALUE"""),"2026/03/24")</f>
        <v>2026/03/24</v>
      </c>
      <c r="H91" s="6" t="str">
        <f aca="false">IFERROR(__xludf.dummyfunction("""COMPUTED_VALUE"""),"必要")</f>
        <v>必要</v>
      </c>
      <c r="I91" s="6" t="str">
        <f aca="false">IFERROR(__xludf.dummyfunction("""COMPUTED_VALUE"""),"男性")</f>
        <v>男性</v>
      </c>
      <c r="J91" s="6" t="str">
        <f aca="false">IFERROR(__xludf.dummyfunction("""COMPUTED_VALUE"""),"日本")</f>
        <v>日本</v>
      </c>
      <c r="K91" s="6" t="str">
        <f aca="false">IFERROR(__xludf.dummyfunction("""COMPUTED_VALUE"""),"10")</f>
        <v>10</v>
      </c>
      <c r="L91" s="6" t="str">
        <f aca="false">IFERROR(__xludf.dummyfunction("""COMPUTED_VALUE"""),"冷蔵庫単身用、洗濯機、電子レンジ、デスクトップPC、モニター、掃除機、炊飯器、送風機×２")</f>
        <v>冷蔵庫単身用、洗濯機、電子レンジ、デスクトップPC、モニター、掃除機、炊飯器、送風機×２</v>
      </c>
      <c r="M91" s="6" t="str">
        <f aca="false">IFERROR(__xludf.dummyfunction("""COMPUTED_VALUE"""),"ゲーミングチェア３、机128奥行き x 128幅 x 75高さ cm×２、ごみ箱、網棚、小さめのタンス")</f>
        <v>ゲーミングチェア３、机128奥行き x 128幅 x 75高さ cm×２、ごみ箱、網棚、小さめのタンス</v>
      </c>
      <c r="N91" s="6"/>
      <c r="O91" s="6" t="str">
        <f aca="false">IFERROR(__xludf.dummyfunction("""COMPUTED_VALUE"""),"必要")</f>
        <v>必要</v>
      </c>
      <c r="P91" s="6" t="str">
        <f aca="false">IFERROR(__xludf.dummyfunction("""COMPUTED_VALUE"""),"ホンダ、N-BOX")</f>
        <v>ホンダ、N-BOX</v>
      </c>
      <c r="Q91" s="6" t="str">
        <f aca="false">IFERROR(__xludf.dummyfunction("""COMPUTED_VALUE"""),"ゆ64-06")</f>
        <v>ゆ64-06</v>
      </c>
      <c r="R91" s="6" t="str">
        <f aca="false">IFERROR(__xludf.dummyfunction("""COMPUTED_VALUE"""),"黒")</f>
        <v>黒</v>
      </c>
      <c r="S91" s="6" t="str">
        <f aca="false">IFERROR(__xludf.dummyfunction("""COMPUTED_VALUE"""),"家具家電なし社宅")</f>
        <v>家具家電なし社宅</v>
      </c>
      <c r="T91" s="6" t="str">
        <f aca="false">IFERROR(__xludf.dummyfunction("""COMPUTED_VALUE"""),"利用しない")</f>
        <v>利用しない</v>
      </c>
      <c r="U91" s="6"/>
      <c r="V91" s="6" t="str">
        <f aca="false">IFERROR(__xludf.dummyfunction("""COMPUTED_VALUE"""),"徒歩, バス")</f>
        <v>徒歩, バス</v>
      </c>
      <c r="W91" s="6"/>
      <c r="X91" s="6" t="str">
        <f aca="false">IFERROR(__xludf.dummyfunction("""COMPUTED_VALUE"""),"株式会社ビーネックステクノロジーズの社宅")</f>
        <v>株式会社ビーネックステクノロジーズの社宅</v>
      </c>
      <c r="Y91" s="6" t="str">
        <f aca="false">IFERROR(__xludf.dummyfunction("""COMPUTED_VALUE"""),"利用なし")</f>
        <v>利用なし</v>
      </c>
      <c r="Z91" s="6" t="str">
        <f aca="false">IFERROR(__xludf.dummyfunction("""COMPUTED_VALUE"""),"希望する")</f>
        <v>希望する</v>
      </c>
      <c r="AA91" s="6" t="str">
        <f aca="false">IFERROR(__xludf.dummyfunction("""COMPUTED_VALUE"""),"単身")</f>
        <v>単身</v>
      </c>
      <c r="AB91" s="6"/>
      <c r="AC91" s="6"/>
      <c r="AD91" s="6" t="str">
        <f aca="false">IFERROR(__xludf.dummyfunction("""COMPUTED_VALUE"""),"風呂トイレ別、部屋広め、多め、二階以上")</f>
        <v>風呂トイレ別、部屋広め、多め、二階以上</v>
      </c>
      <c r="AE91" s="6" t="str">
        <f aca="false">IFERROR(__xludf.dummyfunction("""COMPUTED_VALUE"""),"確認しました。")</f>
        <v>確認しました。</v>
      </c>
      <c r="AF91" s="6" t="str">
        <f aca="false">IFERROR(__xludf.dummyfunction("""COMPUTED_VALUE"""),"社宅基準の内容について確認しました")</f>
        <v>社宅基準の内容について確認しました</v>
      </c>
      <c r="AG91" s="6" t="str">
        <f aca="false">IFERROR(__xludf.dummyfunction("""COMPUTED_VALUE"""),"入居のしおりの内容についてご確認しました")</f>
        <v>入居のしおりの内容についてご確認しました</v>
      </c>
      <c r="AH91" s="6" t="str">
        <f aca="false">IFERROR(__xludf.dummyfunction("""COMPUTED_VALUE"""),"確認しました")</f>
        <v>確認しました</v>
      </c>
      <c r="AI91" s="6"/>
      <c r="AJ91" s="6" t="str">
        <v/>
      </c>
      <c r="AK91" s="6" t="str">
        <v/>
      </c>
      <c r="AL91" s="6" t="str">
        <v/>
      </c>
      <c r="AM91" s="6" t="str">
        <v/>
      </c>
      <c r="AN91" s="6" t="n">
        <f aca="false">FALSE()</f>
        <v>0</v>
      </c>
    </row>
    <row r="92" customFormat="false" ht="52.5" hidden="false" customHeight="true" outlineLevel="0" collapsed="false">
      <c r="A92" s="6" t="str">
        <f aca="false">IFERROR(__xludf.dummyfunction("""COMPUTED_VALUE"""),"2026/02/13 3:04:53")</f>
        <v>2026/02/13 3:04:53</v>
      </c>
      <c r="B92" s="6"/>
      <c r="C92" s="6" t="str">
        <f aca="false">IFERROR(__xludf.dummyfunction("""COMPUTED_VALUE"""),"69853")</f>
        <v>69853</v>
      </c>
      <c r="D92" s="6"/>
      <c r="E92" s="6"/>
      <c r="F92" s="6"/>
      <c r="G92" s="6" t="str">
        <f aca="false">IFERROR(__xludf.dummyfunction("""COMPUTED_VALUE"""),"2026/03/19")</f>
        <v>2026/03/19</v>
      </c>
      <c r="H92" s="6" t="str">
        <f aca="false">IFERROR(__xludf.dummyfunction("""COMPUTED_VALUE"""),"必要")</f>
        <v>必要</v>
      </c>
      <c r="I92" s="6" t="str">
        <f aca="false">IFERROR(__xludf.dummyfunction("""COMPUTED_VALUE"""),"男性")</f>
        <v>男性</v>
      </c>
      <c r="J92" s="6" t="str">
        <f aca="false">IFERROR(__xludf.dummyfunction("""COMPUTED_VALUE"""),"日本")</f>
        <v>日本</v>
      </c>
      <c r="K92" s="6" t="str">
        <f aca="false">IFERROR(__xludf.dummyfunction("""COMPUTED_VALUE"""),"10")</f>
        <v>10</v>
      </c>
      <c r="L92" s="6" t="str">
        <f aca="false">IFERROR(__xludf.dummyfunction("""COMPUTED_VALUE"""),"なし")</f>
        <v>なし</v>
      </c>
      <c r="M92" s="6" t="str">
        <f aca="false">IFERROR(__xludf.dummyfunction("""COMPUTED_VALUE"""),"小さい折りたたみの机が1つ
敷布団セットが1つ
掛け毛布が3つほど")</f>
        <v>小さい折りたたみの机が1つ
敷布団セットが1つ
掛け毛布が3つほど</v>
      </c>
      <c r="N92" s="6" t="str">
        <f aca="false">IFERROR(__xludf.dummyfunction("""COMPUTED_VALUE"""),"デスクトップパソコン")</f>
        <v>デスクトップパソコン</v>
      </c>
      <c r="O92" s="6" t="str">
        <f aca="false">IFERROR(__xludf.dummyfunction("""COMPUTED_VALUE"""),"不要")</f>
        <v>不要</v>
      </c>
      <c r="P92" s="6"/>
      <c r="Q92" s="6"/>
      <c r="R92" s="6"/>
      <c r="S92" s="6" t="str">
        <f aca="false">IFERROR(__xludf.dummyfunction("""COMPUTED_VALUE"""),"家具家電付き社宅")</f>
        <v>家具家電付き社宅</v>
      </c>
      <c r="T92" s="6" t="str">
        <f aca="false">IFERROR(__xludf.dummyfunction("""COMPUTED_VALUE"""),"利用しない")</f>
        <v>利用しない</v>
      </c>
      <c r="U92" s="6"/>
      <c r="V92" s="6" t="str">
        <f aca="false">IFERROR(__xludf.dummyfunction("""COMPUTED_VALUE"""),"徒歩")</f>
        <v>徒歩</v>
      </c>
      <c r="W92" s="6"/>
      <c r="X92" s="6" t="str">
        <f aca="false">IFERROR(__xludf.dummyfunction("""COMPUTED_VALUE"""),"株式会社ビーネックステクノロジーズの社宅")</f>
        <v>株式会社ビーネックステクノロジーズの社宅</v>
      </c>
      <c r="Y92" s="6" t="str">
        <f aca="false">IFERROR(__xludf.dummyfunction("""COMPUTED_VALUE"""),"利用なし")</f>
        <v>利用なし</v>
      </c>
      <c r="Z92" s="6" t="str">
        <f aca="false">IFERROR(__xludf.dummyfunction("""COMPUTED_VALUE"""),"希望する")</f>
        <v>希望する</v>
      </c>
      <c r="AA92" s="6" t="str">
        <f aca="false">IFERROR(__xludf.dummyfunction("""COMPUTED_VALUE"""),"単身")</f>
        <v>単身</v>
      </c>
      <c r="AB92" s="6"/>
      <c r="AC92" s="6"/>
      <c r="AD92" s="6"/>
      <c r="AE92" s="6" t="str">
        <f aca="false">IFERROR(__xludf.dummyfunction("""COMPUTED_VALUE"""),"確認しました。")</f>
        <v>確認しました。</v>
      </c>
      <c r="AF92" s="6" t="str">
        <f aca="false">IFERROR(__xludf.dummyfunction("""COMPUTED_VALUE"""),"社宅基準の内容について確認しました")</f>
        <v>社宅基準の内容について確認しました</v>
      </c>
      <c r="AG92" s="6" t="str">
        <f aca="false">IFERROR(__xludf.dummyfunction("""COMPUTED_VALUE"""),"入居のしおりの内容についてご確認しました")</f>
        <v>入居のしおりの内容についてご確認しました</v>
      </c>
      <c r="AH92" s="6" t="str">
        <f aca="false">IFERROR(__xludf.dummyfunction("""COMPUTED_VALUE"""),"確認しました")</f>
        <v>確認しました</v>
      </c>
      <c r="AI92" s="6"/>
      <c r="AJ92" s="6" t="str">
        <v/>
      </c>
      <c r="AK92" s="6" t="str">
        <v/>
      </c>
      <c r="AL92" s="6" t="str">
        <v/>
      </c>
      <c r="AM92" s="6" t="str">
        <v/>
      </c>
      <c r="AN92" s="6" t="n">
        <f aca="false">TRUE()</f>
        <v>1</v>
      </c>
    </row>
    <row r="93" customFormat="false" ht="52.5" hidden="false" customHeight="true" outlineLevel="0" collapsed="false">
      <c r="A93" s="6" t="str">
        <f aca="false">IFERROR(__xludf.dummyfunction("""COMPUTED_VALUE"""),"2026/02/13 7:57:19")</f>
        <v>2026/02/13 7:57:19</v>
      </c>
      <c r="B93" s="6"/>
      <c r="C93" s="6" t="str">
        <f aca="false">IFERROR(__xludf.dummyfunction("""COMPUTED_VALUE"""),"69817")</f>
        <v>69817</v>
      </c>
      <c r="D93" s="6"/>
      <c r="E93" s="6"/>
      <c r="F93" s="6"/>
      <c r="G93" s="6" t="str">
        <f aca="false">IFERROR(__xludf.dummyfunction("""COMPUTED_VALUE"""),"2026/03/16")</f>
        <v>2026/03/16</v>
      </c>
      <c r="H93" s="6" t="str">
        <f aca="false">IFERROR(__xludf.dummyfunction("""COMPUTED_VALUE"""),"必要")</f>
        <v>必要</v>
      </c>
      <c r="I93" s="6" t="str">
        <f aca="false">IFERROR(__xludf.dummyfunction("""COMPUTED_VALUE"""),"男性")</f>
        <v>男性</v>
      </c>
      <c r="J93" s="6" t="str">
        <f aca="false">IFERROR(__xludf.dummyfunction("""COMPUTED_VALUE"""),"日本")</f>
        <v>日本</v>
      </c>
      <c r="K93" s="6" t="str">
        <f aca="false">IFERROR(__xludf.dummyfunction("""COMPUTED_VALUE"""),"5")</f>
        <v>5</v>
      </c>
      <c r="L93" s="6" t="str">
        <f aca="false">IFERROR(__xludf.dummyfunction("""COMPUTED_VALUE"""),"なし")</f>
        <v>なし</v>
      </c>
      <c r="M93" s="6" t="str">
        <f aca="false">IFERROR(__xludf.dummyfunction("""COMPUTED_VALUE"""),"なし")</f>
        <v>なし</v>
      </c>
      <c r="N93" s="6" t="str">
        <f aca="false">IFERROR(__xludf.dummyfunction("""COMPUTED_VALUE"""),"PC")</f>
        <v>PC</v>
      </c>
      <c r="O93" s="6" t="str">
        <f aca="false">IFERROR(__xludf.dummyfunction("""COMPUTED_VALUE"""),"不要")</f>
        <v>不要</v>
      </c>
      <c r="P93" s="6"/>
      <c r="Q93" s="6"/>
      <c r="R93" s="6"/>
      <c r="S93" s="6" t="str">
        <f aca="false">IFERROR(__xludf.dummyfunction("""COMPUTED_VALUE"""),"家具家電付き社宅")</f>
        <v>家具家電付き社宅</v>
      </c>
      <c r="T93" s="6" t="str">
        <f aca="false">IFERROR(__xludf.dummyfunction("""COMPUTED_VALUE"""),"利用しない")</f>
        <v>利用しない</v>
      </c>
      <c r="U93" s="6"/>
      <c r="V93" s="6" t="str">
        <f aca="false">IFERROR(__xludf.dummyfunction("""COMPUTED_VALUE"""),"徒歩, 自転車, 社用バス")</f>
        <v>徒歩, 自転車, 社用バス</v>
      </c>
      <c r="W93" s="6"/>
      <c r="X93" s="6" t="str">
        <f aca="false">IFERROR(__xludf.dummyfunction("""COMPUTED_VALUE"""),"実家")</f>
        <v>実家</v>
      </c>
      <c r="Y93" s="6"/>
      <c r="Z93" s="6" t="str">
        <f aca="false">IFERROR(__xludf.dummyfunction("""COMPUTED_VALUE"""),"希望する")</f>
        <v>希望する</v>
      </c>
      <c r="AA93" s="6" t="str">
        <f aca="false">IFERROR(__xludf.dummyfunction("""COMPUTED_VALUE"""),"単身")</f>
        <v>単身</v>
      </c>
      <c r="AB93" s="6"/>
      <c r="AC93" s="6"/>
      <c r="AD93" s="6"/>
      <c r="AE93" s="6" t="str">
        <f aca="false">IFERROR(__xludf.dummyfunction("""COMPUTED_VALUE"""),"確認しました。")</f>
        <v>確認しました。</v>
      </c>
      <c r="AF93" s="6" t="str">
        <f aca="false">IFERROR(__xludf.dummyfunction("""COMPUTED_VALUE"""),"社宅基準の内容について確認しました")</f>
        <v>社宅基準の内容について確認しました</v>
      </c>
      <c r="AG93" s="6" t="str">
        <f aca="false">IFERROR(__xludf.dummyfunction("""COMPUTED_VALUE"""),"入居のしおりの内容についてご確認しました")</f>
        <v>入居のしおりの内容についてご確認しました</v>
      </c>
      <c r="AH93" s="6" t="str">
        <f aca="false">IFERROR(__xludf.dummyfunction("""COMPUTED_VALUE"""),"確認しました")</f>
        <v>確認しました</v>
      </c>
      <c r="AI93" s="6"/>
      <c r="AJ93" s="6" t="str">
        <v/>
      </c>
      <c r="AK93" s="6" t="str">
        <v/>
      </c>
      <c r="AL93" s="6" t="str">
        <v/>
      </c>
      <c r="AM93" s="6" t="str">
        <v/>
      </c>
      <c r="AN93" s="6" t="n">
        <f aca="false">TRUE()</f>
        <v>1</v>
      </c>
    </row>
    <row r="94" customFormat="false" ht="52.5" hidden="false" customHeight="true" outlineLevel="0" collapsed="false">
      <c r="A94" s="6" t="str">
        <f aca="false">IFERROR(__xludf.dummyfunction("""COMPUTED_VALUE"""),"2026/02/13 8:00:13")</f>
        <v>2026/02/13 8:00:13</v>
      </c>
      <c r="B94" s="6"/>
      <c r="C94" s="6" t="str">
        <f aca="false">IFERROR(__xludf.dummyfunction("""COMPUTED_VALUE"""),"69794")</f>
        <v>69794</v>
      </c>
      <c r="D94" s="6"/>
      <c r="E94" s="6"/>
      <c r="F94" s="6"/>
      <c r="G94" s="6" t="str">
        <f aca="false">IFERROR(__xludf.dummyfunction("""COMPUTED_VALUE"""),"2026/02/22")</f>
        <v>2026/02/22</v>
      </c>
      <c r="H94" s="6" t="str">
        <f aca="false">IFERROR(__xludf.dummyfunction("""COMPUTED_VALUE"""),"必要")</f>
        <v>必要</v>
      </c>
      <c r="I94" s="6" t="str">
        <f aca="false">IFERROR(__xludf.dummyfunction("""COMPUTED_VALUE"""),"女性")</f>
        <v>女性</v>
      </c>
      <c r="J94" s="6" t="str">
        <f aca="false">IFERROR(__xludf.dummyfunction("""COMPUTED_VALUE"""),"日本")</f>
        <v>日本</v>
      </c>
      <c r="K94" s="6" t="str">
        <f aca="false">IFERROR(__xludf.dummyfunction("""COMPUTED_VALUE"""),"15")</f>
        <v>15</v>
      </c>
      <c r="L94" s="6" t="str">
        <f aca="false">IFERROR(__xludf.dummyfunction("""COMPUTED_VALUE"""),"冷蔵庫、洗濯機、電子レンジ、オーブントースター、ファンヒーター、テレビ、炊飯器、扇風機、体重計")</f>
        <v>冷蔵庫、洗濯機、電子レンジ、オーブントースター、ファンヒーター、テレビ、炊飯器、扇風機、体重計</v>
      </c>
      <c r="M94" s="6" t="str">
        <f aca="false">IFERROR(__xludf.dummyfunction("""COMPUTED_VALUE"""),"ベッド(シングル)、こたつ(86×86×38cm)、折りたたみ式棚(2個)、衣類収納棚(56×41×130cm)、衣類収納ケース(74×44×18cm)(３個)、キャスター付き卓上棚(60×29×30cm)、テレビ台(60×29×30cm)、キッチン用品収納棚(19×54×81cm)と(45×29×97cm)、全身鏡(28×150cm)")</f>
        <v>ベッド(シングル)、こたつ(86×86×38cm)、折りたたみ式棚(2個)、衣類収納棚(56×41×130cm)、衣類収納ケース(74×44×18cm)(３個)、キャスター付き卓上棚(60×29×30cm)、テレビ台(60×29×30cm)、キッチン用品収納棚(19×54×81cm)と(45×29×97cm)、全身鏡(28×150cm)</v>
      </c>
      <c r="N94" s="6" t="str">
        <f aca="false">IFERROR(__xludf.dummyfunction("""COMPUTED_VALUE"""),"折りたたみ式電動自転車")</f>
        <v>折りたたみ式電動自転車</v>
      </c>
      <c r="O94" s="6" t="str">
        <f aca="false">IFERROR(__xludf.dummyfunction("""COMPUTED_VALUE"""),"不要")</f>
        <v>不要</v>
      </c>
      <c r="P94" s="6"/>
      <c r="Q94" s="6"/>
      <c r="R94" s="6"/>
      <c r="S94" s="6" t="str">
        <f aca="false">IFERROR(__xludf.dummyfunction("""COMPUTED_VALUE"""),"家具家電なし社宅")</f>
        <v>家具家電なし社宅</v>
      </c>
      <c r="T94" s="6" t="str">
        <f aca="false">IFERROR(__xludf.dummyfunction("""COMPUTED_VALUE"""),"利用しない")</f>
        <v>利用しない</v>
      </c>
      <c r="U94" s="6"/>
      <c r="V94" s="6" t="str">
        <f aca="false">IFERROR(__xludf.dummyfunction("""COMPUTED_VALUE"""),"徒歩, 電車")</f>
        <v>徒歩, 電車</v>
      </c>
      <c r="W94" s="6"/>
      <c r="X94" s="6" t="str">
        <f aca="false">IFERROR(__xludf.dummyfunction("""COMPUTED_VALUE"""),"ご自身で契約中の物件")</f>
        <v>ご自身で契約中の物件</v>
      </c>
      <c r="Y94" s="6"/>
      <c r="Z94" s="6" t="str">
        <f aca="false">IFERROR(__xludf.dummyfunction("""COMPUTED_VALUE"""),"希望する")</f>
        <v>希望する</v>
      </c>
      <c r="AA94" s="6" t="str">
        <f aca="false">IFERROR(__xludf.dummyfunction("""COMPUTED_VALUE"""),"単身")</f>
        <v>単身</v>
      </c>
      <c r="AB94" s="6"/>
      <c r="AC94" s="6"/>
      <c r="AD94" s="6"/>
      <c r="AE94" s="6" t="str">
        <f aca="false">IFERROR(__xludf.dummyfunction("""COMPUTED_VALUE"""),"確認しました。")</f>
        <v>確認しました。</v>
      </c>
      <c r="AF94" s="6" t="str">
        <f aca="false">IFERROR(__xludf.dummyfunction("""COMPUTED_VALUE"""),"社宅基準の内容について確認しました")</f>
        <v>社宅基準の内容について確認しました</v>
      </c>
      <c r="AG94" s="6" t="str">
        <f aca="false">IFERROR(__xludf.dummyfunction("""COMPUTED_VALUE"""),"入居のしおりの内容についてご確認しました")</f>
        <v>入居のしおりの内容についてご確認しました</v>
      </c>
      <c r="AH94" s="6" t="str">
        <f aca="false">IFERROR(__xludf.dummyfunction("""COMPUTED_VALUE"""),"確認しました")</f>
        <v>確認しました</v>
      </c>
      <c r="AI94" s="6"/>
      <c r="AJ94" s="6" t="str">
        <v/>
      </c>
      <c r="AK94" s="6" t="str">
        <v/>
      </c>
      <c r="AL94" s="6" t="str">
        <v/>
      </c>
      <c r="AM94" s="6" t="str">
        <v/>
      </c>
      <c r="AN94" s="6" t="n">
        <f aca="false">FALSE()</f>
        <v>0</v>
      </c>
    </row>
    <row r="95" customFormat="false" ht="52.5" hidden="false" customHeight="true" outlineLevel="0" collapsed="false">
      <c r="A95" s="6" t="str">
        <f aca="false">IFERROR(__xludf.dummyfunction("""COMPUTED_VALUE"""),"2026/02/13 12:11:03")</f>
        <v>2026/02/13 12:11:03</v>
      </c>
      <c r="B95" s="6"/>
      <c r="C95" s="6" t="str">
        <f aca="false">IFERROR(__xludf.dummyfunction("""COMPUTED_VALUE"""),"69897")</f>
        <v>69897</v>
      </c>
      <c r="D95" s="6"/>
      <c r="E95" s="6"/>
      <c r="F95" s="6"/>
      <c r="G95" s="6" t="str">
        <f aca="false">IFERROR(__xludf.dummyfunction("""COMPUTED_VALUE"""),"2026/02/26")</f>
        <v>2026/02/26</v>
      </c>
      <c r="H95" s="6" t="str">
        <f aca="false">IFERROR(__xludf.dummyfunction("""COMPUTED_VALUE"""),"必要")</f>
        <v>必要</v>
      </c>
      <c r="I95" s="6" t="str">
        <f aca="false">IFERROR(__xludf.dummyfunction("""COMPUTED_VALUE"""),"男性")</f>
        <v>男性</v>
      </c>
      <c r="J95" s="6" t="str">
        <f aca="false">IFERROR(__xludf.dummyfunction("""COMPUTED_VALUE"""),"日本")</f>
        <v>日本</v>
      </c>
      <c r="K95" s="6" t="str">
        <f aca="false">IFERROR(__xludf.dummyfunction("""COMPUTED_VALUE"""),"2")</f>
        <v>2</v>
      </c>
      <c r="L95" s="6" t="str">
        <f aca="false">IFERROR(__xludf.dummyfunction("""COMPUTED_VALUE"""),"ゲーミングモニター、ゲーミングPC（物件次第）")</f>
        <v>ゲーミングモニター、ゲーミングPC（物件次第）</v>
      </c>
      <c r="M95" s="6" t="str">
        <f aca="false">IFERROR(__xludf.dummyfunction("""COMPUTED_VALUE"""),"ベッド・マットレス（シングル）、机（幅90cmほど）、椅子")</f>
        <v>ベッド・マットレス（シングル）、机（幅90cmほど）、椅子</v>
      </c>
      <c r="N95" s="6"/>
      <c r="O95" s="6" t="str">
        <f aca="false">IFERROR(__xludf.dummyfunction("""COMPUTED_VALUE"""),"必要")</f>
        <v>必要</v>
      </c>
      <c r="P95" s="6" t="str">
        <f aca="false">IFERROR(__xludf.dummyfunction("""COMPUTED_VALUE"""),"アクア")</f>
        <v>アクア</v>
      </c>
      <c r="Q95" s="6" t="str">
        <f aca="false">IFERROR(__xludf.dummyfunction("""COMPUTED_VALUE"""),"名古屋508と632")</f>
        <v>名古屋508と632</v>
      </c>
      <c r="R95" s="6" t="str">
        <f aca="false">IFERROR(__xludf.dummyfunction("""COMPUTED_VALUE"""),"紫")</f>
        <v>紫</v>
      </c>
      <c r="S95" s="6" t="str">
        <f aca="false">IFERROR(__xludf.dummyfunction("""COMPUTED_VALUE"""),"家具家電なし社宅")</f>
        <v>家具家電なし社宅</v>
      </c>
      <c r="T95" s="6" t="str">
        <f aca="false">IFERROR(__xludf.dummyfunction("""COMPUTED_VALUE"""),"利用しない")</f>
        <v>利用しない</v>
      </c>
      <c r="U95" s="6"/>
      <c r="V95" s="6" t="str">
        <f aca="false">IFERROR(__xludf.dummyfunction("""COMPUTED_VALUE"""),"自動車, バス")</f>
        <v>自動車, バス</v>
      </c>
      <c r="W95" s="6"/>
      <c r="X95" s="6" t="str">
        <f aca="false">IFERROR(__xludf.dummyfunction("""COMPUTED_VALUE"""),"実家")</f>
        <v>実家</v>
      </c>
      <c r="Y95" s="6"/>
      <c r="Z95" s="6" t="str">
        <f aca="false">IFERROR(__xludf.dummyfunction("""COMPUTED_VALUE"""),"希望する")</f>
        <v>希望する</v>
      </c>
      <c r="AA95" s="6" t="str">
        <f aca="false">IFERROR(__xludf.dummyfunction("""COMPUTED_VALUE"""),"単身")</f>
        <v>単身</v>
      </c>
      <c r="AB95" s="6"/>
      <c r="AC95" s="6"/>
      <c r="AD95" s="6"/>
      <c r="AE95" s="6" t="str">
        <f aca="false">IFERROR(__xludf.dummyfunction("""COMPUTED_VALUE"""),"確認しました。")</f>
        <v>確認しました。</v>
      </c>
      <c r="AF95" s="6" t="str">
        <f aca="false">IFERROR(__xludf.dummyfunction("""COMPUTED_VALUE"""),"社宅基準の内容について確認しました")</f>
        <v>社宅基準の内容について確認しました</v>
      </c>
      <c r="AG95" s="6" t="str">
        <f aca="false">IFERROR(__xludf.dummyfunction("""COMPUTED_VALUE"""),"入居のしおりの内容についてご確認しました")</f>
        <v>入居のしおりの内容についてご確認しました</v>
      </c>
      <c r="AH95" s="6" t="str">
        <f aca="false">IFERROR(__xludf.dummyfunction("""COMPUTED_VALUE"""),"確認しました")</f>
        <v>確認しました</v>
      </c>
      <c r="AI95" s="6"/>
      <c r="AJ95" s="6" t="str">
        <v/>
      </c>
      <c r="AK95" s="6" t="str">
        <v/>
      </c>
      <c r="AL95" s="6" t="str">
        <v/>
      </c>
      <c r="AM95" s="6" t="str">
        <v/>
      </c>
      <c r="AN95" s="6" t="n">
        <f aca="false">FALSE()</f>
        <v>0</v>
      </c>
    </row>
    <row r="96" customFormat="false" ht="52.5" hidden="false" customHeight="true" outlineLevel="0" collapsed="false">
      <c r="A96" s="6" t="str">
        <f aca="false">IFERROR(__xludf.dummyfunction("""COMPUTED_VALUE"""),"2026/02/13 12:27:23")</f>
        <v>2026/02/13 12:27:23</v>
      </c>
      <c r="B96" s="6"/>
      <c r="C96" s="6" t="str">
        <f aca="false">IFERROR(__xludf.dummyfunction("""COMPUTED_VALUE"""),"69818")</f>
        <v>69818</v>
      </c>
      <c r="D96" s="6"/>
      <c r="E96" s="6"/>
      <c r="F96" s="6"/>
      <c r="G96" s="6" t="str">
        <f aca="false">IFERROR(__xludf.dummyfunction("""COMPUTED_VALUE"""),"2026/03/29")</f>
        <v>2026/03/29</v>
      </c>
      <c r="H96" s="6" t="str">
        <f aca="false">IFERROR(__xludf.dummyfunction("""COMPUTED_VALUE"""),"必要")</f>
        <v>必要</v>
      </c>
      <c r="I96" s="6" t="str">
        <f aca="false">IFERROR(__xludf.dummyfunction("""COMPUTED_VALUE"""),"男性")</f>
        <v>男性</v>
      </c>
      <c r="J96" s="6" t="str">
        <f aca="false">IFERROR(__xludf.dummyfunction("""COMPUTED_VALUE"""),"日本")</f>
        <v>日本</v>
      </c>
      <c r="K96" s="6" t="str">
        <f aca="false">IFERROR(__xludf.dummyfunction("""COMPUTED_VALUE"""),"15")</f>
        <v>15</v>
      </c>
      <c r="L96" s="6" t="str">
        <f aca="false">IFERROR(__xludf.dummyfunction("""COMPUTED_VALUE"""),"レンタルウォーターサーバー、電子レンジ")</f>
        <v>レンタルウォーターサーバー、電子レンジ</v>
      </c>
      <c r="M96" s="6" t="str">
        <f aca="false">IFERROR(__xludf.dummyfunction("""COMPUTED_VALUE"""),"布団一式、PC、PCデスク、デスクチェア")</f>
        <v>布団一式、PC、PCデスク、デスクチェア</v>
      </c>
      <c r="N96" s="6" t="str">
        <f aca="false">IFERROR(__xludf.dummyfunction("""COMPUTED_VALUE"""),"自転車2台")</f>
        <v>自転車2台</v>
      </c>
      <c r="O96" s="6" t="str">
        <f aca="false">IFERROR(__xludf.dummyfunction("""COMPUTED_VALUE"""),"不要")</f>
        <v>不要</v>
      </c>
      <c r="P96" s="6"/>
      <c r="Q96" s="6"/>
      <c r="R96" s="6"/>
      <c r="S96" s="6" t="str">
        <f aca="false">IFERROR(__xludf.dummyfunction("""COMPUTED_VALUE"""),"家具家電なし社宅")</f>
        <v>家具家電なし社宅</v>
      </c>
      <c r="T96" s="6" t="str">
        <f aca="false">IFERROR(__xludf.dummyfunction("""COMPUTED_VALUE"""),"利用する")</f>
        <v>利用する</v>
      </c>
      <c r="U96" s="6" t="str">
        <f aca="false">IFERROR(__xludf.dummyfunction("""COMPUTED_VALUE"""),"冷凍冷蔵庫、洗濯機、エアコン")</f>
        <v>冷凍冷蔵庫、洗濯機、エアコン</v>
      </c>
      <c r="V96" s="6" t="str">
        <f aca="false">IFERROR(__xludf.dummyfunction("""COMPUTED_VALUE"""),"自転車, 社用バス")</f>
        <v>自転車, 社用バス</v>
      </c>
      <c r="W96" s="6"/>
      <c r="X96" s="6" t="str">
        <f aca="false">IFERROR(__xludf.dummyfunction("""COMPUTED_VALUE"""),"株式会社ビーネックステクノロジーズの社宅")</f>
        <v>株式会社ビーネックステクノロジーズの社宅</v>
      </c>
      <c r="Y96" s="6" t="str">
        <f aca="false">IFERROR(__xludf.dummyfunction("""COMPUTED_VALUE"""),"利用なし")</f>
        <v>利用なし</v>
      </c>
      <c r="Z96" s="6" t="str">
        <f aca="false">IFERROR(__xludf.dummyfunction("""COMPUTED_VALUE"""),"希望する")</f>
        <v>希望する</v>
      </c>
      <c r="AA96" s="6" t="str">
        <f aca="false">IFERROR(__xludf.dummyfunction("""COMPUTED_VALUE"""),"単身")</f>
        <v>単身</v>
      </c>
      <c r="AB96" s="6"/>
      <c r="AC96" s="6"/>
      <c r="AD96" s="6"/>
      <c r="AE96" s="6" t="str">
        <f aca="false">IFERROR(__xludf.dummyfunction("""COMPUTED_VALUE"""),"確認しました。")</f>
        <v>確認しました。</v>
      </c>
      <c r="AF96" s="6" t="str">
        <f aca="false">IFERROR(__xludf.dummyfunction("""COMPUTED_VALUE"""),"社宅基準の内容について確認しました")</f>
        <v>社宅基準の内容について確認しました</v>
      </c>
      <c r="AG96" s="6" t="str">
        <f aca="false">IFERROR(__xludf.dummyfunction("""COMPUTED_VALUE"""),"入居のしおりの内容についてご確認しました")</f>
        <v>入居のしおりの内容についてご確認しました</v>
      </c>
      <c r="AH96" s="6" t="str">
        <f aca="false">IFERROR(__xludf.dummyfunction("""COMPUTED_VALUE"""),"確認しました")</f>
        <v>確認しました</v>
      </c>
      <c r="AI96" s="6"/>
      <c r="AJ96" s="6" t="str">
        <v/>
      </c>
      <c r="AK96" s="6" t="str">
        <v/>
      </c>
      <c r="AL96" s="6" t="str">
        <v/>
      </c>
      <c r="AM96" s="6" t="str">
        <v/>
      </c>
      <c r="AN96" s="6" t="n">
        <f aca="false">FALSE()</f>
        <v>0</v>
      </c>
    </row>
    <row r="97" customFormat="false" ht="52.5" hidden="false" customHeight="true" outlineLevel="0" collapsed="false">
      <c r="A97" s="6" t="str">
        <f aca="false">IFERROR(__xludf.dummyfunction("""COMPUTED_VALUE"""),"2026/02/13 13:51:31")</f>
        <v>2026/02/13 13:51:31</v>
      </c>
      <c r="B97" s="6"/>
      <c r="C97" s="6" t="str">
        <f aca="false">IFERROR(__xludf.dummyfunction("""COMPUTED_VALUE"""),"69909")</f>
        <v>69909</v>
      </c>
      <c r="D97" s="6"/>
      <c r="E97" s="6"/>
      <c r="F97" s="6"/>
      <c r="G97" s="6" t="str">
        <f aca="false">IFERROR(__xludf.dummyfunction("""COMPUTED_VALUE"""),"2026/02/21")</f>
        <v>2026/02/21</v>
      </c>
      <c r="H97" s="6" t="str">
        <f aca="false">IFERROR(__xludf.dummyfunction("""COMPUTED_VALUE"""),"必要")</f>
        <v>必要</v>
      </c>
      <c r="I97" s="6" t="str">
        <f aca="false">IFERROR(__xludf.dummyfunction("""COMPUTED_VALUE"""),"女性")</f>
        <v>女性</v>
      </c>
      <c r="J97" s="6" t="str">
        <f aca="false">IFERROR(__xludf.dummyfunction("""COMPUTED_VALUE"""),"日本")</f>
        <v>日本</v>
      </c>
      <c r="K97" s="6" t="str">
        <f aca="false">IFERROR(__xludf.dummyfunction("""COMPUTED_VALUE"""),"8")</f>
        <v>8</v>
      </c>
      <c r="L97" s="6" t="str">
        <f aca="false">IFERROR(__xludf.dummyfunction("""COMPUTED_VALUE"""),"冷蔵庫（単身用2ドア）、電子レンジ、炊飯器、テレビ")</f>
        <v>冷蔵庫（単身用2ドア）、電子レンジ、炊飯器、テレビ</v>
      </c>
      <c r="M97" s="6" t="str">
        <f aca="false">IFERROR(__xludf.dummyfunction("""COMPUTED_VALUE"""),"ベッド（シングル）、本棚3つ（31×61×59、31×61×119、31×42×88）、テーブル（45×96×36）、衣装タンス（40×56×106）、テレビ台（39×57×39）、衣装ケース全9つ（55×39×28 4つ、55×39×18 2つ、73×37×29、73×36×22、73×43×17）")</f>
        <v>ベッド（シングル）、本棚3つ（31×61×59、31×61×119、31×42×88）、テーブル（45×96×36）、衣装タンス（40×56×106）、テレビ台（39×57×39）、衣装ケース全9つ（55×39×28 4つ、55×39×18 2つ、73×37×29、73×36×22、73×43×17）</v>
      </c>
      <c r="N97" s="6"/>
      <c r="O97" s="6" t="str">
        <f aca="false">IFERROR(__xludf.dummyfunction("""COMPUTED_VALUE"""),"必要")</f>
        <v>必要</v>
      </c>
      <c r="P97" s="6" t="str">
        <f aca="false">IFERROR(__xludf.dummyfunction("""COMPUTED_VALUE"""),"ekワゴン")</f>
        <v>ekワゴン</v>
      </c>
      <c r="Q97" s="6" t="str">
        <f aca="false">IFERROR(__xludf.dummyfunction("""COMPUTED_VALUE"""),"か2451")</f>
        <v>か2451</v>
      </c>
      <c r="R97" s="6" t="str">
        <f aca="false">IFERROR(__xludf.dummyfunction("""COMPUTED_VALUE"""),"水色")</f>
        <v>水色</v>
      </c>
      <c r="S97" s="6" t="str">
        <f aca="false">IFERROR(__xludf.dummyfunction("""COMPUTED_VALUE"""),"家具家電なし社宅")</f>
        <v>家具家電なし社宅</v>
      </c>
      <c r="T97" s="6" t="str">
        <f aca="false">IFERROR(__xludf.dummyfunction("""COMPUTED_VALUE"""),"利用しない")</f>
        <v>利用しない</v>
      </c>
      <c r="U97" s="6"/>
      <c r="V97" s="6" t="str">
        <f aca="false">IFERROR(__xludf.dummyfunction("""COMPUTED_VALUE"""),"自動車")</f>
        <v>自動車</v>
      </c>
      <c r="W97" s="6"/>
      <c r="X97" s="6" t="str">
        <f aca="false">IFERROR(__xludf.dummyfunction("""COMPUTED_VALUE"""),"ご自身で契約中の物件")</f>
        <v>ご自身で契約中の物件</v>
      </c>
      <c r="Y97" s="6"/>
      <c r="Z97" s="6" t="str">
        <f aca="false">IFERROR(__xludf.dummyfunction("""COMPUTED_VALUE"""),"希望する")</f>
        <v>希望する</v>
      </c>
      <c r="AA97" s="6" t="str">
        <f aca="false">IFERROR(__xludf.dummyfunction("""COMPUTED_VALUE"""),"単身")</f>
        <v>単身</v>
      </c>
      <c r="AB97" s="6"/>
      <c r="AC97" s="6"/>
      <c r="AD97" s="6" t="str">
        <f aca="false">IFERROR(__xludf.dummyfunction("""COMPUTED_VALUE"""),"物件について。
可能であれば、エアコン、ガスコンロ、照明付きを希望です。")</f>
        <v>物件について。
可能であれば、エアコン、ガスコンロ、照明付きを希望です。</v>
      </c>
      <c r="AE97" s="6" t="str">
        <f aca="false">IFERROR(__xludf.dummyfunction("""COMPUTED_VALUE"""),"確認しました。")</f>
        <v>確認しました。</v>
      </c>
      <c r="AF97" s="6" t="str">
        <f aca="false">IFERROR(__xludf.dummyfunction("""COMPUTED_VALUE"""),"社宅基準の内容について確認しました")</f>
        <v>社宅基準の内容について確認しました</v>
      </c>
      <c r="AG97" s="6" t="str">
        <f aca="false">IFERROR(__xludf.dummyfunction("""COMPUTED_VALUE"""),"入居のしおりの内容についてご確認しました")</f>
        <v>入居のしおりの内容についてご確認しました</v>
      </c>
      <c r="AH97" s="6" t="str">
        <f aca="false">IFERROR(__xludf.dummyfunction("""COMPUTED_VALUE"""),"確認しました")</f>
        <v>確認しました</v>
      </c>
      <c r="AI97" s="6"/>
      <c r="AJ97" s="6" t="str">
        <v/>
      </c>
      <c r="AK97" s="6" t="str">
        <v/>
      </c>
      <c r="AL97" s="6" t="str">
        <v/>
      </c>
      <c r="AM97" s="6" t="str">
        <v/>
      </c>
      <c r="AN97" s="6" t="n">
        <f aca="false">FALSE()</f>
        <v>0</v>
      </c>
    </row>
    <row r="98" customFormat="false" ht="52.5" hidden="false" customHeight="true" outlineLevel="0" collapsed="false">
      <c r="A98" s="6" t="str">
        <f aca="false">IFERROR(__xludf.dummyfunction("""COMPUTED_VALUE"""),"2026/02/13 14:00:59")</f>
        <v>2026/02/13 14:00:59</v>
      </c>
      <c r="B98" s="6"/>
      <c r="C98" s="6" t="str">
        <f aca="false">IFERROR(__xludf.dummyfunction("""COMPUTED_VALUE"""),"69884")</f>
        <v>69884</v>
      </c>
      <c r="D98" s="6"/>
      <c r="E98" s="6"/>
      <c r="F98" s="6"/>
      <c r="G98" s="6" t="str">
        <f aca="false">IFERROR(__xludf.dummyfunction("""COMPUTED_VALUE"""),"2026/03/28")</f>
        <v>2026/03/28</v>
      </c>
      <c r="H98" s="6" t="str">
        <f aca="false">IFERROR(__xludf.dummyfunction("""COMPUTED_VALUE"""),"必要")</f>
        <v>必要</v>
      </c>
      <c r="I98" s="6" t="str">
        <f aca="false">IFERROR(__xludf.dummyfunction("""COMPUTED_VALUE"""),"男性")</f>
        <v>男性</v>
      </c>
      <c r="J98" s="6" t="str">
        <f aca="false">IFERROR(__xludf.dummyfunction("""COMPUTED_VALUE"""),"日本")</f>
        <v>日本</v>
      </c>
      <c r="K98" s="6" t="str">
        <f aca="false">IFERROR(__xludf.dummyfunction("""COMPUTED_VALUE"""),"15")</f>
        <v>15</v>
      </c>
      <c r="L98" s="6" t="str">
        <f aca="false">IFERROR(__xludf.dummyfunction("""COMPUTED_VALUE"""),"なし")</f>
        <v>なし</v>
      </c>
      <c r="M98" s="6" t="str">
        <f aca="false">IFERROR(__xludf.dummyfunction("""COMPUTED_VALUE"""),"机(W100×D60×H64)
タンス(W75×D41×H104)
オープンラック(W43×D24×H61)")</f>
        <v>机(W100×D60×H64)
タンス(W75×D41×H104)
オープンラック(W43×D24×H61)</v>
      </c>
      <c r="N98" s="6" t="str">
        <f aca="false">IFERROR(__xludf.dummyfunction("""COMPUTED_VALUE"""),"デスクトップPC(W22×D44×H46)
モニター2台(24.5インチ)
ゲーミングチェア")</f>
        <v>デスクトップPC(W22×D44×H46)
モニター2台(24.5インチ)
ゲーミングチェア</v>
      </c>
      <c r="O98" s="6" t="str">
        <f aca="false">IFERROR(__xludf.dummyfunction("""COMPUTED_VALUE"""),"不要")</f>
        <v>不要</v>
      </c>
      <c r="P98" s="6"/>
      <c r="Q98" s="6"/>
      <c r="R98" s="6"/>
      <c r="S98" s="6" t="str">
        <f aca="false">IFERROR(__xludf.dummyfunction("""COMPUTED_VALUE"""),"家具家電付き社宅")</f>
        <v>家具家電付き社宅</v>
      </c>
      <c r="T98" s="6" t="str">
        <f aca="false">IFERROR(__xludf.dummyfunction("""COMPUTED_VALUE"""),"利用しない")</f>
        <v>利用しない</v>
      </c>
      <c r="U98" s="6"/>
      <c r="V98" s="6" t="str">
        <f aca="false">IFERROR(__xludf.dummyfunction("""COMPUTED_VALUE"""),"社用バス")</f>
        <v>社用バス</v>
      </c>
      <c r="W98" s="6"/>
      <c r="X98" s="6" t="str">
        <f aca="false">IFERROR(__xludf.dummyfunction("""COMPUTED_VALUE"""),"実家")</f>
        <v>実家</v>
      </c>
      <c r="Y98" s="6"/>
      <c r="Z98" s="6" t="str">
        <f aca="false">IFERROR(__xludf.dummyfunction("""COMPUTED_VALUE"""),"希望しない")</f>
        <v>希望しない</v>
      </c>
      <c r="AA98" s="6" t="str">
        <f aca="false">IFERROR(__xludf.dummyfunction("""COMPUTED_VALUE"""),"単身")</f>
        <v>単身</v>
      </c>
      <c r="AB98" s="6"/>
      <c r="AC98" s="6"/>
      <c r="AD98" s="6"/>
      <c r="AE98" s="6" t="str">
        <f aca="false">IFERROR(__xludf.dummyfunction("""COMPUTED_VALUE"""),"確認しました。")</f>
        <v>確認しました。</v>
      </c>
      <c r="AF98" s="6" t="str">
        <f aca="false">IFERROR(__xludf.dummyfunction("""COMPUTED_VALUE"""),"社宅基準の内容について確認しました")</f>
        <v>社宅基準の内容について確認しました</v>
      </c>
      <c r="AG98" s="6" t="str">
        <f aca="false">IFERROR(__xludf.dummyfunction("""COMPUTED_VALUE"""),"入居のしおりの内容についてご確認しました")</f>
        <v>入居のしおりの内容についてご確認しました</v>
      </c>
      <c r="AH98" s="6" t="str">
        <f aca="false">IFERROR(__xludf.dummyfunction("""COMPUTED_VALUE"""),"確認しました")</f>
        <v>確認しました</v>
      </c>
      <c r="AI98" s="6"/>
      <c r="AJ98" s="6" t="str">
        <v/>
      </c>
      <c r="AK98" s="6" t="str">
        <v/>
      </c>
      <c r="AL98" s="6" t="str">
        <v/>
      </c>
      <c r="AM98" s="6" t="str">
        <v/>
      </c>
      <c r="AN98" s="6" t="n">
        <f aca="false">TRUE()</f>
        <v>1</v>
      </c>
    </row>
    <row r="99" customFormat="false" ht="52.5" hidden="false" customHeight="true" outlineLevel="0" collapsed="false">
      <c r="A99" s="6" t="str">
        <f aca="false">IFERROR(__xludf.dummyfunction("""COMPUTED_VALUE"""),"2026/02/13 14:07:24")</f>
        <v>2026/02/13 14:07:24</v>
      </c>
      <c r="B99" s="6"/>
      <c r="C99" s="6" t="str">
        <f aca="false">IFERROR(__xludf.dummyfunction("""COMPUTED_VALUE"""),"69834")</f>
        <v>69834</v>
      </c>
      <c r="D99" s="6"/>
      <c r="E99" s="6"/>
      <c r="F99" s="6"/>
      <c r="G99" s="6" t="str">
        <f aca="false">IFERROR(__xludf.dummyfunction("""COMPUTED_VALUE"""),"2026/02/27")</f>
        <v>2026/02/27</v>
      </c>
      <c r="H99" s="6" t="str">
        <f aca="false">IFERROR(__xludf.dummyfunction("""COMPUTED_VALUE"""),"必要")</f>
        <v>必要</v>
      </c>
      <c r="I99" s="6" t="str">
        <f aca="false">IFERROR(__xludf.dummyfunction("""COMPUTED_VALUE"""),"男性")</f>
        <v>男性</v>
      </c>
      <c r="J99" s="6" t="str">
        <f aca="false">IFERROR(__xludf.dummyfunction("""COMPUTED_VALUE"""),"日本")</f>
        <v>日本</v>
      </c>
      <c r="K99" s="6" t="str">
        <f aca="false">IFERROR(__xludf.dummyfunction("""COMPUTED_VALUE"""),"20")</f>
        <v>20</v>
      </c>
      <c r="L99" s="6" t="str">
        <f aca="false">IFERROR(__xludf.dummyfunction("""COMPUTED_VALUE"""),"ガスコンロ")</f>
        <v>ガスコンロ</v>
      </c>
      <c r="M99" s="6" t="str">
        <f aca="false">IFERROR(__xludf.dummyfunction("""COMPUTED_VALUE"""),"机(横幅：95cm・奥行：49cm・高さ：72cm)、ベッド(シングル)、本棚(横幅：90cm・奥行：29cm・高さ：180cm)、棚(横幅：53cm・奥行：30cm・高さ：112cm)、カラーボックス2台(横幅：44cm・奥行：29cm・高さ：88cm)")</f>
        <v>机(横幅：95cm・奥行：49cm・高さ：72cm)、ベッド(シングル)、本棚(横幅：90cm・奥行：29cm・高さ：180cm)、棚(横幅：53cm・奥行：30cm・高さ：112cm)、カラーボックス2台(横幅：44cm・奥行：29cm・高さ：88cm)</v>
      </c>
      <c r="N99" s="6" t="str">
        <f aca="false">IFERROR(__xludf.dummyfunction("""COMPUTED_VALUE"""),"自転車")</f>
        <v>自転車</v>
      </c>
      <c r="O99" s="6" t="str">
        <f aca="false">IFERROR(__xludf.dummyfunction("""COMPUTED_VALUE"""),"不要")</f>
        <v>不要</v>
      </c>
      <c r="P99" s="6"/>
      <c r="Q99" s="6"/>
      <c r="R99" s="6"/>
      <c r="S99" s="6" t="str">
        <f aca="false">IFERROR(__xludf.dummyfunction("""COMPUTED_VALUE"""),"家具家電付き社宅")</f>
        <v>家具家電付き社宅</v>
      </c>
      <c r="T99" s="6" t="str">
        <f aca="false">IFERROR(__xludf.dummyfunction("""COMPUTED_VALUE"""),"利用しない")</f>
        <v>利用しない</v>
      </c>
      <c r="U99" s="6"/>
      <c r="V99" s="6" t="str">
        <f aca="false">IFERROR(__xludf.dummyfunction("""COMPUTED_VALUE"""),"自転車")</f>
        <v>自転車</v>
      </c>
      <c r="W99" s="6"/>
      <c r="X99" s="6" t="str">
        <f aca="false">IFERROR(__xludf.dummyfunction("""COMPUTED_VALUE"""),"ご自身で契約中の物件")</f>
        <v>ご自身で契約中の物件</v>
      </c>
      <c r="Y99" s="6"/>
      <c r="Z99" s="6" t="str">
        <f aca="false">IFERROR(__xludf.dummyfunction("""COMPUTED_VALUE"""),"希望する")</f>
        <v>希望する</v>
      </c>
      <c r="AA99" s="6" t="str">
        <f aca="false">IFERROR(__xludf.dummyfunction("""COMPUTED_VALUE"""),"単身")</f>
        <v>単身</v>
      </c>
      <c r="AB99" s="6"/>
      <c r="AC99" s="6"/>
      <c r="AD99" s="6" t="str">
        <f aca="false">IFERROR(__xludf.dummyfunction("""COMPUTED_VALUE"""),"できれば風呂とトイレが分かれている物件を希望します。")</f>
        <v>できれば風呂とトイレが分かれている物件を希望します。</v>
      </c>
      <c r="AE99" s="6" t="str">
        <f aca="false">IFERROR(__xludf.dummyfunction("""COMPUTED_VALUE"""),"確認しました。")</f>
        <v>確認しました。</v>
      </c>
      <c r="AF99" s="6" t="str">
        <f aca="false">IFERROR(__xludf.dummyfunction("""COMPUTED_VALUE"""),"社宅基準の内容について確認しました")</f>
        <v>社宅基準の内容について確認しました</v>
      </c>
      <c r="AG99" s="6" t="str">
        <f aca="false">IFERROR(__xludf.dummyfunction("""COMPUTED_VALUE"""),"入居のしおりの内容についてご確認しました")</f>
        <v>入居のしおりの内容についてご確認しました</v>
      </c>
      <c r="AH99" s="6" t="str">
        <f aca="false">IFERROR(__xludf.dummyfunction("""COMPUTED_VALUE"""),"確認しました")</f>
        <v>確認しました</v>
      </c>
      <c r="AI99" s="6"/>
      <c r="AJ99" s="6" t="str">
        <v/>
      </c>
      <c r="AK99" s="6" t="str">
        <v/>
      </c>
      <c r="AL99" s="6" t="str">
        <v/>
      </c>
      <c r="AM99" s="6" t="str">
        <v/>
      </c>
      <c r="AN99" s="6" t="n">
        <f aca="false">FALSE()</f>
        <v>0</v>
      </c>
    </row>
    <row r="100" customFormat="false" ht="52.5" hidden="false" customHeight="true" outlineLevel="0" collapsed="false">
      <c r="A100" s="6" t="str">
        <f aca="false">IFERROR(__xludf.dummyfunction("""COMPUTED_VALUE"""),"2026/02/13 16:13:48")</f>
        <v>2026/02/13 16:13:48</v>
      </c>
      <c r="B100" s="6"/>
      <c r="C100" s="6" t="str">
        <f aca="false">IFERROR(__xludf.dummyfunction("""COMPUTED_VALUE"""),"69839")</f>
        <v>69839</v>
      </c>
      <c r="D100" s="6"/>
      <c r="E100" s="6"/>
      <c r="F100" s="6"/>
      <c r="G100" s="6" t="str">
        <f aca="false">IFERROR(__xludf.dummyfunction("""COMPUTED_VALUE"""),"2026/03/20")</f>
        <v>2026/03/20</v>
      </c>
      <c r="H100" s="6" t="str">
        <f aca="false">IFERROR(__xludf.dummyfunction("""COMPUTED_VALUE"""),"必要")</f>
        <v>必要</v>
      </c>
      <c r="I100" s="6" t="str">
        <f aca="false">IFERROR(__xludf.dummyfunction("""COMPUTED_VALUE"""),"男性")</f>
        <v>男性</v>
      </c>
      <c r="J100" s="6" t="str">
        <f aca="false">IFERROR(__xludf.dummyfunction("""COMPUTED_VALUE"""),"日本")</f>
        <v>日本</v>
      </c>
      <c r="K100" s="6" t="str">
        <f aca="false">IFERROR(__xludf.dummyfunction("""COMPUTED_VALUE"""),"5")</f>
        <v>5</v>
      </c>
      <c r="L100" s="6" t="str">
        <f aca="false">IFERROR(__xludf.dummyfunction("""COMPUTED_VALUE"""),"テレビ、扇風機")</f>
        <v>テレビ、扇風機</v>
      </c>
      <c r="M100" s="6" t="str">
        <f aca="false">IFERROR(__xludf.dummyfunction("""COMPUTED_VALUE"""),"机（横幅115cm奥行52cm高さ125cm）、椅子")</f>
        <v>机（横幅115cm奥行52cm高さ125cm）、椅子</v>
      </c>
      <c r="N100" s="6"/>
      <c r="O100" s="6" t="str">
        <f aca="false">IFERROR(__xludf.dummyfunction("""COMPUTED_VALUE"""),"不要")</f>
        <v>不要</v>
      </c>
      <c r="P100" s="6"/>
      <c r="Q100" s="6"/>
      <c r="R100" s="6"/>
      <c r="S100" s="6" t="str">
        <f aca="false">IFERROR(__xludf.dummyfunction("""COMPUTED_VALUE"""),"家具家電なし社宅")</f>
        <v>家具家電なし社宅</v>
      </c>
      <c r="T100" s="6" t="str">
        <f aca="false">IFERROR(__xludf.dummyfunction("""COMPUTED_VALUE"""),"利用する")</f>
        <v>利用する</v>
      </c>
      <c r="U100" s="6" t="str">
        <f aca="false">IFERROR(__xludf.dummyfunction("""COMPUTED_VALUE"""),"冷凍冷蔵庫、全自動洗濯機")</f>
        <v>冷凍冷蔵庫、全自動洗濯機</v>
      </c>
      <c r="V100" s="6" t="str">
        <f aca="false">IFERROR(__xludf.dummyfunction("""COMPUTED_VALUE"""),"徒歩, 電車")</f>
        <v>徒歩, 電車</v>
      </c>
      <c r="W100" s="6"/>
      <c r="X100" s="6" t="str">
        <f aca="false">IFERROR(__xludf.dummyfunction("""COMPUTED_VALUE"""),"実家")</f>
        <v>実家</v>
      </c>
      <c r="Y100" s="6"/>
      <c r="Z100" s="6" t="str">
        <f aca="false">IFERROR(__xludf.dummyfunction("""COMPUTED_VALUE"""),"希望する")</f>
        <v>希望する</v>
      </c>
      <c r="AA100" s="6" t="str">
        <f aca="false">IFERROR(__xludf.dummyfunction("""COMPUTED_VALUE"""),"単身")</f>
        <v>単身</v>
      </c>
      <c r="AB100" s="6"/>
      <c r="AC100" s="6"/>
      <c r="AD100" s="6"/>
      <c r="AE100" s="6" t="str">
        <f aca="false">IFERROR(__xludf.dummyfunction("""COMPUTED_VALUE"""),"確認しました。")</f>
        <v>確認しました。</v>
      </c>
      <c r="AF100" s="6" t="str">
        <f aca="false">IFERROR(__xludf.dummyfunction("""COMPUTED_VALUE"""),"社宅基準の内容について確認しました")</f>
        <v>社宅基準の内容について確認しました</v>
      </c>
      <c r="AG100" s="6" t="str">
        <f aca="false">IFERROR(__xludf.dummyfunction("""COMPUTED_VALUE"""),"入居のしおりの内容についてご確認しました")</f>
        <v>入居のしおりの内容についてご確認しました</v>
      </c>
      <c r="AH100" s="6" t="str">
        <f aca="false">IFERROR(__xludf.dummyfunction("""COMPUTED_VALUE"""),"確認しました")</f>
        <v>確認しました</v>
      </c>
      <c r="AI100" s="6"/>
      <c r="AJ100" s="6" t="str">
        <v/>
      </c>
      <c r="AK100" s="6" t="str">
        <v/>
      </c>
      <c r="AL100" s="6" t="str">
        <v/>
      </c>
      <c r="AM100" s="6" t="str">
        <v/>
      </c>
      <c r="AN100" s="6" t="n">
        <f aca="false">FALSE()</f>
        <v>0</v>
      </c>
    </row>
    <row r="101" customFormat="false" ht="52.5" hidden="false" customHeight="true" outlineLevel="0" collapsed="false">
      <c r="A101" s="6" t="str">
        <f aca="false">IFERROR(__xludf.dummyfunction("""COMPUTED_VALUE"""),"2026/02/13 17:12:35")</f>
        <v>2026/02/13 17:12:35</v>
      </c>
      <c r="B101" s="6"/>
      <c r="C101" s="6" t="str">
        <f aca="false">IFERROR(__xludf.dummyfunction("""COMPUTED_VALUE"""),"69791")</f>
        <v>69791</v>
      </c>
      <c r="D101" s="6"/>
      <c r="E101" s="6"/>
      <c r="F101" s="6"/>
      <c r="G101" s="6" t="str">
        <f aca="false">IFERROR(__xludf.dummyfunction("""COMPUTED_VALUE"""),"2026/02/20")</f>
        <v>2026/02/20</v>
      </c>
      <c r="H101" s="6" t="str">
        <f aca="false">IFERROR(__xludf.dummyfunction("""COMPUTED_VALUE"""),"不要")</f>
        <v>不要</v>
      </c>
      <c r="I101" s="6" t="str">
        <f aca="false">IFERROR(__xludf.dummyfunction("""COMPUTED_VALUE"""),"男性")</f>
        <v>男性</v>
      </c>
      <c r="J101" s="6" t="str">
        <f aca="false">IFERROR(__xludf.dummyfunction("""COMPUTED_VALUE"""),"中国")</f>
        <v>中国</v>
      </c>
      <c r="K101" s="6"/>
      <c r="L101" s="6"/>
      <c r="M101" s="6"/>
      <c r="N101" s="6"/>
      <c r="O101" s="6" t="str">
        <f aca="false">IFERROR(__xludf.dummyfunction("""COMPUTED_VALUE"""),"必要")</f>
        <v>必要</v>
      </c>
      <c r="P101" s="6" t="str">
        <f aca="false">IFERROR(__xludf.dummyfunction("""COMPUTED_VALUE"""),"軽")</f>
        <v>軽</v>
      </c>
      <c r="Q101" s="6" t="str">
        <f aca="false">IFERROR(__xludf.dummyfunction("""COMPUTED_VALUE"""),"15-50")</f>
        <v>15-50</v>
      </c>
      <c r="R101" s="6" t="str">
        <f aca="false">IFERROR(__xludf.dummyfunction("""COMPUTED_VALUE"""),"銀")</f>
        <v>銀</v>
      </c>
      <c r="S101" s="6" t="str">
        <f aca="false">IFERROR(__xludf.dummyfunction("""COMPUTED_VALUE"""),"家具家電付き社宅")</f>
        <v>家具家電付き社宅</v>
      </c>
      <c r="T101" s="6" t="str">
        <f aca="false">IFERROR(__xludf.dummyfunction("""COMPUTED_VALUE"""),"利用しない")</f>
        <v>利用しない</v>
      </c>
      <c r="U101" s="6"/>
      <c r="V101" s="6" t="str">
        <f aca="false">IFERROR(__xludf.dummyfunction("""COMPUTED_VALUE"""),"自動車")</f>
        <v>自動車</v>
      </c>
      <c r="W101" s="6"/>
      <c r="X101" s="6" t="str">
        <f aca="false">IFERROR(__xludf.dummyfunction("""COMPUTED_VALUE"""),"実家")</f>
        <v>実家</v>
      </c>
      <c r="Y101" s="6"/>
      <c r="Z101" s="6" t="str">
        <f aca="false">IFERROR(__xludf.dummyfunction("""COMPUTED_VALUE"""),"希望する")</f>
        <v>希望する</v>
      </c>
      <c r="AA101" s="6" t="str">
        <f aca="false">IFERROR(__xludf.dummyfunction("""COMPUTED_VALUE"""),"単身")</f>
        <v>単身</v>
      </c>
      <c r="AB101" s="6"/>
      <c r="AC101" s="6"/>
      <c r="AD101" s="6"/>
      <c r="AE101" s="6" t="str">
        <f aca="false">IFERROR(__xludf.dummyfunction("""COMPUTED_VALUE"""),"確認しました。")</f>
        <v>確認しました。</v>
      </c>
      <c r="AF101" s="6" t="str">
        <f aca="false">IFERROR(__xludf.dummyfunction("""COMPUTED_VALUE"""),"社宅基準の内容について確認しました")</f>
        <v>社宅基準の内容について確認しました</v>
      </c>
      <c r="AG101" s="6" t="str">
        <f aca="false">IFERROR(__xludf.dummyfunction("""COMPUTED_VALUE"""),"入居のしおりの内容についてご確認しました")</f>
        <v>入居のしおりの内容についてご確認しました</v>
      </c>
      <c r="AH101" s="6" t="str">
        <f aca="false">IFERROR(__xludf.dummyfunction("""COMPUTED_VALUE"""),"確認しました")</f>
        <v>確認しました</v>
      </c>
      <c r="AI101" s="6"/>
      <c r="AJ101" s="6" t="str">
        <v/>
      </c>
      <c r="AK101" s="6" t="str">
        <v/>
      </c>
      <c r="AL101" s="6" t="str">
        <v/>
      </c>
      <c r="AM101" s="6" t="str">
        <v/>
      </c>
      <c r="AN101" s="6" t="n">
        <f aca="false">FALSE()</f>
        <v>0</v>
      </c>
    </row>
    <row r="102" customFormat="false" ht="52.5" hidden="false" customHeight="true" outlineLevel="0" collapsed="false">
      <c r="A102" s="6" t="str">
        <f aca="false">IFERROR(__xludf.dummyfunction("""COMPUTED_VALUE"""),"2026/02/13 18:22:19")</f>
        <v>2026/02/13 18:22:19</v>
      </c>
      <c r="B102" s="6"/>
      <c r="C102" s="6" t="str">
        <f aca="false">IFERROR(__xludf.dummyfunction("""COMPUTED_VALUE"""),"69933")</f>
        <v>69933</v>
      </c>
      <c r="D102" s="6"/>
      <c r="E102" s="6"/>
      <c r="F102" s="6"/>
      <c r="G102" s="6" t="str">
        <f aca="false">IFERROR(__xludf.dummyfunction("""COMPUTED_VALUE"""),"2026/03/31")</f>
        <v>2026/03/31</v>
      </c>
      <c r="H102" s="6" t="str">
        <f aca="false">IFERROR(__xludf.dummyfunction("""COMPUTED_VALUE"""),"必要")</f>
        <v>必要</v>
      </c>
      <c r="I102" s="6" t="str">
        <f aca="false">IFERROR(__xludf.dummyfunction("""COMPUTED_VALUE"""),"男性")</f>
        <v>男性</v>
      </c>
      <c r="J102" s="6" t="str">
        <f aca="false">IFERROR(__xludf.dummyfunction("""COMPUTED_VALUE"""),"日本")</f>
        <v>日本</v>
      </c>
      <c r="K102" s="6" t="str">
        <f aca="false">IFERROR(__xludf.dummyfunction("""COMPUTED_VALUE"""),"20")</f>
        <v>20</v>
      </c>
      <c r="L102" s="6" t="str">
        <f aca="false">IFERROR(__xludf.dummyfunction("""COMPUTED_VALUE"""),"冷蔵庫(2ドア)、電子レンジ、炊飯器、電気ポット")</f>
        <v>冷蔵庫(2ドア)、電子レンジ、炊飯器、電気ポット</v>
      </c>
      <c r="M102" s="6" t="str">
        <f aca="false">IFERROR(__xludf.dummyfunction("""COMPUTED_VALUE"""),"こたつ机(75・75・45)、本棚(45・30・180)、ラック×2(44・28・71)、ワイドチェスト(55・45・65)、チェスト×2(32・41・20)、収納ケース(44・74・30)、収納ケース×2(44・74・20)")</f>
        <v>こたつ机(75・75・45)、本棚(45・30・180)、ラック×2(44・28・71)、ワイドチェスト(55・45・65)、チェスト×2(32・41・20)、収納ケース(44・74・30)、収納ケース×2(44・74・20)</v>
      </c>
      <c r="N102" s="6" t="str">
        <f aca="false">IFERROR(__xludf.dummyfunction("""COMPUTED_VALUE"""),"マットレス(シングル)、突っ張り棒各種5本、物干し竿1本、デスクトップPC、モニター、キーボード、")</f>
        <v>マットレス(シングル)、突っ張り棒各種5本、物干し竿1本、デスクトップPC、モニター、キーボード、</v>
      </c>
      <c r="O102" s="6" t="str">
        <f aca="false">IFERROR(__xludf.dummyfunction("""COMPUTED_VALUE"""),"必要")</f>
        <v>必要</v>
      </c>
      <c r="P102" s="6" t="str">
        <f aca="false">IFERROR(__xludf.dummyfunction("""COMPUTED_VALUE"""),"Vストローム250")</f>
        <v>Vストローム250</v>
      </c>
      <c r="Q102" s="6" t="str">
        <f aca="false">IFERROR(__xludf.dummyfunction("""COMPUTED_VALUE"""),"豊田 ち 3371")</f>
        <v>豊田 ち 3371</v>
      </c>
      <c r="R102" s="6" t="str">
        <f aca="false">IFERROR(__xludf.dummyfunction("""COMPUTED_VALUE"""),"シルバー")</f>
        <v>シルバー</v>
      </c>
      <c r="S102" s="6" t="str">
        <f aca="false">IFERROR(__xludf.dummyfunction("""COMPUTED_VALUE"""),"家具家電付き社宅")</f>
        <v>家具家電付き社宅</v>
      </c>
      <c r="T102" s="6" t="str">
        <f aca="false">IFERROR(__xludf.dummyfunction("""COMPUTED_VALUE"""),"利用しない")</f>
        <v>利用しない</v>
      </c>
      <c r="U102" s="6"/>
      <c r="V102" s="6" t="str">
        <f aca="false">IFERROR(__xludf.dummyfunction("""COMPUTED_VALUE"""),"バス, バイク")</f>
        <v>バス, バイク</v>
      </c>
      <c r="W102" s="6"/>
      <c r="X102" s="6" t="str">
        <f aca="false">IFERROR(__xludf.dummyfunction("""COMPUTED_VALUE"""),"株式会社ビーネックステクノロジーズの社宅")</f>
        <v>株式会社ビーネックステクノロジーズの社宅</v>
      </c>
      <c r="Y102" s="6" t="str">
        <f aca="false">IFERROR(__xludf.dummyfunction("""COMPUTED_VALUE"""),"洗濯機 回収希望")</f>
        <v>洗濯機 回収希望</v>
      </c>
      <c r="Z102" s="6" t="str">
        <f aca="false">IFERROR(__xludf.dummyfunction("""COMPUTED_VALUE"""),"希望する")</f>
        <v>希望する</v>
      </c>
      <c r="AA102" s="6" t="str">
        <f aca="false">IFERROR(__xludf.dummyfunction("""COMPUTED_VALUE"""),"単身")</f>
        <v>単身</v>
      </c>
      <c r="AB102" s="6"/>
      <c r="AC102" s="6"/>
      <c r="AD102" s="6" t="str">
        <f aca="false">IFERROR(__xludf.dummyfunction("""COMPUTED_VALUE"""),"こちらからもいくつか物件を選出したのですが、社宅として認められますか？
また、家賃を限度額を超えた場合の超過分は部長承認がある場合認められるとありますが、部長承認は貴社の方々の承認でしょうか？")</f>
        <v>こちらからもいくつか物件を選出したのですが、社宅として認められますか？
また、家賃を限度額を超えた場合の超過分は部長承認がある場合認められるとありますが、部長承認は貴社の方々の承認でしょうか？</v>
      </c>
      <c r="AE102" s="6" t="str">
        <f aca="false">IFERROR(__xludf.dummyfunction("""COMPUTED_VALUE"""),"確認しました。")</f>
        <v>確認しました。</v>
      </c>
      <c r="AF102" s="6" t="str">
        <f aca="false">IFERROR(__xludf.dummyfunction("""COMPUTED_VALUE"""),"社宅基準の内容について確認しました")</f>
        <v>社宅基準の内容について確認しました</v>
      </c>
      <c r="AG102" s="6" t="str">
        <f aca="false">IFERROR(__xludf.dummyfunction("""COMPUTED_VALUE"""),"入居のしおりの内容についてご確認しました")</f>
        <v>入居のしおりの内容についてご確認しました</v>
      </c>
      <c r="AH102" s="6" t="str">
        <f aca="false">IFERROR(__xludf.dummyfunction("""COMPUTED_VALUE"""),"確認しました")</f>
        <v>確認しました</v>
      </c>
      <c r="AI102" s="6"/>
      <c r="AJ102" s="6" t="str">
        <v/>
      </c>
      <c r="AK102" s="6" t="str">
        <v/>
      </c>
      <c r="AL102" s="6" t="str">
        <v/>
      </c>
      <c r="AM102" s="6" t="str">
        <v/>
      </c>
      <c r="AN102" s="6" t="n">
        <f aca="false">TRUE()</f>
        <v>1</v>
      </c>
    </row>
    <row r="103" customFormat="false" ht="52.5" hidden="false" customHeight="true" outlineLevel="0" collapsed="false">
      <c r="A103" s="6" t="str">
        <f aca="false">IFERROR(__xludf.dummyfunction("""COMPUTED_VALUE"""),"2026/02/13 18:41:16")</f>
        <v>2026/02/13 18:41:16</v>
      </c>
      <c r="B103" s="6"/>
      <c r="C103" s="6" t="str">
        <f aca="false">IFERROR(__xludf.dummyfunction("""COMPUTED_VALUE"""),"69956")</f>
        <v>69956</v>
      </c>
      <c r="D103" s="6"/>
      <c r="E103" s="6"/>
      <c r="F103" s="6"/>
      <c r="G103" s="6" t="str">
        <f aca="false">IFERROR(__xludf.dummyfunction("""COMPUTED_VALUE"""),"2026/02/22")</f>
        <v>2026/02/22</v>
      </c>
      <c r="H103" s="6" t="str">
        <f aca="false">IFERROR(__xludf.dummyfunction("""COMPUTED_VALUE"""),"必要")</f>
        <v>必要</v>
      </c>
      <c r="I103" s="6" t="str">
        <f aca="false">IFERROR(__xludf.dummyfunction("""COMPUTED_VALUE"""),"男性")</f>
        <v>男性</v>
      </c>
      <c r="J103" s="6" t="str">
        <f aca="false">IFERROR(__xludf.dummyfunction("""COMPUTED_VALUE"""),"日本")</f>
        <v>日本</v>
      </c>
      <c r="K103" s="6" t="str">
        <f aca="false">IFERROR(__xludf.dummyfunction("""COMPUTED_VALUE"""),"10")</f>
        <v>10</v>
      </c>
      <c r="L103" s="6" t="str">
        <f aca="false">IFERROR(__xludf.dummyfunction("""COMPUTED_VALUE"""),"冷蔵庫（単身用）レンシレンジ、モニター")</f>
        <v>冷蔵庫（単身用）レンシレンジ、モニター</v>
      </c>
      <c r="M103" s="6" t="str">
        <f aca="false">IFERROR(__xludf.dummyfunction("""COMPUTED_VALUE"""),"イス、机、タンス")</f>
        <v>イス、机、タンス</v>
      </c>
      <c r="N103" s="6" t="str">
        <f aca="false">IFERROR(__xludf.dummyfunction("""COMPUTED_VALUE"""),"自転車")</f>
        <v>自転車</v>
      </c>
      <c r="O103" s="6" t="str">
        <f aca="false">IFERROR(__xludf.dummyfunction("""COMPUTED_VALUE"""),"不要")</f>
        <v>不要</v>
      </c>
      <c r="P103" s="6"/>
      <c r="Q103" s="6"/>
      <c r="R103" s="6"/>
      <c r="S103" s="6" t="str">
        <f aca="false">IFERROR(__xludf.dummyfunction("""COMPUTED_VALUE"""),"家具家電付き社宅")</f>
        <v>家具家電付き社宅</v>
      </c>
      <c r="T103" s="6" t="str">
        <f aca="false">IFERROR(__xludf.dummyfunction("""COMPUTED_VALUE"""),"利用しない")</f>
        <v>利用しない</v>
      </c>
      <c r="U103" s="6"/>
      <c r="V103" s="6" t="str">
        <f aca="false">IFERROR(__xludf.dummyfunction("""COMPUTED_VALUE"""),"徒歩, 自動車")</f>
        <v>徒歩, 自動車</v>
      </c>
      <c r="W103" s="6"/>
      <c r="X103" s="6" t="str">
        <f aca="false">IFERROR(__xludf.dummyfunction("""COMPUTED_VALUE"""),"実家")</f>
        <v>実家</v>
      </c>
      <c r="Y103" s="6"/>
      <c r="Z103" s="6" t="str">
        <f aca="false">IFERROR(__xludf.dummyfunction("""COMPUTED_VALUE"""),"希望する")</f>
        <v>希望する</v>
      </c>
      <c r="AA103" s="6" t="str">
        <f aca="false">IFERROR(__xludf.dummyfunction("""COMPUTED_VALUE"""),"単身")</f>
        <v>単身</v>
      </c>
      <c r="AB103" s="6"/>
      <c r="AC103" s="6"/>
      <c r="AD103" s="6"/>
      <c r="AE103" s="6" t="str">
        <f aca="false">IFERROR(__xludf.dummyfunction("""COMPUTED_VALUE"""),"確認しました。")</f>
        <v>確認しました。</v>
      </c>
      <c r="AF103" s="6" t="str">
        <f aca="false">IFERROR(__xludf.dummyfunction("""COMPUTED_VALUE"""),"社宅基準の内容について確認しました")</f>
        <v>社宅基準の内容について確認しました</v>
      </c>
      <c r="AG103" s="6" t="str">
        <f aca="false">IFERROR(__xludf.dummyfunction("""COMPUTED_VALUE"""),"入居のしおりの内容についてご確認しました")</f>
        <v>入居のしおりの内容についてご確認しました</v>
      </c>
      <c r="AH103" s="6" t="str">
        <f aca="false">IFERROR(__xludf.dummyfunction("""COMPUTED_VALUE"""),"確認しました")</f>
        <v>確認しました</v>
      </c>
      <c r="AI103" s="6"/>
      <c r="AJ103" s="6" t="str">
        <v/>
      </c>
      <c r="AK103" s="6" t="str">
        <v/>
      </c>
      <c r="AL103" s="6" t="str">
        <v/>
      </c>
      <c r="AM103" s="6" t="str">
        <v/>
      </c>
      <c r="AN103" s="6" t="n">
        <f aca="false">TRUE()</f>
        <v>1</v>
      </c>
    </row>
    <row r="104" customFormat="false" ht="52.5" hidden="false" customHeight="true" outlineLevel="0" collapsed="false">
      <c r="A104" s="6" t="str">
        <f aca="false">IFERROR(__xludf.dummyfunction("""COMPUTED_VALUE"""),"2026/02/13 20:03:04")</f>
        <v>2026/02/13 20:03:04</v>
      </c>
      <c r="B104" s="6"/>
      <c r="C104" s="6" t="str">
        <f aca="false">IFERROR(__xludf.dummyfunction("""COMPUTED_VALUE"""),"69943")</f>
        <v>69943</v>
      </c>
      <c r="D104" s="6"/>
      <c r="E104" s="6"/>
      <c r="F104" s="6"/>
      <c r="G104" s="6" t="str">
        <f aca="false">IFERROR(__xludf.dummyfunction("""COMPUTED_VALUE"""),"2026/02/26")</f>
        <v>2026/02/26</v>
      </c>
      <c r="H104" s="6" t="str">
        <f aca="false">IFERROR(__xludf.dummyfunction("""COMPUTED_VALUE"""),"必要")</f>
        <v>必要</v>
      </c>
      <c r="I104" s="6" t="str">
        <f aca="false">IFERROR(__xludf.dummyfunction("""COMPUTED_VALUE"""),"男性")</f>
        <v>男性</v>
      </c>
      <c r="J104" s="6" t="str">
        <f aca="false">IFERROR(__xludf.dummyfunction("""COMPUTED_VALUE"""),"ネパール")</f>
        <v>ネパール</v>
      </c>
      <c r="K104" s="6" t="str">
        <f aca="false">IFERROR(__xludf.dummyfunction("""COMPUTED_VALUE"""),"5")</f>
        <v>5</v>
      </c>
      <c r="L104" s="6" t="str">
        <f aca="false">IFERROR(__xludf.dummyfunction("""COMPUTED_VALUE"""),"0")</f>
        <v>0</v>
      </c>
      <c r="M104" s="6" t="str">
        <f aca="false">IFERROR(__xludf.dummyfunction("""COMPUTED_VALUE"""),"0")</f>
        <v>0</v>
      </c>
      <c r="N104" s="6" t="str">
        <f aca="false">IFERROR(__xludf.dummyfunction("""COMPUTED_VALUE"""),"2")</f>
        <v>2</v>
      </c>
      <c r="O104" s="6" t="str">
        <f aca="false">IFERROR(__xludf.dummyfunction("""COMPUTED_VALUE"""),"不要")</f>
        <v>不要</v>
      </c>
      <c r="P104" s="6"/>
      <c r="Q104" s="6"/>
      <c r="R104" s="6"/>
      <c r="S104" s="6" t="str">
        <f aca="false">IFERROR(__xludf.dummyfunction("""COMPUTED_VALUE"""),"家具家電付き社宅")</f>
        <v>家具家電付き社宅</v>
      </c>
      <c r="T104" s="6" t="str">
        <f aca="false">IFERROR(__xludf.dummyfunction("""COMPUTED_VALUE"""),"利用しない")</f>
        <v>利用しない</v>
      </c>
      <c r="U104" s="6"/>
      <c r="V104" s="6" t="str">
        <f aca="false">IFERROR(__xludf.dummyfunction("""COMPUTED_VALUE"""),"徒歩")</f>
        <v>徒歩</v>
      </c>
      <c r="W104" s="6"/>
      <c r="X104" s="6" t="str">
        <f aca="false">IFERROR(__xludf.dummyfunction("""COMPUTED_VALUE"""),"株式会社ビーネックステクノロジーズの社宅")</f>
        <v>株式会社ビーネックステクノロジーズの社宅</v>
      </c>
      <c r="Y104" s="6" t="str">
        <f aca="false">IFERROR(__xludf.dummyfunction("""COMPUTED_VALUE"""),"no use")</f>
        <v>no use</v>
      </c>
      <c r="Z104" s="6" t="str">
        <f aca="false">IFERROR(__xludf.dummyfunction("""COMPUTED_VALUE"""),"希望する")</f>
        <v>希望する</v>
      </c>
      <c r="AA104" s="6" t="str">
        <f aca="false">IFERROR(__xludf.dummyfunction("""COMPUTED_VALUE"""),"単身")</f>
        <v>単身</v>
      </c>
      <c r="AB104" s="6"/>
      <c r="AC104" s="6"/>
      <c r="AD104" s="6"/>
      <c r="AE104" s="6" t="str">
        <f aca="false">IFERROR(__xludf.dummyfunction("""COMPUTED_VALUE"""),"確認しました。")</f>
        <v>確認しました。</v>
      </c>
      <c r="AF104" s="6" t="str">
        <f aca="false">IFERROR(__xludf.dummyfunction("""COMPUTED_VALUE"""),"社宅基準の内容について確認しました")</f>
        <v>社宅基準の内容について確認しました</v>
      </c>
      <c r="AG104" s="6" t="str">
        <f aca="false">IFERROR(__xludf.dummyfunction("""COMPUTED_VALUE"""),"入居のしおりの内容についてご確認しました")</f>
        <v>入居のしおりの内容についてご確認しました</v>
      </c>
      <c r="AH104" s="6" t="str">
        <f aca="false">IFERROR(__xludf.dummyfunction("""COMPUTED_VALUE"""),"確認しました")</f>
        <v>確認しました</v>
      </c>
      <c r="AI104" s="6"/>
      <c r="AJ104" s="6" t="str">
        <v/>
      </c>
      <c r="AK104" s="6" t="str">
        <v/>
      </c>
      <c r="AL104" s="6" t="str">
        <v/>
      </c>
      <c r="AM104" s="6" t="str">
        <v/>
      </c>
      <c r="AN104" s="6" t="n">
        <f aca="false">TRUE()</f>
        <v>1</v>
      </c>
    </row>
    <row r="105" customFormat="false" ht="52.5" hidden="false" customHeight="true" outlineLevel="0" collapsed="false">
      <c r="A105" s="6" t="str">
        <f aca="false">IFERROR(__xludf.dummyfunction("""COMPUTED_VALUE"""),"2026/02/13 20:18:37")</f>
        <v>2026/02/13 20:18:37</v>
      </c>
      <c r="B105" s="6"/>
      <c r="C105" s="6" t="str">
        <f aca="false">IFERROR(__xludf.dummyfunction("""COMPUTED_VALUE"""),"69939")</f>
        <v>69939</v>
      </c>
      <c r="D105" s="6"/>
      <c r="E105" s="6"/>
      <c r="F105" s="6"/>
      <c r="G105" s="6" t="str">
        <f aca="false">IFERROR(__xludf.dummyfunction("""COMPUTED_VALUE"""),"2026/02/26")</f>
        <v>2026/02/26</v>
      </c>
      <c r="H105" s="6" t="str">
        <f aca="false">IFERROR(__xludf.dummyfunction("""COMPUTED_VALUE"""),"必要")</f>
        <v>必要</v>
      </c>
      <c r="I105" s="6" t="str">
        <f aca="false">IFERROR(__xludf.dummyfunction("""COMPUTED_VALUE"""),"男性")</f>
        <v>男性</v>
      </c>
      <c r="J105" s="6" t="str">
        <f aca="false">IFERROR(__xludf.dummyfunction("""COMPUTED_VALUE"""),"ネパール")</f>
        <v>ネパール</v>
      </c>
      <c r="K105" s="6" t="str">
        <f aca="false">IFERROR(__xludf.dummyfunction("""COMPUTED_VALUE"""),"5")</f>
        <v>5</v>
      </c>
      <c r="L105" s="6" t="str">
        <f aca="false">IFERROR(__xludf.dummyfunction("""COMPUTED_VALUE"""),"なし")</f>
        <v>なし</v>
      </c>
      <c r="M105" s="6" t="str">
        <f aca="false">IFERROR(__xludf.dummyfunction("""COMPUTED_VALUE"""),"なし")</f>
        <v>なし</v>
      </c>
      <c r="N105" s="6" t="str">
        <f aca="false">IFERROR(__xludf.dummyfunction("""COMPUTED_VALUE"""),"なし")</f>
        <v>なし</v>
      </c>
      <c r="O105" s="6" t="str">
        <f aca="false">IFERROR(__xludf.dummyfunction("""COMPUTED_VALUE"""),"不要")</f>
        <v>不要</v>
      </c>
      <c r="P105" s="6"/>
      <c r="Q105" s="6"/>
      <c r="R105" s="6"/>
      <c r="S105" s="6" t="str">
        <f aca="false">IFERROR(__xludf.dummyfunction("""COMPUTED_VALUE"""),"家具家電付き社宅")</f>
        <v>家具家電付き社宅</v>
      </c>
      <c r="T105" s="6" t="str">
        <f aca="false">IFERROR(__xludf.dummyfunction("""COMPUTED_VALUE"""),"利用しない")</f>
        <v>利用しない</v>
      </c>
      <c r="U105" s="6"/>
      <c r="V105" s="6" t="str">
        <f aca="false">IFERROR(__xludf.dummyfunction("""COMPUTED_VALUE"""),"徒歩")</f>
        <v>徒歩</v>
      </c>
      <c r="W105" s="6"/>
      <c r="X105" s="6" t="str">
        <f aca="false">IFERROR(__xludf.dummyfunction("""COMPUTED_VALUE"""),"株式会社ビーネックステクノロジーズの社宅")</f>
        <v>株式会社ビーネックステクノロジーズの社宅</v>
      </c>
      <c r="Y105" s="6" t="str">
        <f aca="false">IFERROR(__xludf.dummyfunction("""COMPUTED_VALUE"""),"利用なし")</f>
        <v>利用なし</v>
      </c>
      <c r="Z105" s="6" t="str">
        <f aca="false">IFERROR(__xludf.dummyfunction("""COMPUTED_VALUE"""),"希望する")</f>
        <v>希望する</v>
      </c>
      <c r="AA105" s="6" t="str">
        <f aca="false">IFERROR(__xludf.dummyfunction("""COMPUTED_VALUE"""),"単身")</f>
        <v>単身</v>
      </c>
      <c r="AB105" s="6"/>
      <c r="AC105" s="6"/>
      <c r="AD105" s="6"/>
      <c r="AE105" s="6" t="str">
        <f aca="false">IFERROR(__xludf.dummyfunction("""COMPUTED_VALUE"""),"確認しました。")</f>
        <v>確認しました。</v>
      </c>
      <c r="AF105" s="6" t="str">
        <f aca="false">IFERROR(__xludf.dummyfunction("""COMPUTED_VALUE"""),"社宅基準の内容について確認しました")</f>
        <v>社宅基準の内容について確認しました</v>
      </c>
      <c r="AG105" s="6" t="str">
        <f aca="false">IFERROR(__xludf.dummyfunction("""COMPUTED_VALUE"""),"入居のしおりの内容についてご確認しました")</f>
        <v>入居のしおりの内容についてご確認しました</v>
      </c>
      <c r="AH105" s="6" t="str">
        <f aca="false">IFERROR(__xludf.dummyfunction("""COMPUTED_VALUE"""),"確認しました")</f>
        <v>確認しました</v>
      </c>
      <c r="AI105" s="6"/>
      <c r="AJ105" s="6" t="str">
        <v/>
      </c>
      <c r="AK105" s="6" t="str">
        <v/>
      </c>
      <c r="AL105" s="6" t="str">
        <v/>
      </c>
      <c r="AM105" s="6" t="str">
        <v/>
      </c>
      <c r="AN105" s="6" t="n">
        <f aca="false">FALSE()</f>
        <v>0</v>
      </c>
    </row>
    <row r="106" customFormat="false" ht="52.5" hidden="false" customHeight="true" outlineLevel="0" collapsed="false">
      <c r="A106" s="6" t="str">
        <f aca="false">IFERROR(__xludf.dummyfunction("""COMPUTED_VALUE"""),"2026/02/14 1:23:47")</f>
        <v>2026/02/14 1:23:47</v>
      </c>
      <c r="B106" s="6"/>
      <c r="C106" s="6" t="str">
        <f aca="false">IFERROR(__xludf.dummyfunction("""COMPUTED_VALUE"""),"69863")</f>
        <v>69863</v>
      </c>
      <c r="D106" s="6"/>
      <c r="E106" s="6"/>
      <c r="F106" s="6"/>
      <c r="G106" s="6" t="str">
        <f aca="false">IFERROR(__xludf.dummyfunction("""COMPUTED_VALUE"""),"2026/04/01")</f>
        <v>2026/04/01</v>
      </c>
      <c r="H106" s="6" t="str">
        <f aca="false">IFERROR(__xludf.dummyfunction("""COMPUTED_VALUE"""),"不要")</f>
        <v>不要</v>
      </c>
      <c r="I106" s="6" t="str">
        <f aca="false">IFERROR(__xludf.dummyfunction("""COMPUTED_VALUE"""),"男性")</f>
        <v>男性</v>
      </c>
      <c r="J106" s="6" t="str">
        <f aca="false">IFERROR(__xludf.dummyfunction("""COMPUTED_VALUE"""),"日本")</f>
        <v>日本</v>
      </c>
      <c r="K106" s="6"/>
      <c r="L106" s="6"/>
      <c r="M106" s="6"/>
      <c r="N106" s="6"/>
      <c r="O106" s="6" t="str">
        <f aca="false">IFERROR(__xludf.dummyfunction("""COMPUTED_VALUE"""),"必要")</f>
        <v>必要</v>
      </c>
      <c r="P106" s="6" t="str">
        <f aca="false">IFERROR(__xludf.dummyfunction("""COMPUTED_VALUE"""),"スズキ スイフト")</f>
        <v>スズキ スイフト</v>
      </c>
      <c r="Q106" s="6" t="str">
        <f aca="false">IFERROR(__xludf.dummyfunction("""COMPUTED_VALUE"""),"や90-64")</f>
        <v>や90-64</v>
      </c>
      <c r="R106" s="6" t="str">
        <f aca="false">IFERROR(__xludf.dummyfunction("""COMPUTED_VALUE"""),"スピーディーブルーメタリック")</f>
        <v>スピーディーブルーメタリック</v>
      </c>
      <c r="S106" s="6" t="str">
        <f aca="false">IFERROR(__xludf.dummyfunction("""COMPUTED_VALUE"""),"家具家電付き社宅")</f>
        <v>家具家電付き社宅</v>
      </c>
      <c r="T106" s="6"/>
      <c r="U106" s="6" t="str">
        <f aca="false">IFERROR(__xludf.dummyfunction("""COMPUTED_VALUE"""),"分かりません。また、前問で家具家電付き物件と回答していますが、家具家電なしでも条件が合致するのであれば、探していただきたく思います。")</f>
        <v>分かりません。また、前問で家具家電付き物件と回答していますが、家具家電なしでも条件が合致するのであれば、探していただきたく思います。</v>
      </c>
      <c r="V106" s="6" t="str">
        <f aca="false">IFERROR(__xludf.dummyfunction("""COMPUTED_VALUE"""),"徒歩, 自転車")</f>
        <v>徒歩, 自転車</v>
      </c>
      <c r="W106" s="6"/>
      <c r="X106" s="6" t="str">
        <f aca="false">IFERROR(__xludf.dummyfunction("""COMPUTED_VALUE"""),"株式会社ビーネックステクノロジーズの社宅")</f>
        <v>株式会社ビーネックステクノロジーズの社宅</v>
      </c>
      <c r="Y106" s="6" t="str">
        <f aca="false">IFERROR(__xludf.dummyfunction("""COMPUTED_VALUE"""),"利用なし")</f>
        <v>利用なし</v>
      </c>
      <c r="Z106" s="6" t="str">
        <f aca="false">IFERROR(__xludf.dummyfunction("""COMPUTED_VALUE"""),"希望する")</f>
        <v>希望する</v>
      </c>
      <c r="AA106" s="6" t="str">
        <f aca="false">IFERROR(__xludf.dummyfunction("""COMPUTED_VALUE"""),"家族")</f>
        <v>家族</v>
      </c>
      <c r="AB106" s="6" t="str">
        <f aca="false">IFERROR(__xludf.dummyfunction("""COMPUTED_VALUE"""),"氏名：堀内絵美子
フリガナ：ホリウチエミコ
生年月日：平成6年3月28日
携帯番号：090-9739-6997
続柄：配偶者(予定)")</f>
        <v>氏名：堀内絵美子
フリガナ：ホリウチエミコ
生年月日：平成6年3月28日
携帯番号：090-9739-6997
続柄：配偶者(予定)</v>
      </c>
      <c r="AC106" s="6"/>
      <c r="AD106" s="6" t="str">
        <f aca="false">IFERROR(__xludf.dummyfunction("""COMPUTED_VALUE"""),"家具家電付き物件と回答していますが、家具家電なしでも条件が合致するのであれば、探していただきたく思います。")</f>
        <v>家具家電付き物件と回答していますが、家具家電なしでも条件が合致するのであれば、探していただきたく思います。</v>
      </c>
      <c r="AE106" s="6" t="str">
        <f aca="false">IFERROR(__xludf.dummyfunction("""COMPUTED_VALUE"""),"確認しました。")</f>
        <v>確認しました。</v>
      </c>
      <c r="AF106" s="6" t="str">
        <f aca="false">IFERROR(__xludf.dummyfunction("""COMPUTED_VALUE"""),"社宅基準の内容について確認しました")</f>
        <v>社宅基準の内容について確認しました</v>
      </c>
      <c r="AG106" s="6" t="str">
        <f aca="false">IFERROR(__xludf.dummyfunction("""COMPUTED_VALUE"""),"入居のしおりの内容についてご確認しました")</f>
        <v>入居のしおりの内容についてご確認しました</v>
      </c>
      <c r="AH106" s="6" t="str">
        <f aca="false">IFERROR(__xludf.dummyfunction("""COMPUTED_VALUE"""),"確認しました")</f>
        <v>確認しました</v>
      </c>
      <c r="AI106" s="6"/>
      <c r="AJ106" s="6" t="str">
        <v/>
      </c>
      <c r="AK106" s="6" t="str">
        <v/>
      </c>
      <c r="AL106" s="6" t="str">
        <v/>
      </c>
      <c r="AM106" s="6" t="str">
        <v/>
      </c>
      <c r="AN106" s="6" t="n">
        <f aca="false">FALSE()</f>
        <v>0</v>
      </c>
    </row>
    <row r="107" customFormat="false" ht="52.5" hidden="false" customHeight="true" outlineLevel="0" collapsed="false">
      <c r="A107" s="6" t="str">
        <f aca="false">IFERROR(__xludf.dummyfunction("""COMPUTED_VALUE"""),"2026/02/14 10:13:07")</f>
        <v>2026/02/14 10:13:07</v>
      </c>
      <c r="B107" s="6"/>
      <c r="C107" s="6" t="str">
        <f aca="false">IFERROR(__xludf.dummyfunction("""COMPUTED_VALUE"""),"69924")</f>
        <v>69924</v>
      </c>
      <c r="D107" s="6"/>
      <c r="E107" s="6"/>
      <c r="F107" s="6"/>
      <c r="G107" s="6" t="str">
        <f aca="false">IFERROR(__xludf.dummyfunction("""COMPUTED_VALUE"""),"2026/03/10")</f>
        <v>2026/03/10</v>
      </c>
      <c r="H107" s="6" t="str">
        <f aca="false">IFERROR(__xludf.dummyfunction("""COMPUTED_VALUE"""),"必要")</f>
        <v>必要</v>
      </c>
      <c r="I107" s="6" t="str">
        <f aca="false">IFERROR(__xludf.dummyfunction("""COMPUTED_VALUE"""),"女性")</f>
        <v>女性</v>
      </c>
      <c r="J107" s="6" t="str">
        <f aca="false">IFERROR(__xludf.dummyfunction("""COMPUTED_VALUE"""),"日本")</f>
        <v>日本</v>
      </c>
      <c r="K107" s="6" t="str">
        <f aca="false">IFERROR(__xludf.dummyfunction("""COMPUTED_VALUE"""),"10")</f>
        <v>10</v>
      </c>
      <c r="L107" s="6" t="str">
        <f aca="false">IFERROR(__xludf.dummyfunction("""COMPUTED_VALUE"""),"なし")</f>
        <v>なし</v>
      </c>
      <c r="M107" s="6" t="str">
        <f aca="false">IFERROR(__xludf.dummyfunction("""COMPUTED_VALUE"""),"折りたたみ机(90・60・31.5)
マットレス(シングル)
")</f>
        <v>折りたたみ机(90・60・31.5)
マットレス(シングル)
</v>
      </c>
      <c r="N107" s="6"/>
      <c r="O107" s="6" t="str">
        <f aca="false">IFERROR(__xludf.dummyfunction("""COMPUTED_VALUE"""),"不要")</f>
        <v>不要</v>
      </c>
      <c r="P107" s="6"/>
      <c r="Q107" s="6"/>
      <c r="R107" s="6"/>
      <c r="S107" s="6" t="str">
        <f aca="false">IFERROR(__xludf.dummyfunction("""COMPUTED_VALUE"""),"家具家電付き社宅")</f>
        <v>家具家電付き社宅</v>
      </c>
      <c r="T107" s="6" t="str">
        <f aca="false">IFERROR(__xludf.dummyfunction("""COMPUTED_VALUE"""),"利用しない")</f>
        <v>利用しない</v>
      </c>
      <c r="U107" s="6"/>
      <c r="V107" s="6" t="str">
        <f aca="false">IFERROR(__xludf.dummyfunction("""COMPUTED_VALUE"""),"徒歩, 電車")</f>
        <v>徒歩, 電車</v>
      </c>
      <c r="W107" s="6"/>
      <c r="X107" s="6" t="str">
        <f aca="false">IFERROR(__xludf.dummyfunction("""COMPUTED_VALUE"""),"株式会社ビーネックステクノロジーズの社宅")</f>
        <v>株式会社ビーネックステクノロジーズの社宅</v>
      </c>
      <c r="Y107" s="6" t="str">
        <f aca="false">IFERROR(__xludf.dummyfunction("""COMPUTED_VALUE"""),"冷蔵庫、洗濯機、電子レンジ
回収希望")</f>
        <v>冷蔵庫、洗濯機、電子レンジ
回収希望</v>
      </c>
      <c r="Z107" s="6" t="str">
        <f aca="false">IFERROR(__xludf.dummyfunction("""COMPUTED_VALUE"""),"希望する")</f>
        <v>希望する</v>
      </c>
      <c r="AA107" s="6" t="str">
        <f aca="false">IFERROR(__xludf.dummyfunction("""COMPUTED_VALUE"""),"単身")</f>
        <v>単身</v>
      </c>
      <c r="AB107" s="6"/>
      <c r="AC107" s="6"/>
      <c r="AD107" s="6"/>
      <c r="AE107" s="6" t="str">
        <f aca="false">IFERROR(__xludf.dummyfunction("""COMPUTED_VALUE"""),"確認しました。")</f>
        <v>確認しました。</v>
      </c>
      <c r="AF107" s="6" t="str">
        <f aca="false">IFERROR(__xludf.dummyfunction("""COMPUTED_VALUE"""),"社宅基準の内容について確認しました")</f>
        <v>社宅基準の内容について確認しました</v>
      </c>
      <c r="AG107" s="6" t="str">
        <f aca="false">IFERROR(__xludf.dummyfunction("""COMPUTED_VALUE"""),"入居のしおりの内容についてご確認しました")</f>
        <v>入居のしおりの内容についてご確認しました</v>
      </c>
      <c r="AH107" s="6" t="str">
        <f aca="false">IFERROR(__xludf.dummyfunction("""COMPUTED_VALUE"""),"確認しました")</f>
        <v>確認しました</v>
      </c>
      <c r="AI107" s="6"/>
      <c r="AJ107" s="6" t="str">
        <v/>
      </c>
      <c r="AK107" s="6" t="str">
        <v/>
      </c>
      <c r="AL107" s="6" t="str">
        <v/>
      </c>
      <c r="AM107" s="6" t="str">
        <v/>
      </c>
      <c r="AN107" s="6" t="n">
        <f aca="false">TRUE()</f>
        <v>1</v>
      </c>
    </row>
    <row r="108" customFormat="false" ht="52.5" hidden="false" customHeight="true" outlineLevel="0" collapsed="false">
      <c r="A108" s="6" t="str">
        <f aca="false">IFERROR(__xludf.dummyfunction("""COMPUTED_VALUE"""),"2026/02/14 14:03:46")</f>
        <v>2026/02/14 14:03:46</v>
      </c>
      <c r="B108" s="6"/>
      <c r="C108" s="6" t="str">
        <f aca="false">IFERROR(__xludf.dummyfunction("""COMPUTED_VALUE"""),"69967")</f>
        <v>69967</v>
      </c>
      <c r="D108" s="6"/>
      <c r="E108" s="6"/>
      <c r="F108" s="6"/>
      <c r="G108" s="6" t="str">
        <f aca="false">IFERROR(__xludf.dummyfunction("""COMPUTED_VALUE"""),"2026/03/29")</f>
        <v>2026/03/29</v>
      </c>
      <c r="H108" s="6" t="str">
        <f aca="false">IFERROR(__xludf.dummyfunction("""COMPUTED_VALUE"""),"必要")</f>
        <v>必要</v>
      </c>
      <c r="I108" s="6" t="str">
        <f aca="false">IFERROR(__xludf.dummyfunction("""COMPUTED_VALUE"""),"男性")</f>
        <v>男性</v>
      </c>
      <c r="J108" s="6" t="str">
        <f aca="false">IFERROR(__xludf.dummyfunction("""COMPUTED_VALUE"""),"日本")</f>
        <v>日本</v>
      </c>
      <c r="K108" s="6" t="str">
        <f aca="false">IFERROR(__xludf.dummyfunction("""COMPUTED_VALUE"""),"20")</f>
        <v>20</v>
      </c>
      <c r="L108" s="6" t="str">
        <f aca="false">IFERROR(__xludf.dummyfunction("""COMPUTED_VALUE"""),"単身冷蔵庫、単身洗濯機")</f>
        <v>単身冷蔵庫、単身洗濯機</v>
      </c>
      <c r="M108" s="6" t="str">
        <f aca="false">IFERROR(__xludf.dummyfunction("""COMPUTED_VALUE"""),"ベッドシングル折りたたみ")</f>
        <v>ベッドシングル折りたたみ</v>
      </c>
      <c r="N108" s="6"/>
      <c r="O108" s="6" t="str">
        <f aca="false">IFERROR(__xludf.dummyfunction("""COMPUTED_VALUE"""),"必要")</f>
        <v>必要</v>
      </c>
      <c r="P108" s="6" t="str">
        <f aca="false">IFERROR(__xludf.dummyfunction("""COMPUTED_VALUE"""),"オーリス")</f>
        <v>オーリス</v>
      </c>
      <c r="Q108" s="6" t="str">
        <f aca="false">IFERROR(__xludf.dummyfunction("""COMPUTED_VALUE"""),"さ227")</f>
        <v>さ227</v>
      </c>
      <c r="R108" s="6" t="str">
        <f aca="false">IFERROR(__xludf.dummyfunction("""COMPUTED_VALUE"""),"白")</f>
        <v>白</v>
      </c>
      <c r="S108" s="6" t="str">
        <f aca="false">IFERROR(__xludf.dummyfunction("""COMPUTED_VALUE"""),"家具家電なし社宅")</f>
        <v>家具家電なし社宅</v>
      </c>
      <c r="T108" s="6" t="str">
        <f aca="false">IFERROR(__xludf.dummyfunction("""COMPUTED_VALUE"""),"利用しない")</f>
        <v>利用しない</v>
      </c>
      <c r="U108" s="6"/>
      <c r="V108" s="6" t="str">
        <f aca="false">IFERROR(__xludf.dummyfunction("""COMPUTED_VALUE"""),"徒歩, 電車, 社用バス")</f>
        <v>徒歩, 電車, 社用バス</v>
      </c>
      <c r="W108" s="6"/>
      <c r="X108" s="6" t="str">
        <f aca="false">IFERROR(__xludf.dummyfunction("""COMPUTED_VALUE"""),"株式会社ビーネックステクノロジーズの社宅")</f>
        <v>株式会社ビーネックステクノロジーズの社宅</v>
      </c>
      <c r="Y108" s="6" t="str">
        <f aca="false">IFERROR(__xludf.dummyfunction("""COMPUTED_VALUE"""),"洗濯機　引き続き使用")</f>
        <v>洗濯機　引き続き使用</v>
      </c>
      <c r="Z108" s="6" t="str">
        <f aca="false">IFERROR(__xludf.dummyfunction("""COMPUTED_VALUE"""),"希望しない")</f>
        <v>希望しない</v>
      </c>
      <c r="AA108" s="6" t="str">
        <f aca="false">IFERROR(__xludf.dummyfunction("""COMPUTED_VALUE"""),"単身")</f>
        <v>単身</v>
      </c>
      <c r="AB108" s="6"/>
      <c r="AC108" s="6"/>
      <c r="AD108" s="6" t="str">
        <f aca="false">IFERROR(__xludf.dummyfunction("""COMPUTED_VALUE"""),"住宅は小牧駅周辺、小牧線沿線駅付近。原則駐車場敷地内")</f>
        <v>住宅は小牧駅周辺、小牧線沿線駅付近。原則駐車場敷地内</v>
      </c>
      <c r="AE108" s="6" t="str">
        <f aca="false">IFERROR(__xludf.dummyfunction("""COMPUTED_VALUE"""),"確認しました。")</f>
        <v>確認しました。</v>
      </c>
      <c r="AF108" s="6" t="str">
        <f aca="false">IFERROR(__xludf.dummyfunction("""COMPUTED_VALUE"""),"社宅基準の内容について確認しました")</f>
        <v>社宅基準の内容について確認しました</v>
      </c>
      <c r="AG108" s="6" t="str">
        <f aca="false">IFERROR(__xludf.dummyfunction("""COMPUTED_VALUE"""),"入居のしおりの内容についてご確認しました")</f>
        <v>入居のしおりの内容についてご確認しました</v>
      </c>
      <c r="AH108" s="6" t="str">
        <f aca="false">IFERROR(__xludf.dummyfunction("""COMPUTED_VALUE"""),"確認しました")</f>
        <v>確認しました</v>
      </c>
      <c r="AI108" s="6"/>
      <c r="AJ108" s="6" t="str">
        <v/>
      </c>
      <c r="AK108" s="6" t="str">
        <v/>
      </c>
      <c r="AL108" s="6" t="str">
        <v/>
      </c>
      <c r="AM108" s="6" t="str">
        <v/>
      </c>
      <c r="AN108" s="6" t="n">
        <f aca="false">TRUE()</f>
        <v>1</v>
      </c>
    </row>
    <row r="109" customFormat="false" ht="52.5" hidden="false" customHeight="true" outlineLevel="0" collapsed="false">
      <c r="A109" s="6" t="str">
        <f aca="false">IFERROR(__xludf.dummyfunction("""COMPUTED_VALUE"""),"2026/02/14 14:18:11")</f>
        <v>2026/02/14 14:18:11</v>
      </c>
      <c r="B109" s="6"/>
      <c r="C109" s="6" t="str">
        <f aca="false">IFERROR(__xludf.dummyfunction("""COMPUTED_VALUE"""),"69981")</f>
        <v>69981</v>
      </c>
      <c r="D109" s="6"/>
      <c r="E109" s="6"/>
      <c r="F109" s="6"/>
      <c r="G109" s="6" t="str">
        <f aca="false">IFERROR(__xludf.dummyfunction("""COMPUTED_VALUE"""),"2026/03/26")</f>
        <v>2026/03/26</v>
      </c>
      <c r="H109" s="6" t="str">
        <f aca="false">IFERROR(__xludf.dummyfunction("""COMPUTED_VALUE"""),"必要")</f>
        <v>必要</v>
      </c>
      <c r="I109" s="6" t="str">
        <f aca="false">IFERROR(__xludf.dummyfunction("""COMPUTED_VALUE"""),"男性")</f>
        <v>男性</v>
      </c>
      <c r="J109" s="6" t="str">
        <f aca="false">IFERROR(__xludf.dummyfunction("""COMPUTED_VALUE"""),"日本")</f>
        <v>日本</v>
      </c>
      <c r="K109" s="6" t="str">
        <f aca="false">IFERROR(__xludf.dummyfunction("""COMPUTED_VALUE"""),"25")</f>
        <v>25</v>
      </c>
      <c r="L109" s="6" t="str">
        <f aca="false">IFERROR(__xludf.dummyfunction("""COMPUTED_VALUE"""),"ない")</f>
        <v>ない</v>
      </c>
      <c r="M109" s="6" t="str">
        <f aca="false">IFERROR(__xludf.dummyfunction("""COMPUTED_VALUE"""),"椅子（横107cm×奥行48cm×高さ74cm）、机、ベッド（シングル）、移動ができる引き出し、3段ボックス、棚")</f>
        <v>椅子（横107cm×奥行48cm×高さ74cm）、机、ベッド（シングル）、移動ができる引き出し、3段ボックス、棚</v>
      </c>
      <c r="N109" s="6"/>
      <c r="O109" s="6" t="str">
        <f aca="false">IFERROR(__xludf.dummyfunction("""COMPUTED_VALUE"""),"不要")</f>
        <v>不要</v>
      </c>
      <c r="P109" s="6"/>
      <c r="Q109" s="6"/>
      <c r="R109" s="6"/>
      <c r="S109" s="6" t="str">
        <f aca="false">IFERROR(__xludf.dummyfunction("""COMPUTED_VALUE"""),"家具家電なし社宅")</f>
        <v>家具家電なし社宅</v>
      </c>
      <c r="T109" s="6" t="str">
        <f aca="false">IFERROR(__xludf.dummyfunction("""COMPUTED_VALUE"""),"利用しない")</f>
        <v>利用しない</v>
      </c>
      <c r="U109" s="6"/>
      <c r="V109" s="6" t="str">
        <f aca="false">IFERROR(__xludf.dummyfunction("""COMPUTED_VALUE"""),"徒歩")</f>
        <v>徒歩</v>
      </c>
      <c r="W109" s="6"/>
      <c r="X109" s="6" t="str">
        <f aca="false">IFERROR(__xludf.dummyfunction("""COMPUTED_VALUE"""),"実家")</f>
        <v>実家</v>
      </c>
      <c r="Y109" s="6"/>
      <c r="Z109" s="6" t="str">
        <f aca="false">IFERROR(__xludf.dummyfunction("""COMPUTED_VALUE"""),"希望しない")</f>
        <v>希望しない</v>
      </c>
      <c r="AA109" s="6" t="str">
        <f aca="false">IFERROR(__xludf.dummyfunction("""COMPUTED_VALUE"""),"単身")</f>
        <v>単身</v>
      </c>
      <c r="AB109" s="6"/>
      <c r="AC109" s="6"/>
      <c r="AD109" s="6" t="str">
        <f aca="false">IFERROR(__xludf.dummyfunction("""COMPUTED_VALUE"""),"声が大きいので出来れば壁が厚いとこがいいです")</f>
        <v>声が大きいので出来れば壁が厚いとこがいいです</v>
      </c>
      <c r="AE109" s="6" t="str">
        <f aca="false">IFERROR(__xludf.dummyfunction("""COMPUTED_VALUE"""),"確認しました。")</f>
        <v>確認しました。</v>
      </c>
      <c r="AF109" s="6" t="str">
        <f aca="false">IFERROR(__xludf.dummyfunction("""COMPUTED_VALUE"""),"社宅基準の内容について確認しました")</f>
        <v>社宅基準の内容について確認しました</v>
      </c>
      <c r="AG109" s="6" t="str">
        <f aca="false">IFERROR(__xludf.dummyfunction("""COMPUTED_VALUE"""),"入居のしおりの内容についてご確認しました")</f>
        <v>入居のしおりの内容についてご確認しました</v>
      </c>
      <c r="AH109" s="6" t="str">
        <f aca="false">IFERROR(__xludf.dummyfunction("""COMPUTED_VALUE"""),"確認しました")</f>
        <v>確認しました</v>
      </c>
      <c r="AI109" s="6"/>
      <c r="AJ109" s="6" t="str">
        <v/>
      </c>
      <c r="AK109" s="6" t="str">
        <v/>
      </c>
      <c r="AL109" s="6" t="str">
        <v/>
      </c>
      <c r="AM109" s="6" t="str">
        <v/>
      </c>
      <c r="AN109" s="6" t="n">
        <f aca="false">TRUE()</f>
        <v>1</v>
      </c>
    </row>
    <row r="110" customFormat="false" ht="52.5" hidden="false" customHeight="true" outlineLevel="0" collapsed="false">
      <c r="A110" s="6" t="str">
        <f aca="false">IFERROR(__xludf.dummyfunction("""COMPUTED_VALUE"""),"2026/02/14 22:14:16")</f>
        <v>2026/02/14 22:14:16</v>
      </c>
      <c r="B110" s="6"/>
      <c r="C110" s="6" t="str">
        <f aca="false">IFERROR(__xludf.dummyfunction("""COMPUTED_VALUE"""),"69970")</f>
        <v>69970</v>
      </c>
      <c r="D110" s="6"/>
      <c r="E110" s="6"/>
      <c r="F110" s="6"/>
      <c r="G110" s="6" t="str">
        <f aca="false">IFERROR(__xludf.dummyfunction("""COMPUTED_VALUE"""),"2026/03/29")</f>
        <v>2026/03/29</v>
      </c>
      <c r="H110" s="6" t="str">
        <f aca="false">IFERROR(__xludf.dummyfunction("""COMPUTED_VALUE"""),"不要")</f>
        <v>不要</v>
      </c>
      <c r="I110" s="6" t="str">
        <f aca="false">IFERROR(__xludf.dummyfunction("""COMPUTED_VALUE"""),"男性")</f>
        <v>男性</v>
      </c>
      <c r="J110" s="6" t="str">
        <f aca="false">IFERROR(__xludf.dummyfunction("""COMPUTED_VALUE"""),"日本")</f>
        <v>日本</v>
      </c>
      <c r="K110" s="6"/>
      <c r="L110" s="6"/>
      <c r="M110" s="6"/>
      <c r="N110" s="6"/>
      <c r="O110" s="6" t="str">
        <f aca="false">IFERROR(__xludf.dummyfunction("""COMPUTED_VALUE"""),"不要")</f>
        <v>不要</v>
      </c>
      <c r="P110" s="6"/>
      <c r="Q110" s="6"/>
      <c r="R110" s="6"/>
      <c r="S110" s="6" t="str">
        <f aca="false">IFERROR(__xludf.dummyfunction("""COMPUTED_VALUE"""),"家具家電付き社宅")</f>
        <v>家具家電付き社宅</v>
      </c>
      <c r="T110" s="6" t="str">
        <f aca="false">IFERROR(__xludf.dummyfunction("""COMPUTED_VALUE"""),"利用しない")</f>
        <v>利用しない</v>
      </c>
      <c r="U110" s="6"/>
      <c r="V110" s="6" t="str">
        <f aca="false">IFERROR(__xludf.dummyfunction("""COMPUTED_VALUE"""),"徒歩, 電車, 社用バス")</f>
        <v>徒歩, 電車, 社用バス</v>
      </c>
      <c r="W110" s="6"/>
      <c r="X110" s="6" t="str">
        <f aca="false">IFERROR(__xludf.dummyfunction("""COMPUTED_VALUE"""),"実家")</f>
        <v>実家</v>
      </c>
      <c r="Y110" s="6"/>
      <c r="Z110" s="6" t="str">
        <f aca="false">IFERROR(__xludf.dummyfunction("""COMPUTED_VALUE"""),"希望しない")</f>
        <v>希望しない</v>
      </c>
      <c r="AA110" s="6" t="str">
        <f aca="false">IFERROR(__xludf.dummyfunction("""COMPUTED_VALUE"""),"単身")</f>
        <v>単身</v>
      </c>
      <c r="AB110" s="6"/>
      <c r="AC110" s="6"/>
      <c r="AD110" s="6" t="str">
        <f aca="false">IFERROR(__xludf.dummyfunction("""COMPUTED_VALUE"""),"二口コンロ、風呂トイレ別、エアコン、インターホン(テレビ付き)、1K以上(ワンルーム×)")</f>
        <v>二口コンロ、風呂トイレ別、エアコン、インターホン(テレビ付き)、1K以上(ワンルーム×)</v>
      </c>
      <c r="AE110" s="6" t="str">
        <f aca="false">IFERROR(__xludf.dummyfunction("""COMPUTED_VALUE"""),"確認しました。")</f>
        <v>確認しました。</v>
      </c>
      <c r="AF110" s="6" t="str">
        <f aca="false">IFERROR(__xludf.dummyfunction("""COMPUTED_VALUE"""),"社宅基準の内容について確認しました")</f>
        <v>社宅基準の内容について確認しました</v>
      </c>
      <c r="AG110" s="6" t="str">
        <f aca="false">IFERROR(__xludf.dummyfunction("""COMPUTED_VALUE"""),"入居のしおりの内容についてご確認しました")</f>
        <v>入居のしおりの内容についてご確認しました</v>
      </c>
      <c r="AH110" s="6" t="str">
        <f aca="false">IFERROR(__xludf.dummyfunction("""COMPUTED_VALUE"""),"確認しました")</f>
        <v>確認しました</v>
      </c>
      <c r="AI110" s="6"/>
      <c r="AJ110" s="6" t="str">
        <v/>
      </c>
      <c r="AK110" s="6" t="str">
        <v/>
      </c>
      <c r="AL110" s="6" t="str">
        <v/>
      </c>
      <c r="AM110" s="6" t="str">
        <v/>
      </c>
      <c r="AN110" s="6" t="n">
        <f aca="false">TRUE()</f>
        <v>1</v>
      </c>
    </row>
    <row r="111" customFormat="false" ht="52.5" hidden="false" customHeight="true" outlineLevel="0" collapsed="false">
      <c r="A111" s="6" t="str">
        <f aca="false">IFERROR(__xludf.dummyfunction("""COMPUTED_VALUE"""),"2026/02/15 0:04:44")</f>
        <v>2026/02/15 0:04:44</v>
      </c>
      <c r="B111" s="6"/>
      <c r="C111" s="6" t="str">
        <f aca="false">IFERROR(__xludf.dummyfunction("""COMPUTED_VALUE"""),"69921")</f>
        <v>69921</v>
      </c>
      <c r="D111" s="6"/>
      <c r="E111" s="6"/>
      <c r="F111" s="6"/>
      <c r="G111" s="6" t="str">
        <f aca="false">IFERROR(__xludf.dummyfunction("""COMPUTED_VALUE"""),"2026/03/25")</f>
        <v>2026/03/25</v>
      </c>
      <c r="H111" s="6" t="str">
        <f aca="false">IFERROR(__xludf.dummyfunction("""COMPUTED_VALUE"""),"必要")</f>
        <v>必要</v>
      </c>
      <c r="I111" s="6" t="str">
        <f aca="false">IFERROR(__xludf.dummyfunction("""COMPUTED_VALUE"""),"女性")</f>
        <v>女性</v>
      </c>
      <c r="J111" s="6" t="str">
        <f aca="false">IFERROR(__xludf.dummyfunction("""COMPUTED_VALUE"""),"日本")</f>
        <v>日本</v>
      </c>
      <c r="K111" s="6" t="str">
        <f aca="false">IFERROR(__xludf.dummyfunction("""COMPUTED_VALUE"""),"15")</f>
        <v>15</v>
      </c>
      <c r="L111" s="6" t="str">
        <f aca="false">IFERROR(__xludf.dummyfunction("""COMPUTED_VALUE"""),"掃除機、炊飯器、テレビ(32インチ)、電気ケトル")</f>
        <v>掃除機、炊飯器、テレビ(32インチ)、電気ケトル</v>
      </c>
      <c r="M111" s="6" t="str">
        <f aca="false">IFERROR(__xludf.dummyfunction("""COMPUTED_VALUE"""),"ベッド(シングル)←思案中、足折れテーブル、ビーズクッション")</f>
        <v>ベッド(シングル)←思案中、足折れテーブル、ビーズクッション</v>
      </c>
      <c r="N111" s="6" t="str">
        <f aca="false">IFERROR(__xludf.dummyfunction("""COMPUTED_VALUE"""),"自転車")</f>
        <v>自転車</v>
      </c>
      <c r="O111" s="6" t="str">
        <f aca="false">IFERROR(__xludf.dummyfunction("""COMPUTED_VALUE"""),"必要")</f>
        <v>必要</v>
      </c>
      <c r="P111" s="6" t="str">
        <f aca="false">IFERROR(__xludf.dummyfunction("""COMPUTED_VALUE"""),"スペーシア")</f>
        <v>スペーシア</v>
      </c>
      <c r="Q111" s="6" t="str">
        <f aca="false">IFERROR(__xludf.dummyfunction("""COMPUTED_VALUE"""),"あ21-18")</f>
        <v>あ21-18</v>
      </c>
      <c r="R111" s="6" t="str">
        <f aca="false">IFERROR(__xludf.dummyfunction("""COMPUTED_VALUE"""),"白")</f>
        <v>白</v>
      </c>
      <c r="S111" s="6" t="str">
        <f aca="false">IFERROR(__xludf.dummyfunction("""COMPUTED_VALUE"""),"家具家電なし社宅")</f>
        <v>家具家電なし社宅</v>
      </c>
      <c r="T111" s="6" t="str">
        <f aca="false">IFERROR(__xludf.dummyfunction("""COMPUTED_VALUE"""),"利用する")</f>
        <v>利用する</v>
      </c>
      <c r="U111" s="6" t="str">
        <f aca="false">IFERROR(__xludf.dummyfunction("""COMPUTED_VALUE"""),"冷凍冷蔵庫(170L)、エアコン")</f>
        <v>冷凍冷蔵庫(170L)、エアコン</v>
      </c>
      <c r="V111" s="6" t="str">
        <f aca="false">IFERROR(__xludf.dummyfunction("""COMPUTED_VALUE"""),"徒歩, 自動車, 自転車, 電車")</f>
        <v>徒歩, 自動車, 自転車, 電車</v>
      </c>
      <c r="W111" s="6"/>
      <c r="X111" s="6" t="str">
        <f aca="false">IFERROR(__xludf.dummyfunction("""COMPUTED_VALUE"""),"実家")</f>
        <v>実家</v>
      </c>
      <c r="Y111" s="6"/>
      <c r="Z111" s="6" t="str">
        <f aca="false">IFERROR(__xludf.dummyfunction("""COMPUTED_VALUE"""),"希望しない")</f>
        <v>希望しない</v>
      </c>
      <c r="AA111" s="6" t="str">
        <f aca="false">IFERROR(__xludf.dummyfunction("""COMPUTED_VALUE"""),"単身")</f>
        <v>単身</v>
      </c>
      <c r="AB111" s="6"/>
      <c r="AC111" s="6"/>
      <c r="AD111" s="6"/>
      <c r="AE111" s="6" t="str">
        <f aca="false">IFERROR(__xludf.dummyfunction("""COMPUTED_VALUE"""),"確認しました。")</f>
        <v>確認しました。</v>
      </c>
      <c r="AF111" s="6" t="str">
        <f aca="false">IFERROR(__xludf.dummyfunction("""COMPUTED_VALUE"""),"社宅基準の内容について確認しました")</f>
        <v>社宅基準の内容について確認しました</v>
      </c>
      <c r="AG111" s="6" t="str">
        <f aca="false">IFERROR(__xludf.dummyfunction("""COMPUTED_VALUE"""),"入居のしおりの内容についてご確認しました")</f>
        <v>入居のしおりの内容についてご確認しました</v>
      </c>
      <c r="AH111" s="6" t="str">
        <f aca="false">IFERROR(__xludf.dummyfunction("""COMPUTED_VALUE"""),"確認しました")</f>
        <v>確認しました</v>
      </c>
      <c r="AI111" s="6"/>
      <c r="AJ111" s="6" t="str">
        <v/>
      </c>
      <c r="AK111" s="6" t="str">
        <v/>
      </c>
      <c r="AL111" s="6" t="str">
        <v/>
      </c>
      <c r="AM111" s="6" t="str">
        <v/>
      </c>
      <c r="AN111" s="6" t="n">
        <f aca="false">TRUE()</f>
        <v>1</v>
      </c>
    </row>
    <row r="112" customFormat="false" ht="52.5" hidden="false" customHeight="true" outlineLevel="0" collapsed="false">
      <c r="A112" s="6" t="str">
        <f aca="false">IFERROR(__xludf.dummyfunction("""COMPUTED_VALUE"""),"2026/02/15 15:30:02")</f>
        <v>2026/02/15 15:30:02</v>
      </c>
      <c r="B112" s="6"/>
      <c r="C112" s="6" t="str">
        <f aca="false">IFERROR(__xludf.dummyfunction("""COMPUTED_VALUE"""),"69923")</f>
        <v>69923</v>
      </c>
      <c r="D112" s="6"/>
      <c r="E112" s="6"/>
      <c r="F112" s="6"/>
      <c r="G112" s="6" t="str">
        <f aca="false">IFERROR(__xludf.dummyfunction("""COMPUTED_VALUE"""),"2026/02/27")</f>
        <v>2026/02/27</v>
      </c>
      <c r="H112" s="6" t="str">
        <f aca="false">IFERROR(__xludf.dummyfunction("""COMPUTED_VALUE"""),"必要")</f>
        <v>必要</v>
      </c>
      <c r="I112" s="6" t="str">
        <f aca="false">IFERROR(__xludf.dummyfunction("""COMPUTED_VALUE"""),"男性")</f>
        <v>男性</v>
      </c>
      <c r="J112" s="6" t="str">
        <f aca="false">IFERROR(__xludf.dummyfunction("""COMPUTED_VALUE"""),"日本")</f>
        <v>日本</v>
      </c>
      <c r="K112" s="6" t="str">
        <f aca="false">IFERROR(__xludf.dummyfunction("""COMPUTED_VALUE"""),"15")</f>
        <v>15</v>
      </c>
      <c r="L112" s="6" t="str">
        <f aca="false">IFERROR(__xludf.dummyfunction("""COMPUTED_VALUE"""),"洗濯機　幅525×高さ890×奥行500 mm 
電子レンジ　幅458mm×奥行354mm×高さ286mm
トースター　365㎜×200㎜×210㎜
TV　555㎜×150㎜×360㎜
炊飯器　260㎜×315㎜×210㎜
ポット(仮)　160㎜×160㎜×180㎜
空気清浄機(仮)　160㎜×160㎜×460㎜
掃除機　270㎜×270㎜×1110㎜
")</f>
        <v>洗濯機　幅525×高さ890×奥行500 mm 
電子レンジ　幅458mm×奥行354mm×高さ286mm
トースター　365㎜×200㎜×210㎜
TV　555㎜×150㎜×360㎜
炊飯器　260㎜×315㎜×210㎜
ポット(仮)　160㎜×160㎜×180㎜
空気清浄機(仮)　160㎜×160㎜×460㎜
掃除機　270㎜×270㎜×1110㎜
</v>
      </c>
      <c r="M112" s="6" t="str">
        <f aca="false">IFERROR(__xludf.dummyfunction("""COMPUTED_VALUE"""),"ベット　シングル　サイズ：1m×2m×高さ40cm
椅子　630mm×670㎜×800㎜
机　900㎜×450㎜×720㎜
棚　310㎜×420㎜×810㎜
棚？　470㎜×480㎜×460㎜
")</f>
        <v>ベット　シングル　サイズ：1m×2m×高さ40cm
椅子　630mm×670㎜×800㎜
机　900㎜×450㎜×720㎜
棚　310㎜×420㎜×810㎜
棚？　470㎜×480㎜×460㎜
</v>
      </c>
      <c r="N112" s="6"/>
      <c r="O112" s="6" t="str">
        <f aca="false">IFERROR(__xludf.dummyfunction("""COMPUTED_VALUE"""),"不要")</f>
        <v>不要</v>
      </c>
      <c r="P112" s="6"/>
      <c r="Q112" s="6"/>
      <c r="R112" s="6"/>
      <c r="S112" s="6" t="str">
        <f aca="false">IFERROR(__xludf.dummyfunction("""COMPUTED_VALUE"""),"家具家電なし社宅")</f>
        <v>家具家電なし社宅</v>
      </c>
      <c r="T112" s="6" t="str">
        <f aca="false">IFERROR(__xludf.dummyfunction("""COMPUTED_VALUE"""),"利用しない")</f>
        <v>利用しない</v>
      </c>
      <c r="U112" s="6"/>
      <c r="V112" s="6" t="str">
        <f aca="false">IFERROR(__xludf.dummyfunction("""COMPUTED_VALUE"""),"徒歩, 電車, バス")</f>
        <v>徒歩, 電車, バス</v>
      </c>
      <c r="W112" s="6"/>
      <c r="X112" s="6" t="str">
        <f aca="false">IFERROR(__xludf.dummyfunction("""COMPUTED_VALUE"""),"株式会社ビーネックステクノロジーズの社宅")</f>
        <v>株式会社ビーネックステクノロジーズの社宅</v>
      </c>
      <c r="Y112" s="6" t="str">
        <f aca="false">IFERROR(__xludf.dummyfunction("""COMPUTED_VALUE"""),"利用なし")</f>
        <v>利用なし</v>
      </c>
      <c r="Z112" s="6" t="str">
        <f aca="false">IFERROR(__xludf.dummyfunction("""COMPUTED_VALUE"""),"希望しない")</f>
        <v>希望しない</v>
      </c>
      <c r="AA112" s="6" t="str">
        <f aca="false">IFERROR(__xludf.dummyfunction("""COMPUTED_VALUE"""),"単身")</f>
        <v>単身</v>
      </c>
      <c r="AB112" s="6"/>
      <c r="AC112" s="6"/>
      <c r="AD112" s="6"/>
      <c r="AE112" s="6" t="str">
        <f aca="false">IFERROR(__xludf.dummyfunction("""COMPUTED_VALUE"""),"確認しました。")</f>
        <v>確認しました。</v>
      </c>
      <c r="AF112" s="6" t="str">
        <f aca="false">IFERROR(__xludf.dummyfunction("""COMPUTED_VALUE"""),"社宅基準の内容について確認しました")</f>
        <v>社宅基準の内容について確認しました</v>
      </c>
      <c r="AG112" s="6" t="str">
        <f aca="false">IFERROR(__xludf.dummyfunction("""COMPUTED_VALUE"""),"入居のしおりの内容についてご確認しました")</f>
        <v>入居のしおりの内容についてご確認しました</v>
      </c>
      <c r="AH112" s="6" t="str">
        <f aca="false">IFERROR(__xludf.dummyfunction("""COMPUTED_VALUE"""),"確認しました")</f>
        <v>確認しました</v>
      </c>
      <c r="AI112" s="6"/>
      <c r="AJ112" s="6" t="str">
        <v/>
      </c>
      <c r="AK112" s="6" t="str">
        <v/>
      </c>
      <c r="AL112" s="6" t="str">
        <v/>
      </c>
      <c r="AM112" s="6" t="str">
        <v/>
      </c>
      <c r="AN112" s="6" t="n">
        <f aca="false">TRUE()</f>
        <v>1</v>
      </c>
    </row>
    <row r="113" customFormat="false" ht="52.5" hidden="false" customHeight="true" outlineLevel="0" collapsed="false">
      <c r="A113" s="6" t="str">
        <f aca="false">IFERROR(__xludf.dummyfunction("""COMPUTED_VALUE"""),"2026/02/15 18:17:30")</f>
        <v>2026/02/15 18:17:30</v>
      </c>
      <c r="B113" s="6"/>
      <c r="C113" s="6" t="str">
        <f aca="false">IFERROR(__xludf.dummyfunction("""COMPUTED_VALUE"""),"69959")</f>
        <v>69959</v>
      </c>
      <c r="D113" s="6"/>
      <c r="E113" s="6"/>
      <c r="F113" s="6"/>
      <c r="G113" s="6" t="str">
        <f aca="false">IFERROR(__xludf.dummyfunction("""COMPUTED_VALUE"""),"2026/03/12")</f>
        <v>2026/03/12</v>
      </c>
      <c r="H113" s="6" t="str">
        <f aca="false">IFERROR(__xludf.dummyfunction("""COMPUTED_VALUE"""),"不要")</f>
        <v>不要</v>
      </c>
      <c r="I113" s="6" t="str">
        <f aca="false">IFERROR(__xludf.dummyfunction("""COMPUTED_VALUE"""),"男性")</f>
        <v>男性</v>
      </c>
      <c r="J113" s="6" t="str">
        <f aca="false">IFERROR(__xludf.dummyfunction("""COMPUTED_VALUE"""),"日本")</f>
        <v>日本</v>
      </c>
      <c r="K113" s="6"/>
      <c r="L113" s="6"/>
      <c r="M113" s="6"/>
      <c r="N113" s="6"/>
      <c r="O113" s="6" t="str">
        <f aca="false">IFERROR(__xludf.dummyfunction("""COMPUTED_VALUE"""),"不要")</f>
        <v>不要</v>
      </c>
      <c r="P113" s="6"/>
      <c r="Q113" s="6"/>
      <c r="R113" s="6"/>
      <c r="S113" s="6" t="str">
        <f aca="false">IFERROR(__xludf.dummyfunction("""COMPUTED_VALUE"""),"家具家電なし社宅")</f>
        <v>家具家電なし社宅</v>
      </c>
      <c r="T113" s="6" t="str">
        <f aca="false">IFERROR(__xludf.dummyfunction("""COMPUTED_VALUE"""),"利用しない")</f>
        <v>利用しない</v>
      </c>
      <c r="U113" s="6"/>
      <c r="V113" s="6" t="str">
        <f aca="false">IFERROR(__xludf.dummyfunction("""COMPUTED_VALUE"""),"徒歩")</f>
        <v>徒歩</v>
      </c>
      <c r="W113" s="6"/>
      <c r="X113" s="6" t="str">
        <f aca="false">IFERROR(__xludf.dummyfunction("""COMPUTED_VALUE"""),"実家")</f>
        <v>実家</v>
      </c>
      <c r="Y113" s="6"/>
      <c r="Z113" s="6" t="str">
        <f aca="false">IFERROR(__xludf.dummyfunction("""COMPUTED_VALUE"""),"希望する")</f>
        <v>希望する</v>
      </c>
      <c r="AA113" s="6" t="str">
        <f aca="false">IFERROR(__xludf.dummyfunction("""COMPUTED_VALUE"""),"単身")</f>
        <v>単身</v>
      </c>
      <c r="AB113" s="6"/>
      <c r="AC113" s="6"/>
      <c r="AD113" s="6"/>
      <c r="AE113" s="6" t="str">
        <f aca="false">IFERROR(__xludf.dummyfunction("""COMPUTED_VALUE"""),"身分証明書がない")</f>
        <v>身分証明書がない</v>
      </c>
      <c r="AF113" s="6" t="str">
        <f aca="false">IFERROR(__xludf.dummyfunction("""COMPUTED_VALUE"""),"社宅基準の内容について確認しました")</f>
        <v>社宅基準の内容について確認しました</v>
      </c>
      <c r="AG113" s="6" t="str">
        <f aca="false">IFERROR(__xludf.dummyfunction("""COMPUTED_VALUE"""),"入居のしおりの内容についてご確認しました")</f>
        <v>入居のしおりの内容についてご確認しました</v>
      </c>
      <c r="AH113" s="6" t="str">
        <f aca="false">IFERROR(__xludf.dummyfunction("""COMPUTED_VALUE"""),"確認しました")</f>
        <v>確認しました</v>
      </c>
      <c r="AI113" s="6"/>
      <c r="AJ113" s="6" t="str">
        <v/>
      </c>
      <c r="AK113" s="6" t="str">
        <v/>
      </c>
      <c r="AL113" s="6" t="str">
        <v/>
      </c>
      <c r="AM113" s="6" t="str">
        <v/>
      </c>
      <c r="AN113" s="6" t="n">
        <f aca="false">FALSE()</f>
        <v>0</v>
      </c>
    </row>
    <row r="114" customFormat="false" ht="52.5" hidden="false" customHeight="true" outlineLevel="0" collapsed="false">
      <c r="A114" s="6" t="str">
        <f aca="false">IFERROR(__xludf.dummyfunction("""COMPUTED_VALUE"""),"2026/02/15 19:53:22")</f>
        <v>2026/02/15 19:53:22</v>
      </c>
      <c r="B114" s="6"/>
      <c r="C114" s="6" t="str">
        <f aca="false">IFERROR(__xludf.dummyfunction("""COMPUTED_VALUE"""),"69910")</f>
        <v>69910</v>
      </c>
      <c r="D114" s="6"/>
      <c r="E114" s="6"/>
      <c r="F114" s="6"/>
      <c r="G114" s="6" t="str">
        <f aca="false">IFERROR(__xludf.dummyfunction("""COMPUTED_VALUE"""),"2026/02/26")</f>
        <v>2026/02/26</v>
      </c>
      <c r="H114" s="6" t="str">
        <f aca="false">IFERROR(__xludf.dummyfunction("""COMPUTED_VALUE"""),"不要")</f>
        <v>不要</v>
      </c>
      <c r="I114" s="6" t="str">
        <f aca="false">IFERROR(__xludf.dummyfunction("""COMPUTED_VALUE"""),"男性")</f>
        <v>男性</v>
      </c>
      <c r="J114" s="6" t="str">
        <f aca="false">IFERROR(__xludf.dummyfunction("""COMPUTED_VALUE"""),"日本")</f>
        <v>日本</v>
      </c>
      <c r="K114" s="6"/>
      <c r="L114" s="6"/>
      <c r="M114" s="6"/>
      <c r="N114" s="6"/>
      <c r="O114" s="6" t="str">
        <f aca="false">IFERROR(__xludf.dummyfunction("""COMPUTED_VALUE"""),"必要")</f>
        <v>必要</v>
      </c>
      <c r="P114" s="6" t="str">
        <f aca="false">IFERROR(__xludf.dummyfunction("""COMPUTED_VALUE"""),"デイズルークス")</f>
        <v>デイズルークス</v>
      </c>
      <c r="Q114" s="6" t="str">
        <f aca="false">IFERROR(__xludf.dummyfunction("""COMPUTED_VALUE"""),"け373")</f>
        <v>け373</v>
      </c>
      <c r="R114" s="6" t="str">
        <f aca="false">IFERROR(__xludf.dummyfunction("""COMPUTED_VALUE"""),"シルバー")</f>
        <v>シルバー</v>
      </c>
      <c r="S114" s="6" t="str">
        <f aca="false">IFERROR(__xludf.dummyfunction("""COMPUTED_VALUE"""),"家具家電付き社宅")</f>
        <v>家具家電付き社宅</v>
      </c>
      <c r="T114" s="6" t="str">
        <f aca="false">IFERROR(__xludf.dummyfunction("""COMPUTED_VALUE"""),"利用する")</f>
        <v>利用する</v>
      </c>
      <c r="U114" s="6" t="str">
        <f aca="false">IFERROR(__xludf.dummyfunction("""COMPUTED_VALUE"""),"ベッド
ベッド用マットレス
炊飯器
掃除機")</f>
        <v>ベッド
ベッド用マットレス
炊飯器
掃除機</v>
      </c>
      <c r="V114" s="6" t="str">
        <f aca="false">IFERROR(__xludf.dummyfunction("""COMPUTED_VALUE"""),"自動車")</f>
        <v>自動車</v>
      </c>
      <c r="W114" s="6"/>
      <c r="X114" s="6" t="str">
        <f aca="false">IFERROR(__xludf.dummyfunction("""COMPUTED_VALUE"""),"実家")</f>
        <v>実家</v>
      </c>
      <c r="Y114" s="6"/>
      <c r="Z114" s="6" t="str">
        <f aca="false">IFERROR(__xludf.dummyfunction("""COMPUTED_VALUE"""),"希望する")</f>
        <v>希望する</v>
      </c>
      <c r="AA114" s="6" t="str">
        <f aca="false">IFERROR(__xludf.dummyfunction("""COMPUTED_VALUE"""),"単身")</f>
        <v>単身</v>
      </c>
      <c r="AB114" s="6"/>
      <c r="AC114" s="6"/>
      <c r="AD114" s="6" t="str">
        <f aca="false">IFERROR(__xludf.dummyfunction("""COMPUTED_VALUE"""),"できるだけ遮音性の高い物件があればお願い致します")</f>
        <v>できるだけ遮音性の高い物件があればお願い致します</v>
      </c>
      <c r="AE114" s="6" t="str">
        <f aca="false">IFERROR(__xludf.dummyfunction("""COMPUTED_VALUE"""),"確認しました。")</f>
        <v>確認しました。</v>
      </c>
      <c r="AF114" s="6" t="str">
        <f aca="false">IFERROR(__xludf.dummyfunction("""COMPUTED_VALUE"""),"社宅基準の内容について確認しました")</f>
        <v>社宅基準の内容について確認しました</v>
      </c>
      <c r="AG114" s="6" t="str">
        <f aca="false">IFERROR(__xludf.dummyfunction("""COMPUTED_VALUE"""),"入居のしおりの内容についてご確認しました")</f>
        <v>入居のしおりの内容についてご確認しました</v>
      </c>
      <c r="AH114" s="6" t="str">
        <f aca="false">IFERROR(__xludf.dummyfunction("""COMPUTED_VALUE"""),"確認しました")</f>
        <v>確認しました</v>
      </c>
      <c r="AI114" s="6"/>
      <c r="AJ114" s="6" t="str">
        <v/>
      </c>
      <c r="AK114" s="6" t="str">
        <v/>
      </c>
      <c r="AL114" s="6" t="str">
        <v/>
      </c>
      <c r="AM114" s="6" t="str">
        <v/>
      </c>
      <c r="AN114" s="6" t="n">
        <f aca="false">TRUE()</f>
        <v>1</v>
      </c>
    </row>
    <row r="115" customFormat="false" ht="52.5" hidden="false" customHeight="true" outlineLevel="0" collapsed="false">
      <c r="A115" s="6" t="str">
        <f aca="false">IFERROR(__xludf.dummyfunction("""COMPUTED_VALUE"""),"2026/02/15 21:57:05")</f>
        <v>2026/02/15 21:57:05</v>
      </c>
      <c r="B115" s="6"/>
      <c r="C115" s="6" t="str">
        <f aca="false">IFERROR(__xludf.dummyfunction("""COMPUTED_VALUE"""),"69969")</f>
        <v>69969</v>
      </c>
      <c r="D115" s="6"/>
      <c r="E115" s="6"/>
      <c r="F115" s="6"/>
      <c r="G115" s="6" t="str">
        <f aca="false">IFERROR(__xludf.dummyfunction("""COMPUTED_VALUE"""),"2026/03/01")</f>
        <v>2026/03/01</v>
      </c>
      <c r="H115" s="6" t="str">
        <f aca="false">IFERROR(__xludf.dummyfunction("""COMPUTED_VALUE"""),"必要")</f>
        <v>必要</v>
      </c>
      <c r="I115" s="6" t="str">
        <f aca="false">IFERROR(__xludf.dummyfunction("""COMPUTED_VALUE"""),"男性")</f>
        <v>男性</v>
      </c>
      <c r="J115" s="6" t="str">
        <f aca="false">IFERROR(__xludf.dummyfunction("""COMPUTED_VALUE"""),"日本")</f>
        <v>日本</v>
      </c>
      <c r="K115" s="6" t="str">
        <f aca="false">IFERROR(__xludf.dummyfunction("""COMPUTED_VALUE"""),"10")</f>
        <v>10</v>
      </c>
      <c r="L115" s="6" t="str">
        <f aca="false">IFERROR(__xludf.dummyfunction("""COMPUTED_VALUE"""),"冷蔵庫、洗濯機、テレビ、炊飯器、掃除機")</f>
        <v>冷蔵庫、洗濯機、テレビ、炊飯器、掃除機</v>
      </c>
      <c r="M115" s="6" t="str">
        <f aca="false">IFERROR(__xludf.dummyfunction("""COMPUTED_VALUE"""),"椅子、スツール")</f>
        <v>椅子、スツール</v>
      </c>
      <c r="N115" s="6"/>
      <c r="O115" s="6" t="str">
        <f aca="false">IFERROR(__xludf.dummyfunction("""COMPUTED_VALUE"""),"不要")</f>
        <v>不要</v>
      </c>
      <c r="P115" s="6"/>
      <c r="Q115" s="6"/>
      <c r="R115" s="6"/>
      <c r="S115" s="6" t="str">
        <f aca="false">IFERROR(__xludf.dummyfunction("""COMPUTED_VALUE"""),"家具家電なし社宅")</f>
        <v>家具家電なし社宅</v>
      </c>
      <c r="T115" s="6" t="str">
        <f aca="false">IFERROR(__xludf.dummyfunction("""COMPUTED_VALUE"""),"利用しない")</f>
        <v>利用しない</v>
      </c>
      <c r="U115" s="6"/>
      <c r="V115" s="6" t="str">
        <f aca="false">IFERROR(__xludf.dummyfunction("""COMPUTED_VALUE"""),"徒歩, 電車, バス")</f>
        <v>徒歩, 電車, バス</v>
      </c>
      <c r="W115" s="6"/>
      <c r="X115" s="6" t="str">
        <f aca="false">IFERROR(__xludf.dummyfunction("""COMPUTED_VALUE"""),"ご自身で契約中の物件")</f>
        <v>ご自身で契約中の物件</v>
      </c>
      <c r="Y115" s="6"/>
      <c r="Z115" s="6" t="str">
        <f aca="false">IFERROR(__xludf.dummyfunction("""COMPUTED_VALUE"""),"希望する")</f>
        <v>希望する</v>
      </c>
      <c r="AA115" s="6" t="str">
        <f aca="false">IFERROR(__xludf.dummyfunction("""COMPUTED_VALUE"""),"単身")</f>
        <v>単身</v>
      </c>
      <c r="AB115" s="6"/>
      <c r="AC115" s="6"/>
      <c r="AD115" s="6"/>
      <c r="AE115" s="6" t="str">
        <f aca="false">IFERROR(__xludf.dummyfunction("""COMPUTED_VALUE"""),"確認しました。")</f>
        <v>確認しました。</v>
      </c>
      <c r="AF115" s="6" t="str">
        <f aca="false">IFERROR(__xludf.dummyfunction("""COMPUTED_VALUE"""),"社宅基準の内容について確認しました")</f>
        <v>社宅基準の内容について確認しました</v>
      </c>
      <c r="AG115" s="6" t="str">
        <f aca="false">IFERROR(__xludf.dummyfunction("""COMPUTED_VALUE"""),"入居のしおりの内容についてご確認しました")</f>
        <v>入居のしおりの内容についてご確認しました</v>
      </c>
      <c r="AH115" s="6" t="str">
        <f aca="false">IFERROR(__xludf.dummyfunction("""COMPUTED_VALUE"""),"確認しました")</f>
        <v>確認しました</v>
      </c>
      <c r="AI115" s="6"/>
      <c r="AJ115" s="6" t="str">
        <v/>
      </c>
      <c r="AK115" s="6" t="str">
        <v/>
      </c>
      <c r="AL115" s="6" t="str">
        <v/>
      </c>
      <c r="AM115" s="6" t="str">
        <v/>
      </c>
      <c r="AN115" s="6" t="n">
        <f aca="false">TRUE()</f>
        <v>1</v>
      </c>
    </row>
    <row r="116" customFormat="false" ht="52.5" hidden="false" customHeight="true" outlineLevel="0" collapsed="false">
      <c r="A116" s="6" t="str">
        <f aca="false">IFERROR(__xludf.dummyfunction("""COMPUTED_VALUE"""),"2026/02/16 12:08:13")</f>
        <v>2026/02/16 12:08:13</v>
      </c>
      <c r="B116" s="6"/>
      <c r="C116" s="6" t="str">
        <f aca="false">IFERROR(__xludf.dummyfunction("""COMPUTED_VALUE"""),"70018")</f>
        <v>70018</v>
      </c>
      <c r="D116" s="6"/>
      <c r="E116" s="6"/>
      <c r="F116" s="6"/>
      <c r="G116" s="6" t="str">
        <f aca="false">IFERROR(__xludf.dummyfunction("""COMPUTED_VALUE"""),"2026/02/28")</f>
        <v>2026/02/28</v>
      </c>
      <c r="H116" s="6" t="str">
        <f aca="false">IFERROR(__xludf.dummyfunction("""COMPUTED_VALUE"""),"必要")</f>
        <v>必要</v>
      </c>
      <c r="I116" s="6" t="str">
        <f aca="false">IFERROR(__xludf.dummyfunction("""COMPUTED_VALUE"""),"男性")</f>
        <v>男性</v>
      </c>
      <c r="J116" s="6" t="str">
        <f aca="false">IFERROR(__xludf.dummyfunction("""COMPUTED_VALUE"""),"中国")</f>
        <v>中国</v>
      </c>
      <c r="K116" s="6" t="str">
        <f aca="false">IFERROR(__xludf.dummyfunction("""COMPUTED_VALUE"""),"20")</f>
        <v>20</v>
      </c>
      <c r="L116" s="6" t="str">
        <f aca="false">IFERROR(__xludf.dummyfunction("""COMPUTED_VALUE"""),"パソコン２台、モニター、テレビ、プリンター、掃除機")</f>
        <v>パソコン２台、モニター、テレビ、プリンター、掃除機</v>
      </c>
      <c r="M116" s="6" t="str">
        <f aca="false">IFERROR(__xludf.dummyfunction("""COMPUTED_VALUE"""),"なし")</f>
        <v>なし</v>
      </c>
      <c r="N116" s="6" t="str">
        <f aca="false">IFERROR(__xludf.dummyfunction("""COMPUTED_VALUE"""),"本、スーツケース5個、布団セット、鍋、食器")</f>
        <v>本、スーツケース5個、布団セット、鍋、食器</v>
      </c>
      <c r="O116" s="6" t="str">
        <f aca="false">IFERROR(__xludf.dummyfunction("""COMPUTED_VALUE"""),"不要")</f>
        <v>不要</v>
      </c>
      <c r="P116" s="6"/>
      <c r="Q116" s="6"/>
      <c r="R116" s="6"/>
      <c r="S116" s="6" t="str">
        <f aca="false">IFERROR(__xludf.dummyfunction("""COMPUTED_VALUE"""),"家具家電なし社宅")</f>
        <v>家具家電なし社宅</v>
      </c>
      <c r="T116" s="6" t="str">
        <f aca="false">IFERROR(__xludf.dummyfunction("""COMPUTED_VALUE"""),"利用しない")</f>
        <v>利用しない</v>
      </c>
      <c r="U116" s="6"/>
      <c r="V116" s="6" t="str">
        <f aca="false">IFERROR(__xludf.dummyfunction("""COMPUTED_VALUE"""),"電車, バス")</f>
        <v>電車, バス</v>
      </c>
      <c r="W116" s="6"/>
      <c r="X116" s="6" t="str">
        <f aca="false">IFERROR(__xludf.dummyfunction("""COMPUTED_VALUE"""),"株式会社ビーネックステクノロジーズの社宅")</f>
        <v>株式会社ビーネックステクノロジーズの社宅</v>
      </c>
      <c r="Y116" s="6" t="str">
        <f aca="false">IFERROR(__xludf.dummyfunction("""COMPUTED_VALUE"""),"利用なし")</f>
        <v>利用なし</v>
      </c>
      <c r="Z116" s="6" t="str">
        <f aca="false">IFERROR(__xludf.dummyfunction("""COMPUTED_VALUE"""),"希望しない")</f>
        <v>希望しない</v>
      </c>
      <c r="AA116" s="6" t="str">
        <f aca="false">IFERROR(__xludf.dummyfunction("""COMPUTED_VALUE"""),"家族")</f>
        <v>家族</v>
      </c>
      <c r="AB116" s="6" t="str">
        <f aca="false">IFERROR(__xludf.dummyfunction("""COMPUTED_VALUE"""),"氏名：許安琪
フリガナ：キョ アンキ
生年月日：1995-02-18
携帯番号：08083285078
続柄：妻")</f>
        <v>氏名：許安琪
フリガナ：キョ アンキ
生年月日：1995-02-18
携帯番号：08083285078
続柄：妻</v>
      </c>
      <c r="AC116" s="6"/>
      <c r="AD116" s="6"/>
      <c r="AE116" s="6" t="str">
        <f aca="false">IFERROR(__xludf.dummyfunction("""COMPUTED_VALUE"""),"確認しました。")</f>
        <v>確認しました。</v>
      </c>
      <c r="AF116" s="6" t="str">
        <f aca="false">IFERROR(__xludf.dummyfunction("""COMPUTED_VALUE"""),"社宅基準の内容について確認しました")</f>
        <v>社宅基準の内容について確認しました</v>
      </c>
      <c r="AG116" s="6" t="str">
        <f aca="false">IFERROR(__xludf.dummyfunction("""COMPUTED_VALUE"""),"入居のしおりの内容についてご確認しました")</f>
        <v>入居のしおりの内容についてご確認しました</v>
      </c>
      <c r="AH116" s="6" t="str">
        <f aca="false">IFERROR(__xludf.dummyfunction("""COMPUTED_VALUE"""),"確認しました")</f>
        <v>確認しました</v>
      </c>
      <c r="AI116" s="6"/>
      <c r="AJ116" s="6" t="str">
        <v/>
      </c>
      <c r="AK116" s="6" t="str">
        <v/>
      </c>
      <c r="AL116" s="6" t="str">
        <v/>
      </c>
      <c r="AM116" s="6" t="str">
        <v/>
      </c>
      <c r="AN116" s="6" t="n">
        <f aca="false">FALSE()</f>
        <v>0</v>
      </c>
    </row>
    <row r="117" customFormat="false" ht="52.5" hidden="false" customHeight="true" outlineLevel="0" collapsed="false">
      <c r="A117" s="6" t="str">
        <f aca="false">IFERROR(__xludf.dummyfunction("""COMPUTED_VALUE"""),"2026/02/16 15:09:22")</f>
        <v>2026/02/16 15:09:22</v>
      </c>
      <c r="B117" s="6"/>
      <c r="C117" s="6" t="str">
        <f aca="false">IFERROR(__xludf.dummyfunction("""COMPUTED_VALUE"""),"70033")</f>
        <v>70033</v>
      </c>
      <c r="D117" s="6"/>
      <c r="E117" s="6"/>
      <c r="F117" s="6"/>
      <c r="G117" s="6" t="str">
        <f aca="false">IFERROR(__xludf.dummyfunction("""COMPUTED_VALUE"""),"2026/02/23")</f>
        <v>2026/02/23</v>
      </c>
      <c r="H117" s="6" t="str">
        <f aca="false">IFERROR(__xludf.dummyfunction("""COMPUTED_VALUE"""),"必要")</f>
        <v>必要</v>
      </c>
      <c r="I117" s="6" t="str">
        <f aca="false">IFERROR(__xludf.dummyfunction("""COMPUTED_VALUE"""),"男性")</f>
        <v>男性</v>
      </c>
      <c r="J117" s="6" t="str">
        <f aca="false">IFERROR(__xludf.dummyfunction("""COMPUTED_VALUE"""),"日本")</f>
        <v>日本</v>
      </c>
      <c r="K117" s="6" t="str">
        <f aca="false">IFERROR(__xludf.dummyfunction("""COMPUTED_VALUE"""),"5")</f>
        <v>5</v>
      </c>
      <c r="L117" s="6" t="str">
        <f aca="false">IFERROR(__xludf.dummyfunction("""COMPUTED_VALUE"""),"冷蔵庫単身用 洗濯機 (幅562mm 奥行572mm 高さ880mm )電子レンジ PC デスクトップ モニター 掃除機")</f>
        <v>冷蔵庫単身用 洗濯機 (幅562mm 奥行572mm 高さ880mm )電子レンジ PC デスクトップ モニター 掃除機</v>
      </c>
      <c r="M117" s="6" t="str">
        <f aca="false">IFERROR(__xludf.dummyfunction("""COMPUTED_VALUE"""),"机(幅60 奥行50 高さ30)タンス(幅60 奥行40 高さ80)ベッドシングル")</f>
        <v>机(幅60 奥行50 高さ30)タンス(幅60 奥行40 高さ80)ベッドシングル</v>
      </c>
      <c r="N117" s="6" t="str">
        <f aca="false">IFERROR(__xludf.dummyfunction("""COMPUTED_VALUE"""),"マット")</f>
        <v>マット</v>
      </c>
      <c r="O117" s="6" t="str">
        <f aca="false">IFERROR(__xludf.dummyfunction("""COMPUTED_VALUE"""),"不要")</f>
        <v>不要</v>
      </c>
      <c r="P117" s="6"/>
      <c r="Q117" s="6"/>
      <c r="R117" s="6"/>
      <c r="S117" s="6" t="str">
        <f aca="false">IFERROR(__xludf.dummyfunction("""COMPUTED_VALUE"""),"家具家電なし社宅")</f>
        <v>家具家電なし社宅</v>
      </c>
      <c r="T117" s="6" t="str">
        <f aca="false">IFERROR(__xludf.dummyfunction("""COMPUTED_VALUE"""),"利用しない")</f>
        <v>利用しない</v>
      </c>
      <c r="U117" s="6"/>
      <c r="V117" s="6" t="str">
        <f aca="false">IFERROR(__xludf.dummyfunction("""COMPUTED_VALUE"""),"徒歩, 自転車, 電車")</f>
        <v>徒歩, 自転車, 電車</v>
      </c>
      <c r="W117" s="6"/>
      <c r="X117" s="6" t="str">
        <f aca="false">IFERROR(__xludf.dummyfunction("""COMPUTED_VALUE"""),"ご自身で契約中の物件")</f>
        <v>ご自身で契約中の物件</v>
      </c>
      <c r="Y117" s="6"/>
      <c r="Z117" s="6" t="str">
        <f aca="false">IFERROR(__xludf.dummyfunction("""COMPUTED_VALUE"""),"希望する")</f>
        <v>希望する</v>
      </c>
      <c r="AA117" s="6" t="str">
        <f aca="false">IFERROR(__xludf.dummyfunction("""COMPUTED_VALUE"""),"単身")</f>
        <v>単身</v>
      </c>
      <c r="AB117" s="6"/>
      <c r="AC117" s="6"/>
      <c r="AD117" s="6"/>
      <c r="AE117" s="6" t="str">
        <f aca="false">IFERROR(__xludf.dummyfunction("""COMPUTED_VALUE"""),"確認しました。")</f>
        <v>確認しました。</v>
      </c>
      <c r="AF117" s="6" t="str">
        <f aca="false">IFERROR(__xludf.dummyfunction("""COMPUTED_VALUE"""),"社宅基準の内容について確認しました")</f>
        <v>社宅基準の内容について確認しました</v>
      </c>
      <c r="AG117" s="6" t="str">
        <f aca="false">IFERROR(__xludf.dummyfunction("""COMPUTED_VALUE"""),"入居のしおりの内容についてご確認しました")</f>
        <v>入居のしおりの内容についてご確認しました</v>
      </c>
      <c r="AH117" s="6" t="str">
        <f aca="false">IFERROR(__xludf.dummyfunction("""COMPUTED_VALUE"""),"確認しました")</f>
        <v>確認しました</v>
      </c>
      <c r="AI117" s="6"/>
      <c r="AJ117" s="6" t="str">
        <v/>
      </c>
      <c r="AK117" s="6" t="str">
        <v/>
      </c>
      <c r="AL117" s="6" t="str">
        <v/>
      </c>
      <c r="AM117" s="6" t="str">
        <v/>
      </c>
      <c r="AN117" s="6" t="n">
        <f aca="false">FALSE()</f>
        <v>0</v>
      </c>
    </row>
    <row r="118" customFormat="false" ht="52.5" hidden="false" customHeight="true" outlineLevel="0" collapsed="false">
      <c r="A118" s="6" t="str">
        <f aca="false">IFERROR(__xludf.dummyfunction("""COMPUTED_VALUE"""),"2026/02/16 15:17:39")</f>
        <v>2026/02/16 15:17:39</v>
      </c>
      <c r="B118" s="6"/>
      <c r="C118" s="6" t="str">
        <f aca="false">IFERROR(__xludf.dummyfunction("""COMPUTED_VALUE"""),"70029")</f>
        <v>70029</v>
      </c>
      <c r="D118" s="6"/>
      <c r="E118" s="6"/>
      <c r="F118" s="6"/>
      <c r="G118" s="6" t="str">
        <f aca="false">IFERROR(__xludf.dummyfunction("""COMPUTED_VALUE"""),"2026/03/29")</f>
        <v>2026/03/29</v>
      </c>
      <c r="H118" s="6" t="str">
        <f aca="false">IFERROR(__xludf.dummyfunction("""COMPUTED_VALUE"""),"必要")</f>
        <v>必要</v>
      </c>
      <c r="I118" s="6" t="str">
        <f aca="false">IFERROR(__xludf.dummyfunction("""COMPUTED_VALUE"""),"男性")</f>
        <v>男性</v>
      </c>
      <c r="J118" s="6" t="str">
        <f aca="false">IFERROR(__xludf.dummyfunction("""COMPUTED_VALUE"""),"日本")</f>
        <v>日本</v>
      </c>
      <c r="K118" s="6" t="str">
        <f aca="false">IFERROR(__xludf.dummyfunction("""COMPUTED_VALUE"""),"50")</f>
        <v>50</v>
      </c>
      <c r="L118" s="6" t="str">
        <f aca="false">IFERROR(__xludf.dummyfunction("""COMPUTED_VALUE"""),"冷蔵庫（3ドア、家族用）、縦型洗濯機、37型液晶テレビ、23型液晶テレビ、電子レンジ、炊飯器、トースター、掃除機、布団乾燥機、加湿器、除湿機、デスクトップパソコン、")</f>
        <v>冷蔵庫（3ドア、家族用）、縦型洗濯機、37型液晶テレビ、23型液晶テレビ、電子レンジ、炊飯器、トースター、掃除機、布団乾燥機、加湿器、除湿機、デスクトップパソコン、</v>
      </c>
      <c r="M118" s="6" t="str">
        <f aca="false">IFERROR(__xludf.dummyfunction("""COMPUTED_VALUE"""),"机（135cm・80cm・40cm）、机（100cm・60cm・75cm）、チェスト（80.5cm・51cm・138.5cm）、チェスト（56cm・41.5cm・119cm）、チェスト（33cm・41cm・80cm）、チェスト（55cm・41cm・80cm）、チェスト（60cm・39cm・85cm）、チェスト（39cm・65cm・68cm）、チェスト（39cm・65cm・68cm）、棚（59cm・39cm・134cm）、棚（90cm・35cm・174cm）、棚（87cm・39cm・85cm）")</f>
        <v>机（135cm・80cm・40cm）、机（100cm・60cm・75cm）、チェスト（80.5cm・51cm・138.5cm）、チェスト（56cm・41.5cm・119cm）、チェスト（33cm・41cm・80cm）、チェスト（55cm・41cm・80cm）、チェスト（60cm・39cm・85cm）、チェスト（39cm・65cm・68cm）、チェスト（39cm・65cm・68cm）、棚（59cm・39cm・134cm）、棚（90cm・35cm・174cm）、棚（87cm・39cm・85cm）</v>
      </c>
      <c r="N118" s="6" t="str">
        <f aca="false">IFERROR(__xludf.dummyfunction("""COMPUTED_VALUE"""),"自転車2台")</f>
        <v>自転車2台</v>
      </c>
      <c r="O118" s="6" t="str">
        <f aca="false">IFERROR(__xludf.dummyfunction("""COMPUTED_VALUE"""),"必要")</f>
        <v>必要</v>
      </c>
      <c r="P118" s="6" t="str">
        <f aca="false">IFERROR(__xludf.dummyfunction("""COMPUTED_VALUE"""),"検討中")</f>
        <v>検討中</v>
      </c>
      <c r="Q118" s="6" t="str">
        <f aca="false">IFERROR(__xludf.dummyfunction("""COMPUTED_VALUE"""),"未取得")</f>
        <v>未取得</v>
      </c>
      <c r="R118" s="6" t="str">
        <f aca="false">IFERROR(__xludf.dummyfunction("""COMPUTED_VALUE"""),"検討中")</f>
        <v>検討中</v>
      </c>
      <c r="S118" s="6" t="str">
        <f aca="false">IFERROR(__xludf.dummyfunction("""COMPUTED_VALUE"""),"家具家電なし社宅")</f>
        <v>家具家電なし社宅</v>
      </c>
      <c r="T118" s="6" t="str">
        <f aca="false">IFERROR(__xludf.dummyfunction("""COMPUTED_VALUE"""),"利用しない")</f>
        <v>利用しない</v>
      </c>
      <c r="U118" s="6"/>
      <c r="V118" s="6" t="str">
        <f aca="false">IFERROR(__xludf.dummyfunction("""COMPUTED_VALUE"""),"徒歩, 自転車, 電車")</f>
        <v>徒歩, 自転車, 電車</v>
      </c>
      <c r="W118" s="6"/>
      <c r="X118" s="6" t="str">
        <f aca="false">IFERROR(__xludf.dummyfunction("""COMPUTED_VALUE"""),"ご自身で契約中の物件")</f>
        <v>ご自身で契約中の物件</v>
      </c>
      <c r="Y118" s="6"/>
      <c r="Z118" s="6" t="str">
        <f aca="false">IFERROR(__xludf.dummyfunction("""COMPUTED_VALUE"""),"希望しない")</f>
        <v>希望しない</v>
      </c>
      <c r="AA118" s="6" t="str">
        <f aca="false">IFERROR(__xludf.dummyfunction("""COMPUTED_VALUE"""),"家族")</f>
        <v>家族</v>
      </c>
      <c r="AB118" s="6" t="str">
        <f aca="false">IFERROR(__xludf.dummyfunction("""COMPUTED_VALUE"""),"氏名：鈴木真耶
フリガナ：スズキマヤ
生年月日：19781114
携帯番号：09099191114
続柄：妻")</f>
        <v>氏名：鈴木真耶
フリガナ：スズキマヤ
生年月日：19781114
携帯番号：09099191114
続柄：妻</v>
      </c>
      <c r="AC118" s="6"/>
      <c r="AD118" s="6" t="str">
        <f aca="false">IFERROR(__xludf.dummyfunction("""COMPUTED_VALUE"""),"すでに以下の3社から見積りを提示いただいております。
念のためお伝えします。
・アート引越センター
・サカイ引越センター
・人力引越社")</f>
        <v>すでに以下の3社から見積りを提示いただいております。
念のためお伝えします。
・アート引越センター
・サカイ引越センター
・人力引越社</v>
      </c>
      <c r="AE118" s="6" t="str">
        <f aca="false">IFERROR(__xludf.dummyfunction("""COMPUTED_VALUE"""),"確認しました。")</f>
        <v>確認しました。</v>
      </c>
      <c r="AF118" s="6" t="str">
        <f aca="false">IFERROR(__xludf.dummyfunction("""COMPUTED_VALUE"""),"社宅基準の内容について確認しました")</f>
        <v>社宅基準の内容について確認しました</v>
      </c>
      <c r="AG118" s="6" t="str">
        <f aca="false">IFERROR(__xludf.dummyfunction("""COMPUTED_VALUE"""),"入居のしおりの内容についてご確認しました")</f>
        <v>入居のしおりの内容についてご確認しました</v>
      </c>
      <c r="AH118" s="6" t="str">
        <f aca="false">IFERROR(__xludf.dummyfunction("""COMPUTED_VALUE"""),"確認しました")</f>
        <v>確認しました</v>
      </c>
      <c r="AI118" s="6"/>
      <c r="AJ118" s="6" t="str">
        <v/>
      </c>
      <c r="AK118" s="6" t="str">
        <v/>
      </c>
      <c r="AL118" s="6" t="str">
        <v/>
      </c>
      <c r="AM118" s="6" t="str">
        <v/>
      </c>
      <c r="AN118" s="6" t="n">
        <f aca="false">TRUE()</f>
        <v>1</v>
      </c>
    </row>
    <row r="119" customFormat="false" ht="52.5" hidden="false" customHeight="true" outlineLevel="0" collapsed="false">
      <c r="A119" s="6" t="str">
        <f aca="false">IFERROR(__xludf.dummyfunction("""COMPUTED_VALUE"""),"2026/02/16 15:50:28")</f>
        <v>2026/02/16 15:50:28</v>
      </c>
      <c r="B119" s="6"/>
      <c r="C119" s="6" t="str">
        <f aca="false">IFERROR(__xludf.dummyfunction("""COMPUTED_VALUE"""),"70032")</f>
        <v>70032</v>
      </c>
      <c r="D119" s="6"/>
      <c r="E119" s="6"/>
      <c r="F119" s="6"/>
      <c r="G119" s="6" t="str">
        <f aca="false">IFERROR(__xludf.dummyfunction("""COMPUTED_VALUE"""),"2026/03/31")</f>
        <v>2026/03/31</v>
      </c>
      <c r="H119" s="6" t="str">
        <f aca="false">IFERROR(__xludf.dummyfunction("""COMPUTED_VALUE"""),"必要")</f>
        <v>必要</v>
      </c>
      <c r="I119" s="6" t="str">
        <f aca="false">IFERROR(__xludf.dummyfunction("""COMPUTED_VALUE"""),"男性")</f>
        <v>男性</v>
      </c>
      <c r="J119" s="6" t="str">
        <f aca="false">IFERROR(__xludf.dummyfunction("""COMPUTED_VALUE"""),"日本")</f>
        <v>日本</v>
      </c>
      <c r="K119" s="6" t="str">
        <f aca="false">IFERROR(__xludf.dummyfunction("""COMPUTED_VALUE"""),"15")</f>
        <v>15</v>
      </c>
      <c r="L119" s="6" t="str">
        <f aca="false">IFERROR(__xludf.dummyfunction("""COMPUTED_VALUE"""),"冷蔵庫単身用 洗濯機幅565X奥行534X高さ890(mm) 電子レンジ　トースター")</f>
        <v>冷蔵庫単身用 洗濯機幅565X奥行534X高さ890(mm) 電子レンジ　トースター</v>
      </c>
      <c r="M119" s="6" t="str">
        <f aca="false">IFERROR(__xludf.dummyfunction("""COMPUTED_VALUE"""),"イス(サイズ:幅67.31×奥行51.15×高さ120.65cm～132.08cm)
ベッド(シングル) 
机(幅140 奥行59 高さ60(cm))")</f>
        <v>イス(サイズ:幅67.31×奥行51.15×高さ120.65cm～132.08cm)
ベッド(シングル) 
机(幅140 奥行59 高さ60(cm))</v>
      </c>
      <c r="N119" s="6" t="str">
        <f aca="false">IFERROR(__xludf.dummyfunction("""COMPUTED_VALUE"""),"デスクトップpc プリンタ")</f>
        <v>デスクトップpc プリンタ</v>
      </c>
      <c r="O119" s="6" t="str">
        <f aca="false">IFERROR(__xludf.dummyfunction("""COMPUTED_VALUE"""),"不要")</f>
        <v>不要</v>
      </c>
      <c r="P119" s="6"/>
      <c r="Q119" s="6"/>
      <c r="R119" s="6"/>
      <c r="S119" s="6" t="str">
        <f aca="false">IFERROR(__xludf.dummyfunction("""COMPUTED_VALUE"""),"家具家電なし社宅")</f>
        <v>家具家電なし社宅</v>
      </c>
      <c r="T119" s="6" t="str">
        <f aca="false">IFERROR(__xludf.dummyfunction("""COMPUTED_VALUE"""),"利用しない")</f>
        <v>利用しない</v>
      </c>
      <c r="U119" s="6"/>
      <c r="V119" s="6" t="str">
        <f aca="false">IFERROR(__xludf.dummyfunction("""COMPUTED_VALUE"""),"徒歩, 電車, バス")</f>
        <v>徒歩, 電車, バス</v>
      </c>
      <c r="W119" s="6"/>
      <c r="X119" s="6" t="str">
        <f aca="false">IFERROR(__xludf.dummyfunction("""COMPUTED_VALUE"""),"ご自身で契約中の物件")</f>
        <v>ご自身で契約中の物件</v>
      </c>
      <c r="Y119" s="6"/>
      <c r="Z119" s="6" t="str">
        <f aca="false">IFERROR(__xludf.dummyfunction("""COMPUTED_VALUE"""),"希望する")</f>
        <v>希望する</v>
      </c>
      <c r="AA119" s="6" t="str">
        <f aca="false">IFERROR(__xludf.dummyfunction("""COMPUTED_VALUE"""),"単身")</f>
        <v>単身</v>
      </c>
      <c r="AB119" s="6"/>
      <c r="AC119" s="6"/>
      <c r="AD119" s="6" t="str">
        <f aca="false">IFERROR(__xludf.dummyfunction("""COMPUTED_VALUE"""),"風呂トイレ別　光回線")</f>
        <v>風呂トイレ別　光回線</v>
      </c>
      <c r="AE119" s="6" t="str">
        <f aca="false">IFERROR(__xludf.dummyfunction("""COMPUTED_VALUE"""),"確認しました。")</f>
        <v>確認しました。</v>
      </c>
      <c r="AF119" s="6" t="str">
        <f aca="false">IFERROR(__xludf.dummyfunction("""COMPUTED_VALUE"""),"社宅基準の内容について確認しました")</f>
        <v>社宅基準の内容について確認しました</v>
      </c>
      <c r="AG119" s="6" t="str">
        <f aca="false">IFERROR(__xludf.dummyfunction("""COMPUTED_VALUE"""),"入居のしおりの内容についてご確認しました")</f>
        <v>入居のしおりの内容についてご確認しました</v>
      </c>
      <c r="AH119" s="6" t="str">
        <f aca="false">IFERROR(__xludf.dummyfunction("""COMPUTED_VALUE"""),"確認しました")</f>
        <v>確認しました</v>
      </c>
      <c r="AI119" s="6"/>
      <c r="AJ119" s="6" t="str">
        <v/>
      </c>
      <c r="AK119" s="6" t="str">
        <v/>
      </c>
      <c r="AL119" s="6" t="str">
        <v/>
      </c>
      <c r="AM119" s="6" t="str">
        <v/>
      </c>
      <c r="AN119" s="6" t="n">
        <f aca="false">FALSE()</f>
        <v>0</v>
      </c>
    </row>
    <row r="120" customFormat="false" ht="52.5" hidden="false" customHeight="true" outlineLevel="0" collapsed="false">
      <c r="A120" s="6" t="str">
        <f aca="false">IFERROR(__xludf.dummyfunction("""COMPUTED_VALUE"""),"2026/02/16 16:48:42")</f>
        <v>2026/02/16 16:48:42</v>
      </c>
      <c r="B120" s="6"/>
      <c r="C120" s="6" t="str">
        <f aca="false">IFERROR(__xludf.dummyfunction("""COMPUTED_VALUE"""),"69929")</f>
        <v>69929</v>
      </c>
      <c r="D120" s="6"/>
      <c r="E120" s="6"/>
      <c r="F120" s="6"/>
      <c r="G120" s="6" t="str">
        <f aca="false">IFERROR(__xludf.dummyfunction("""COMPUTED_VALUE"""),"2026/03/01")</f>
        <v>2026/03/01</v>
      </c>
      <c r="H120" s="6" t="str">
        <f aca="false">IFERROR(__xludf.dummyfunction("""COMPUTED_VALUE"""),"必要")</f>
        <v>必要</v>
      </c>
      <c r="I120" s="6" t="str">
        <f aca="false">IFERROR(__xludf.dummyfunction("""COMPUTED_VALUE"""),"男性")</f>
        <v>男性</v>
      </c>
      <c r="J120" s="6" t="str">
        <f aca="false">IFERROR(__xludf.dummyfunction("""COMPUTED_VALUE"""),"日本")</f>
        <v>日本</v>
      </c>
      <c r="K120" s="6" t="str">
        <f aca="false">IFERROR(__xludf.dummyfunction("""COMPUTED_VALUE"""),"5")</f>
        <v>5</v>
      </c>
      <c r="L120" s="6" t="str">
        <f aca="false">IFERROR(__xludf.dummyfunction("""COMPUTED_VALUE"""),"冷蔵庫(単身用)、オーブンレンジ、炊飯器、ガスコンロ、洗濯機、テレビ")</f>
        <v>冷蔵庫(単身用)、オーブンレンジ、炊飯器、ガスコンロ、洗濯機、テレビ</v>
      </c>
      <c r="M120" s="6" t="str">
        <f aca="false">IFERROR(__xludf.dummyfunction("""COMPUTED_VALUE"""),"食器棚(175×80×41)、カラーボックス(29×88×42)、ラック(114×43×28)、衣装ケース(54×64×40、34×64×42)、テーブル、洗濯物干し、布団")</f>
        <v>食器棚(175×80×41)、カラーボックス(29×88×42)、ラック(114×43×28)、衣装ケース(54×64×40、34×64×42)、テーブル、洗濯物干し、布団</v>
      </c>
      <c r="N120" s="6" t="str">
        <f aca="false">IFERROR(__xludf.dummyfunction("""COMPUTED_VALUE"""),"なし")</f>
        <v>なし</v>
      </c>
      <c r="O120" s="6" t="str">
        <f aca="false">IFERROR(__xludf.dummyfunction("""COMPUTED_VALUE"""),"不要")</f>
        <v>不要</v>
      </c>
      <c r="P120" s="6"/>
      <c r="Q120" s="6"/>
      <c r="R120" s="6"/>
      <c r="S120" s="6" t="str">
        <f aca="false">IFERROR(__xludf.dummyfunction("""COMPUTED_VALUE"""),"家具家電なし社宅")</f>
        <v>家具家電なし社宅</v>
      </c>
      <c r="T120" s="6" t="str">
        <f aca="false">IFERROR(__xludf.dummyfunction("""COMPUTED_VALUE"""),"利用しない")</f>
        <v>利用しない</v>
      </c>
      <c r="U120" s="6"/>
      <c r="V120" s="6" t="str">
        <f aca="false">IFERROR(__xludf.dummyfunction("""COMPUTED_VALUE"""),"徒歩, 電車, バス")</f>
        <v>徒歩, 電車, バス</v>
      </c>
      <c r="W120" s="6"/>
      <c r="X120" s="6" t="str">
        <f aca="false">IFERROR(__xludf.dummyfunction("""COMPUTED_VALUE"""),"株式会社ビーネックステクノロジーズの社宅")</f>
        <v>株式会社ビーネックステクノロジーズの社宅</v>
      </c>
      <c r="Y120" s="6" t="str">
        <f aca="false">IFERROR(__xludf.dummyfunction("""COMPUTED_VALUE"""),"利用なし")</f>
        <v>利用なし</v>
      </c>
      <c r="Z120" s="6" t="str">
        <f aca="false">IFERROR(__xludf.dummyfunction("""COMPUTED_VALUE"""),"希望する")</f>
        <v>希望する</v>
      </c>
      <c r="AA120" s="6" t="str">
        <f aca="false">IFERROR(__xludf.dummyfunction("""COMPUTED_VALUE"""),"単身")</f>
        <v>単身</v>
      </c>
      <c r="AB120" s="6"/>
      <c r="AC120" s="6"/>
      <c r="AD120" s="6" t="str">
        <f aca="false">IFERROR(__xludf.dummyfunction("""COMPUTED_VALUE"""),"エアコン付き、風呂トイレ別物件希望")</f>
        <v>エアコン付き、風呂トイレ別物件希望</v>
      </c>
      <c r="AE120" s="6" t="str">
        <f aca="false">IFERROR(__xludf.dummyfunction("""COMPUTED_VALUE"""),"確認しました。")</f>
        <v>確認しました。</v>
      </c>
      <c r="AF120" s="6" t="str">
        <f aca="false">IFERROR(__xludf.dummyfunction("""COMPUTED_VALUE"""),"社宅基準の内容について確認しました")</f>
        <v>社宅基準の内容について確認しました</v>
      </c>
      <c r="AG120" s="6" t="str">
        <f aca="false">IFERROR(__xludf.dummyfunction("""COMPUTED_VALUE"""),"入居のしおりの内容についてご確認しました")</f>
        <v>入居のしおりの内容についてご確認しました</v>
      </c>
      <c r="AH120" s="6" t="str">
        <f aca="false">IFERROR(__xludf.dummyfunction("""COMPUTED_VALUE"""),"確認しました")</f>
        <v>確認しました</v>
      </c>
      <c r="AI120" s="6"/>
      <c r="AJ120" s="6" t="str">
        <v/>
      </c>
      <c r="AK120" s="6" t="str">
        <v/>
      </c>
      <c r="AL120" s="6" t="str">
        <v/>
      </c>
      <c r="AM120" s="6" t="str">
        <v/>
      </c>
      <c r="AN120" s="6" t="n">
        <f aca="false">TRUE()</f>
        <v>1</v>
      </c>
    </row>
    <row r="121" customFormat="false" ht="52.5" hidden="false" customHeight="true" outlineLevel="0" collapsed="false">
      <c r="A121" s="6" t="str">
        <f aca="false">IFERROR(__xludf.dummyfunction("""COMPUTED_VALUE"""),"2026/02/16 18:19:41")</f>
        <v>2026/02/16 18:19:41</v>
      </c>
      <c r="B121" s="6"/>
      <c r="C121" s="6" t="str">
        <f aca="false">IFERROR(__xludf.dummyfunction("""COMPUTED_VALUE"""),"70000")</f>
        <v>70000</v>
      </c>
      <c r="D121" s="6"/>
      <c r="E121" s="6"/>
      <c r="F121" s="6"/>
      <c r="G121" s="6" t="str">
        <f aca="false">IFERROR(__xludf.dummyfunction("""COMPUTED_VALUE"""),"2026/04/26")</f>
        <v>2026/04/26</v>
      </c>
      <c r="H121" s="6" t="str">
        <f aca="false">IFERROR(__xludf.dummyfunction("""COMPUTED_VALUE"""),"必要")</f>
        <v>必要</v>
      </c>
      <c r="I121" s="6" t="str">
        <f aca="false">IFERROR(__xludf.dummyfunction("""COMPUTED_VALUE"""),"女性")</f>
        <v>女性</v>
      </c>
      <c r="J121" s="6" t="str">
        <f aca="false">IFERROR(__xludf.dummyfunction("""COMPUTED_VALUE"""),"日本")</f>
        <v>日本</v>
      </c>
      <c r="K121" s="6" t="str">
        <f aca="false">IFERROR(__xludf.dummyfunction("""COMPUTED_VALUE"""),"10")</f>
        <v>10</v>
      </c>
      <c r="L121" s="6" t="str">
        <f aca="false">IFERROR(__xludf.dummyfunction("""COMPUTED_VALUE"""),"冷蔵庫(単身用2ドア)、洗濯機、テレビ、HDD、電子レンジ、ガスコンロ(1口)")</f>
        <v>冷蔵庫(単身用2ドア)、洗濯機、テレビ、HDD、電子レンジ、ガスコンロ(1口)</v>
      </c>
      <c r="M121" s="6" t="str">
        <f aca="false">IFERROR(__xludf.dummyfunction("""COMPUTED_VALUE"""),"机(横100、幅90、縦70)、ソファ(1人がけ)、コタツ")</f>
        <v>机(横100、幅90、縦70)、ソファ(1人がけ)、コタツ</v>
      </c>
      <c r="N121" s="6" t="str">
        <f aca="false">IFERROR(__xludf.dummyfunction("""COMPUTED_VALUE"""),"棚、カラーボックス")</f>
        <v>棚、カラーボックス</v>
      </c>
      <c r="O121" s="6" t="str">
        <f aca="false">IFERROR(__xludf.dummyfunction("""COMPUTED_VALUE"""),"必要")</f>
        <v>必要</v>
      </c>
      <c r="P121" s="6" t="str">
        <f aca="false">IFERROR(__xludf.dummyfunction("""COMPUTED_VALUE"""),"ノートオーラ")</f>
        <v>ノートオーラ</v>
      </c>
      <c r="Q121" s="6" t="str">
        <f aca="false">IFERROR(__xludf.dummyfunction("""COMPUTED_VALUE"""),"ぬ45-41")</f>
        <v>ぬ45-41</v>
      </c>
      <c r="R121" s="6" t="str">
        <f aca="false">IFERROR(__xludf.dummyfunction("""COMPUTED_VALUE"""),"黒、銅色")</f>
        <v>黒、銅色</v>
      </c>
      <c r="S121" s="6" t="str">
        <f aca="false">IFERROR(__xludf.dummyfunction("""COMPUTED_VALUE"""),"家具家電なし社宅")</f>
        <v>家具家電なし社宅</v>
      </c>
      <c r="T121" s="6" t="str">
        <f aca="false">IFERROR(__xludf.dummyfunction("""COMPUTED_VALUE"""),"利用しない")</f>
        <v>利用しない</v>
      </c>
      <c r="U121" s="6"/>
      <c r="V121" s="6" t="str">
        <f aca="false">IFERROR(__xludf.dummyfunction("""COMPUTED_VALUE"""),"自動車")</f>
        <v>自動車</v>
      </c>
      <c r="W121" s="6"/>
      <c r="X121" s="6" t="str">
        <f aca="false">IFERROR(__xludf.dummyfunction("""COMPUTED_VALUE"""),"株式会社ビーネックステクノロジーズの社宅")</f>
        <v>株式会社ビーネックステクノロジーズの社宅</v>
      </c>
      <c r="Y121" s="6" t="str">
        <f aca="false">IFERROR(__xludf.dummyfunction("""COMPUTED_VALUE"""),"冷蔵庫、ガスコンロ、洗濯機／新社宅へ引き継ぎ希望")</f>
        <v>冷蔵庫、ガスコンロ、洗濯機／新社宅へ引き継ぎ希望</v>
      </c>
      <c r="Z121" s="6" t="str">
        <f aca="false">IFERROR(__xludf.dummyfunction("""COMPUTED_VALUE"""),"希望する")</f>
        <v>希望する</v>
      </c>
      <c r="AA121" s="6" t="str">
        <f aca="false">IFERROR(__xludf.dummyfunction("""COMPUTED_VALUE"""),"単身")</f>
        <v>単身</v>
      </c>
      <c r="AB121" s="6"/>
      <c r="AC121" s="6"/>
      <c r="AD121" s="6" t="str">
        <f aca="false">IFERROR(__xludf.dummyfunction("""COMPUTED_VALUE"""),"北上市内希望")</f>
        <v>北上市内希望</v>
      </c>
      <c r="AE121" s="6" t="str">
        <f aca="false">IFERROR(__xludf.dummyfunction("""COMPUTED_VALUE"""),"確認しました。")</f>
        <v>確認しました。</v>
      </c>
      <c r="AF121" s="6" t="str">
        <f aca="false">IFERROR(__xludf.dummyfunction("""COMPUTED_VALUE"""),"社宅基準の内容について確認しました")</f>
        <v>社宅基準の内容について確認しました</v>
      </c>
      <c r="AG121" s="6" t="str">
        <f aca="false">IFERROR(__xludf.dummyfunction("""COMPUTED_VALUE"""),"入居のしおりの内容についてご確認しました")</f>
        <v>入居のしおりの内容についてご確認しました</v>
      </c>
      <c r="AH121" s="6" t="str">
        <f aca="false">IFERROR(__xludf.dummyfunction("""COMPUTED_VALUE"""),"確認しました")</f>
        <v>確認しました</v>
      </c>
      <c r="AI121" s="6"/>
      <c r="AJ121" s="6" t="str">
        <v/>
      </c>
      <c r="AK121" s="6" t="str">
        <v/>
      </c>
      <c r="AL121" s="6" t="str">
        <v/>
      </c>
      <c r="AM121" s="6" t="str">
        <v/>
      </c>
      <c r="AN121" s="6" t="n">
        <f aca="false">FALSE()</f>
        <v>0</v>
      </c>
    </row>
    <row r="122" customFormat="false" ht="52.5" hidden="false" customHeight="true" outlineLevel="0" collapsed="false">
      <c r="A122" s="6" t="str">
        <f aca="false">IFERROR(__xludf.dummyfunction("""COMPUTED_VALUE"""),"2026/02/16 18:23:53")</f>
        <v>2026/02/16 18:23:53</v>
      </c>
      <c r="B122" s="6"/>
      <c r="C122" s="6" t="str">
        <f aca="false">IFERROR(__xludf.dummyfunction("""COMPUTED_VALUE"""),"70048")</f>
        <v>70048</v>
      </c>
      <c r="D122" s="6"/>
      <c r="E122" s="6"/>
      <c r="F122" s="6"/>
      <c r="G122" s="6" t="str">
        <f aca="false">IFERROR(__xludf.dummyfunction("""COMPUTED_VALUE"""),"2026/02/26")</f>
        <v>2026/02/26</v>
      </c>
      <c r="H122" s="6" t="str">
        <f aca="false">IFERROR(__xludf.dummyfunction("""COMPUTED_VALUE"""),"必要")</f>
        <v>必要</v>
      </c>
      <c r="I122" s="6" t="str">
        <f aca="false">IFERROR(__xludf.dummyfunction("""COMPUTED_VALUE"""),"男性")</f>
        <v>男性</v>
      </c>
      <c r="J122" s="6" t="str">
        <f aca="false">IFERROR(__xludf.dummyfunction("""COMPUTED_VALUE"""),"日本")</f>
        <v>日本</v>
      </c>
      <c r="K122" s="6" t="str">
        <f aca="false">IFERROR(__xludf.dummyfunction("""COMPUTED_VALUE"""),"4")</f>
        <v>4</v>
      </c>
      <c r="L122" s="6" t="str">
        <f aca="false">IFERROR(__xludf.dummyfunction("""COMPUTED_VALUE"""),"単身用(2ドア),電子レンジ")</f>
        <v>単身用(2ドア),電子レンジ</v>
      </c>
      <c r="M122" s="6" t="str">
        <f aca="false">IFERROR(__xludf.dummyfunction("""COMPUTED_VALUE"""),"コタツ(80x60cm),ベッド(シングル),折り畳みマットレス,毛布や掛け布団(圧縮袋),小型プラスティックチェスト4段(55x45x75cm),小型プラスティック衣装ケース2個(45x35x35),")</f>
        <v>コタツ(80x60cm),ベッド(シングル),折り畳みマットレス,毛布や掛け布団(圧縮袋),小型プラスティックチェスト4段(55x45x75cm),小型プラスティック衣装ケース2個(45x35x35),</v>
      </c>
      <c r="N122" s="6"/>
      <c r="O122" s="6" t="str">
        <f aca="false">IFERROR(__xludf.dummyfunction("""COMPUTED_VALUE"""),"必要")</f>
        <v>必要</v>
      </c>
      <c r="P122" s="6" t="str">
        <f aca="false">IFERROR(__xludf.dummyfunction("""COMPUTED_VALUE"""),"イプシロン(クライスラー)")</f>
        <v>イプシロン(クライスラー)</v>
      </c>
      <c r="Q122" s="6" t="str">
        <f aca="false">IFERROR(__xludf.dummyfunction("""COMPUTED_VALUE"""),"て98-80")</f>
        <v>て98-80</v>
      </c>
      <c r="R122" s="6" t="str">
        <f aca="false">IFERROR(__xludf.dummyfunction("""COMPUTED_VALUE"""),"白")</f>
        <v>白</v>
      </c>
      <c r="S122" s="6" t="str">
        <f aca="false">IFERROR(__xludf.dummyfunction("""COMPUTED_VALUE"""),"家具家電なし社宅")</f>
        <v>家具家電なし社宅</v>
      </c>
      <c r="T122" s="6"/>
      <c r="U122" s="6" t="str">
        <f aca="false">IFERROR(__xludf.dummyfunction("""COMPUTED_VALUE"""),"物件選択の際に決めます。")</f>
        <v>物件選択の際に決めます。</v>
      </c>
      <c r="V122" s="6" t="str">
        <f aca="false">IFERROR(__xludf.dummyfunction("""COMPUTED_VALUE"""),"徒歩, バス")</f>
        <v>徒歩, バス</v>
      </c>
      <c r="W122" s="6"/>
      <c r="X122" s="6" t="str">
        <f aca="false">IFERROR(__xludf.dummyfunction("""COMPUTED_VALUE"""),"ご自身で契約中の物件")</f>
        <v>ご自身で契約中の物件</v>
      </c>
      <c r="Y122" s="6"/>
      <c r="Z122" s="6" t="str">
        <f aca="false">IFERROR(__xludf.dummyfunction("""COMPUTED_VALUE"""),"希望する")</f>
        <v>希望する</v>
      </c>
      <c r="AA122" s="6" t="str">
        <f aca="false">IFERROR(__xludf.dummyfunction("""COMPUTED_VALUE"""),"単身")</f>
        <v>単身</v>
      </c>
      <c r="AB122" s="6"/>
      <c r="AC122" s="6"/>
      <c r="AD122" s="6"/>
      <c r="AE122" s="6" t="str">
        <f aca="false">IFERROR(__xludf.dummyfunction("""COMPUTED_VALUE"""),"確認しました。")</f>
        <v>確認しました。</v>
      </c>
      <c r="AF122" s="6" t="str">
        <f aca="false">IFERROR(__xludf.dummyfunction("""COMPUTED_VALUE"""),"社宅基準の内容について確認しました")</f>
        <v>社宅基準の内容について確認しました</v>
      </c>
      <c r="AG122" s="6" t="str">
        <f aca="false">IFERROR(__xludf.dummyfunction("""COMPUTED_VALUE"""),"入居のしおりの内容についてご確認しました")</f>
        <v>入居のしおりの内容についてご確認しました</v>
      </c>
      <c r="AH122" s="6" t="str">
        <f aca="false">IFERROR(__xludf.dummyfunction("""COMPUTED_VALUE"""),"確認しました")</f>
        <v>確認しました</v>
      </c>
      <c r="AI122" s="6"/>
      <c r="AJ122" s="6" t="str">
        <v/>
      </c>
      <c r="AK122" s="6" t="str">
        <v/>
      </c>
      <c r="AL122" s="6" t="str">
        <v/>
      </c>
      <c r="AM122" s="6" t="str">
        <v/>
      </c>
      <c r="AN122" s="6" t="n">
        <f aca="false">FALSE()</f>
        <v>0</v>
      </c>
    </row>
    <row r="123" customFormat="false" ht="52.5" hidden="false" customHeight="true" outlineLevel="0" collapsed="false">
      <c r="A123" s="6" t="str">
        <f aca="false">IFERROR(__xludf.dummyfunction("""COMPUTED_VALUE"""),"2026/02/16 20:15:34")</f>
        <v>2026/02/16 20:15:34</v>
      </c>
      <c r="B123" s="6"/>
      <c r="C123" s="6" t="str">
        <f aca="false">IFERROR(__xludf.dummyfunction("""COMPUTED_VALUE"""),"70047")</f>
        <v>70047</v>
      </c>
      <c r="D123" s="6"/>
      <c r="E123" s="6"/>
      <c r="F123" s="6"/>
      <c r="G123" s="6" t="str">
        <f aca="false">IFERROR(__xludf.dummyfunction("""COMPUTED_VALUE"""),"2026/03/18")</f>
        <v>2026/03/18</v>
      </c>
      <c r="H123" s="6" t="str">
        <f aca="false">IFERROR(__xludf.dummyfunction("""COMPUTED_VALUE"""),"不要")</f>
        <v>不要</v>
      </c>
      <c r="I123" s="6" t="str">
        <f aca="false">IFERROR(__xludf.dummyfunction("""COMPUTED_VALUE"""),"男性")</f>
        <v>男性</v>
      </c>
      <c r="J123" s="6" t="str">
        <f aca="false">IFERROR(__xludf.dummyfunction("""COMPUTED_VALUE"""),"日本")</f>
        <v>日本</v>
      </c>
      <c r="K123" s="6"/>
      <c r="L123" s="6"/>
      <c r="M123" s="6"/>
      <c r="N123" s="6"/>
      <c r="O123" s="6" t="str">
        <f aca="false">IFERROR(__xludf.dummyfunction("""COMPUTED_VALUE"""),"必要")</f>
        <v>必要</v>
      </c>
      <c r="P123" s="6" t="str">
        <f aca="false">IFERROR(__xludf.dummyfunction("""COMPUTED_VALUE"""),"エヌボックス")</f>
        <v>エヌボックス</v>
      </c>
      <c r="Q123" s="6" t="str">
        <f aca="false">IFERROR(__xludf.dummyfunction("""COMPUTED_VALUE"""),"現在納車待機中のため未定")</f>
        <v>現在納車待機中のため未定</v>
      </c>
      <c r="R123" s="6" t="str">
        <f aca="false">IFERROR(__xludf.dummyfunction("""COMPUTED_VALUE"""),"黒")</f>
        <v>黒</v>
      </c>
      <c r="S123" s="6" t="str">
        <f aca="false">IFERROR(__xludf.dummyfunction("""COMPUTED_VALUE"""),"家具家電付き社宅")</f>
        <v>家具家電付き社宅</v>
      </c>
      <c r="T123" s="6" t="str">
        <f aca="false">IFERROR(__xludf.dummyfunction("""COMPUTED_VALUE"""),"利用しない")</f>
        <v>利用しない</v>
      </c>
      <c r="U123" s="6"/>
      <c r="V123" s="6" t="str">
        <f aca="false">IFERROR(__xludf.dummyfunction("""COMPUTED_VALUE"""),"自動車, 自転車, 社用バス")</f>
        <v>自動車, 自転車, 社用バス</v>
      </c>
      <c r="W123" s="6"/>
      <c r="X123" s="6" t="str">
        <f aca="false">IFERROR(__xludf.dummyfunction("""COMPUTED_VALUE"""),"実家")</f>
        <v>実家</v>
      </c>
      <c r="Y123" s="6"/>
      <c r="Z123" s="6" t="str">
        <f aca="false">IFERROR(__xludf.dummyfunction("""COMPUTED_VALUE"""),"希望する")</f>
        <v>希望する</v>
      </c>
      <c r="AA123" s="6" t="str">
        <f aca="false">IFERROR(__xludf.dummyfunction("""COMPUTED_VALUE"""),"単身")</f>
        <v>単身</v>
      </c>
      <c r="AB123" s="6"/>
      <c r="AC123" s="6"/>
      <c r="AD123" s="6"/>
      <c r="AE123" s="6" t="str">
        <f aca="false">IFERROR(__xludf.dummyfunction("""COMPUTED_VALUE"""),"確認しました。")</f>
        <v>確認しました。</v>
      </c>
      <c r="AF123" s="6" t="str">
        <f aca="false">IFERROR(__xludf.dummyfunction("""COMPUTED_VALUE"""),"社宅基準の内容について確認しました")</f>
        <v>社宅基準の内容について確認しました</v>
      </c>
      <c r="AG123" s="6" t="str">
        <f aca="false">IFERROR(__xludf.dummyfunction("""COMPUTED_VALUE"""),"入居のしおりの内容についてご確認しました")</f>
        <v>入居のしおりの内容についてご確認しました</v>
      </c>
      <c r="AH123" s="6" t="str">
        <f aca="false">IFERROR(__xludf.dummyfunction("""COMPUTED_VALUE"""),"確認しました")</f>
        <v>確認しました</v>
      </c>
      <c r="AI123" s="6"/>
      <c r="AJ123" s="6" t="str">
        <v/>
      </c>
      <c r="AK123" s="6" t="str">
        <v/>
      </c>
      <c r="AL123" s="6" t="str">
        <v/>
      </c>
      <c r="AM123" s="6" t="str">
        <v/>
      </c>
      <c r="AN123" s="6" t="n">
        <f aca="false">FALSE()</f>
        <v>0</v>
      </c>
    </row>
    <row r="124" customFormat="false" ht="52.5" hidden="false" customHeight="true" outlineLevel="0" collapsed="false">
      <c r="A124" s="6" t="str">
        <f aca="false">IFERROR(__xludf.dummyfunction("""COMPUTED_VALUE"""),"2026/02/16 22:08:52")</f>
        <v>2026/02/16 22:08:52</v>
      </c>
      <c r="B124" s="6"/>
      <c r="C124" s="6" t="str">
        <f aca="false">IFERROR(__xludf.dummyfunction("""COMPUTED_VALUE"""),"70037")</f>
        <v>70037</v>
      </c>
      <c r="D124" s="6"/>
      <c r="E124" s="6"/>
      <c r="F124" s="6"/>
      <c r="G124" s="6" t="str">
        <f aca="false">IFERROR(__xludf.dummyfunction("""COMPUTED_VALUE"""),"2026/03/22")</f>
        <v>2026/03/22</v>
      </c>
      <c r="H124" s="6" t="str">
        <f aca="false">IFERROR(__xludf.dummyfunction("""COMPUTED_VALUE"""),"必要")</f>
        <v>必要</v>
      </c>
      <c r="I124" s="6" t="str">
        <f aca="false">IFERROR(__xludf.dummyfunction("""COMPUTED_VALUE"""),"男性")</f>
        <v>男性</v>
      </c>
      <c r="J124" s="6" t="str">
        <f aca="false">IFERROR(__xludf.dummyfunction("""COMPUTED_VALUE"""),"日本")</f>
        <v>日本</v>
      </c>
      <c r="K124" s="6" t="str">
        <f aca="false">IFERROR(__xludf.dummyfunction("""COMPUTED_VALUE"""),"20")</f>
        <v>20</v>
      </c>
      <c r="L124" s="6" t="str">
        <f aca="false">IFERROR(__xludf.dummyfunction("""COMPUTED_VALUE"""),"デスクトップPC、モニター×２")</f>
        <v>デスクトップPC、モニター×２</v>
      </c>
      <c r="M124" s="6" t="str">
        <f aca="false">IFERROR(__xludf.dummyfunction("""COMPUTED_VALUE"""),"PCテーブル　ローテーブル　ベッド（布団部分のみ）　ゲーミングチェア")</f>
        <v>PCテーブル　ローテーブル　ベッド（布団部分のみ）　ゲーミングチェア</v>
      </c>
      <c r="N124" s="6" t="str">
        <f aca="false">IFERROR(__xludf.dummyfunction("""COMPUTED_VALUE"""),"なし")</f>
        <v>なし</v>
      </c>
      <c r="O124" s="6" t="str">
        <f aca="false">IFERROR(__xludf.dummyfunction("""COMPUTED_VALUE"""),"不要")</f>
        <v>不要</v>
      </c>
      <c r="P124" s="6"/>
      <c r="Q124" s="6"/>
      <c r="R124" s="6"/>
      <c r="S124" s="6" t="str">
        <f aca="false">IFERROR(__xludf.dummyfunction("""COMPUTED_VALUE"""),"家具家電付き社宅")</f>
        <v>家具家電付き社宅</v>
      </c>
      <c r="T124" s="6" t="str">
        <f aca="false">IFERROR(__xludf.dummyfunction("""COMPUTED_VALUE"""),"利用しない")</f>
        <v>利用しない</v>
      </c>
      <c r="U124" s="6"/>
      <c r="V124" s="6" t="str">
        <f aca="false">IFERROR(__xludf.dummyfunction("""COMPUTED_VALUE"""),"電車")</f>
        <v>電車</v>
      </c>
      <c r="W124" s="6"/>
      <c r="X124" s="6" t="str">
        <f aca="false">IFERROR(__xludf.dummyfunction("""COMPUTED_VALUE"""),"株式会社ビーネックステクノロジーズの社宅")</f>
        <v>株式会社ビーネックステクノロジーズの社宅</v>
      </c>
      <c r="Y124" s="6" t="str">
        <f aca="false">IFERROR(__xludf.dummyfunction("""COMPUTED_VALUE"""),"利用無し")</f>
        <v>利用無し</v>
      </c>
      <c r="Z124" s="6" t="str">
        <f aca="false">IFERROR(__xludf.dummyfunction("""COMPUTED_VALUE"""),"希望する")</f>
        <v>希望する</v>
      </c>
      <c r="AA124" s="6" t="str">
        <f aca="false">IFERROR(__xludf.dummyfunction("""COMPUTED_VALUE"""),"単身")</f>
        <v>単身</v>
      </c>
      <c r="AB124" s="6"/>
      <c r="AC124" s="6"/>
      <c r="AD124" s="6" t="str">
        <f aca="false">IFERROR(__xludf.dummyfunction("""COMPUTED_VALUE"""),"できるだけ防音されているところがいい。")</f>
        <v>できるだけ防音されているところがいい。</v>
      </c>
      <c r="AE124" s="6" t="str">
        <f aca="false">IFERROR(__xludf.dummyfunction("""COMPUTED_VALUE"""),"確認しました。")</f>
        <v>確認しました。</v>
      </c>
      <c r="AF124" s="6" t="str">
        <f aca="false">IFERROR(__xludf.dummyfunction("""COMPUTED_VALUE"""),"社宅基準の内容について確認しました")</f>
        <v>社宅基準の内容について確認しました</v>
      </c>
      <c r="AG124" s="6" t="str">
        <f aca="false">IFERROR(__xludf.dummyfunction("""COMPUTED_VALUE"""),"入居のしおりの内容についてご確認しました")</f>
        <v>入居のしおりの内容についてご確認しました</v>
      </c>
      <c r="AH124" s="6" t="str">
        <f aca="false">IFERROR(__xludf.dummyfunction("""COMPUTED_VALUE"""),"確認しました")</f>
        <v>確認しました</v>
      </c>
      <c r="AI124" s="6"/>
      <c r="AJ124" s="6" t="str">
        <v/>
      </c>
      <c r="AK124" s="6" t="str">
        <v/>
      </c>
      <c r="AL124" s="6" t="str">
        <v/>
      </c>
      <c r="AM124" s="6" t="str">
        <v/>
      </c>
      <c r="AN124" s="6" t="n">
        <f aca="false">TRUE()</f>
        <v>1</v>
      </c>
    </row>
    <row r="125" customFormat="false" ht="52.5" hidden="false" customHeight="true" outlineLevel="0" collapsed="false">
      <c r="A125" s="6" t="str">
        <f aca="false">IFERROR(__xludf.dummyfunction("""COMPUTED_VALUE"""),"2026/02/16 22:31:16")</f>
        <v>2026/02/16 22:31:16</v>
      </c>
      <c r="B125" s="6"/>
      <c r="C125" s="6" t="str">
        <f aca="false">IFERROR(__xludf.dummyfunction("""COMPUTED_VALUE"""),"70027")</f>
        <v>70027</v>
      </c>
      <c r="D125" s="6"/>
      <c r="E125" s="6"/>
      <c r="F125" s="6"/>
      <c r="G125" s="6" t="str">
        <f aca="false">IFERROR(__xludf.dummyfunction("""COMPUTED_VALUE"""),"2026/02/28")</f>
        <v>2026/02/28</v>
      </c>
      <c r="H125" s="6" t="str">
        <f aca="false">IFERROR(__xludf.dummyfunction("""COMPUTED_VALUE"""),"必要")</f>
        <v>必要</v>
      </c>
      <c r="I125" s="6" t="str">
        <f aca="false">IFERROR(__xludf.dummyfunction("""COMPUTED_VALUE"""),"男性")</f>
        <v>男性</v>
      </c>
      <c r="J125" s="6" t="str">
        <f aca="false">IFERROR(__xludf.dummyfunction("""COMPUTED_VALUE"""),"日本")</f>
        <v>日本</v>
      </c>
      <c r="K125" s="6" t="str">
        <f aca="false">IFERROR(__xludf.dummyfunction("""COMPUTED_VALUE"""),"15")</f>
        <v>15</v>
      </c>
      <c r="L125" s="6" t="str">
        <f aca="false">IFERROR(__xludf.dummyfunction("""COMPUTED_VALUE"""),"PC1台、モニター2台(24インチ、27インチ)")</f>
        <v>PC1台、モニター2台(24インチ、27インチ)</v>
      </c>
      <c r="M125" s="6" t="str">
        <f aca="false">IFERROR(__xludf.dummyfunction("""COMPUTED_VALUE"""),"無し")</f>
        <v>無し</v>
      </c>
      <c r="N125" s="6"/>
      <c r="O125" s="6" t="str">
        <f aca="false">IFERROR(__xludf.dummyfunction("""COMPUTED_VALUE"""),"不要")</f>
        <v>不要</v>
      </c>
      <c r="P125" s="6"/>
      <c r="Q125" s="6"/>
      <c r="R125" s="6"/>
      <c r="S125" s="6" t="str">
        <f aca="false">IFERROR(__xludf.dummyfunction("""COMPUTED_VALUE"""),"家具家電付き社宅")</f>
        <v>家具家電付き社宅</v>
      </c>
      <c r="T125" s="6" t="str">
        <f aca="false">IFERROR(__xludf.dummyfunction("""COMPUTED_VALUE"""),"利用しない")</f>
        <v>利用しない</v>
      </c>
      <c r="U125" s="6"/>
      <c r="V125" s="6" t="str">
        <f aca="false">IFERROR(__xludf.dummyfunction("""COMPUTED_VALUE"""),"徒歩, 電車, バス")</f>
        <v>徒歩, 電車, バス</v>
      </c>
      <c r="W125" s="6"/>
      <c r="X125" s="6" t="str">
        <f aca="false">IFERROR(__xludf.dummyfunction("""COMPUTED_VALUE"""),"実家")</f>
        <v>実家</v>
      </c>
      <c r="Y125" s="6"/>
      <c r="Z125" s="6" t="str">
        <f aca="false">IFERROR(__xludf.dummyfunction("""COMPUTED_VALUE"""),"希望する")</f>
        <v>希望する</v>
      </c>
      <c r="AA125" s="6" t="str">
        <f aca="false">IFERROR(__xludf.dummyfunction("""COMPUTED_VALUE"""),"単身")</f>
        <v>単身</v>
      </c>
      <c r="AB125" s="6"/>
      <c r="AC125" s="6"/>
      <c r="AD125" s="6"/>
      <c r="AE125" s="6" t="str">
        <f aca="false">IFERROR(__xludf.dummyfunction("""COMPUTED_VALUE"""),"確認しました。")</f>
        <v>確認しました。</v>
      </c>
      <c r="AF125" s="6" t="str">
        <f aca="false">IFERROR(__xludf.dummyfunction("""COMPUTED_VALUE"""),"社宅基準の内容について確認しました")</f>
        <v>社宅基準の内容について確認しました</v>
      </c>
      <c r="AG125" s="6" t="str">
        <f aca="false">IFERROR(__xludf.dummyfunction("""COMPUTED_VALUE"""),"入居のしおりの内容についてご確認しました")</f>
        <v>入居のしおりの内容についてご確認しました</v>
      </c>
      <c r="AH125" s="6" t="str">
        <f aca="false">IFERROR(__xludf.dummyfunction("""COMPUTED_VALUE"""),"確認しました")</f>
        <v>確認しました</v>
      </c>
      <c r="AI125" s="6"/>
      <c r="AJ125" s="6" t="str">
        <v/>
      </c>
      <c r="AK125" s="6" t="str">
        <v/>
      </c>
      <c r="AL125" s="6" t="str">
        <v/>
      </c>
      <c r="AM125" s="6" t="str">
        <v/>
      </c>
      <c r="AN125" s="6" t="n">
        <f aca="false">TRUE()</f>
        <v>1</v>
      </c>
    </row>
    <row r="126" customFormat="false" ht="52.5" hidden="false" customHeight="true" outlineLevel="0" collapsed="false">
      <c r="A126" s="6" t="str">
        <f aca="false">IFERROR(__xludf.dummyfunction("""COMPUTED_VALUE"""),"2026/02/17 1:26:53")</f>
        <v>2026/02/17 1:26:53</v>
      </c>
      <c r="B126" s="6"/>
      <c r="C126" s="6" t="str">
        <f aca="false">IFERROR(__xludf.dummyfunction("""COMPUTED_VALUE"""),"70021")</f>
        <v>70021</v>
      </c>
      <c r="D126" s="6"/>
      <c r="E126" s="6"/>
      <c r="F126" s="6"/>
      <c r="G126" s="6" t="str">
        <f aca="false">IFERROR(__xludf.dummyfunction("""COMPUTED_VALUE"""),"2026/02/27")</f>
        <v>2026/02/27</v>
      </c>
      <c r="H126" s="6" t="str">
        <f aca="false">IFERROR(__xludf.dummyfunction("""COMPUTED_VALUE"""),"必要")</f>
        <v>必要</v>
      </c>
      <c r="I126" s="6" t="str">
        <f aca="false">IFERROR(__xludf.dummyfunction("""COMPUTED_VALUE"""),"男性")</f>
        <v>男性</v>
      </c>
      <c r="J126" s="6" t="str">
        <f aca="false">IFERROR(__xludf.dummyfunction("""COMPUTED_VALUE"""),"日本")</f>
        <v>日本</v>
      </c>
      <c r="K126" s="6" t="str">
        <f aca="false">IFERROR(__xludf.dummyfunction("""COMPUTED_VALUE"""),"15")</f>
        <v>15</v>
      </c>
      <c r="L126" s="6" t="str">
        <f aca="false">IFERROR(__xludf.dummyfunction("""COMPUTED_VALUE"""),"トースター、炊飯器")</f>
        <v>トースター、炊飯器</v>
      </c>
      <c r="M126" s="6" t="str">
        <f aca="false">IFERROR(__xludf.dummyfunction("""COMPUTED_VALUE"""),"机
箪笥
棚
シングルマットレス
洗濯機棚
引き出し")</f>
        <v>机
箪笥
棚
シングルマットレス
洗濯機棚
引き出し</v>
      </c>
      <c r="N126" s="6"/>
      <c r="O126" s="6" t="str">
        <f aca="false">IFERROR(__xludf.dummyfunction("""COMPUTED_VALUE"""),"必要")</f>
        <v>必要</v>
      </c>
      <c r="P126" s="6" t="str">
        <f aca="false">IFERROR(__xludf.dummyfunction("""COMPUTED_VALUE"""),"CR-Z")</f>
        <v>CR-Z</v>
      </c>
      <c r="Q126" s="6" t="str">
        <f aca="false">IFERROR(__xludf.dummyfunction("""COMPUTED_VALUE"""),"た89-02")</f>
        <v>た89-02</v>
      </c>
      <c r="R126" s="6" t="str">
        <f aca="false">IFERROR(__xludf.dummyfunction("""COMPUTED_VALUE"""),"ガンメタ")</f>
        <v>ガンメタ</v>
      </c>
      <c r="S126" s="6" t="str">
        <f aca="false">IFERROR(__xludf.dummyfunction("""COMPUTED_VALUE"""),"家具家電付き社宅")</f>
        <v>家具家電付き社宅</v>
      </c>
      <c r="T126" s="6" t="str">
        <f aca="false">IFERROR(__xludf.dummyfunction("""COMPUTED_VALUE"""),"利用する")</f>
        <v>利用する</v>
      </c>
      <c r="U126" s="6" t="str">
        <f aca="false">IFERROR(__xludf.dummyfunction("""COMPUTED_VALUE"""),"冷蔵庫、電子レンジ")</f>
        <v>冷蔵庫、電子レンジ</v>
      </c>
      <c r="V126" s="6" t="str">
        <f aca="false">IFERROR(__xludf.dummyfunction("""COMPUTED_VALUE"""),"自動車")</f>
        <v>自動車</v>
      </c>
      <c r="W126" s="6"/>
      <c r="X126" s="6" t="str">
        <f aca="false">IFERROR(__xludf.dummyfunction("""COMPUTED_VALUE"""),"ご自身で契約中の物件")</f>
        <v>ご自身で契約中の物件</v>
      </c>
      <c r="Y126" s="6"/>
      <c r="Z126" s="6" t="str">
        <f aca="false">IFERROR(__xludf.dummyfunction("""COMPUTED_VALUE"""),"希望する")</f>
        <v>希望する</v>
      </c>
      <c r="AA126" s="6" t="str">
        <f aca="false">IFERROR(__xludf.dummyfunction("""COMPUTED_VALUE"""),"単身")</f>
        <v>単身</v>
      </c>
      <c r="AB126" s="6"/>
      <c r="AC126" s="6"/>
      <c r="AD126" s="6" t="str">
        <f aca="false">IFERROR(__xludf.dummyfunction("""COMPUTED_VALUE"""),"家具付きの有無、家具レンタルにチェックを入れていますが、どちらの条件の物件を見てみたいです。
物件次第で条件の変更をおこないたいです。")</f>
        <v>家具付きの有無、家具レンタルにチェックを入れていますが、どちらの条件の物件を見てみたいです。
物件次第で条件の変更をおこないたいです。</v>
      </c>
      <c r="AE126" s="6" t="str">
        <f aca="false">IFERROR(__xludf.dummyfunction("""COMPUTED_VALUE"""),"確認しました。")</f>
        <v>確認しました。</v>
      </c>
      <c r="AF126" s="6" t="str">
        <f aca="false">IFERROR(__xludf.dummyfunction("""COMPUTED_VALUE"""),"社宅基準の内容について確認しました")</f>
        <v>社宅基準の内容について確認しました</v>
      </c>
      <c r="AG126" s="6" t="str">
        <f aca="false">IFERROR(__xludf.dummyfunction("""COMPUTED_VALUE"""),"入居のしおりの内容についてご確認しました")</f>
        <v>入居のしおりの内容についてご確認しました</v>
      </c>
      <c r="AH126" s="6" t="str">
        <f aca="false">IFERROR(__xludf.dummyfunction("""COMPUTED_VALUE"""),"確認しました")</f>
        <v>確認しました</v>
      </c>
      <c r="AI126" s="6"/>
      <c r="AJ126" s="6" t="str">
        <v/>
      </c>
      <c r="AK126" s="6" t="str">
        <v/>
      </c>
      <c r="AL126" s="6" t="str">
        <v/>
      </c>
      <c r="AM126" s="6" t="str">
        <v/>
      </c>
      <c r="AN126" s="6" t="n">
        <f aca="false">TRUE()</f>
        <v>1</v>
      </c>
    </row>
    <row r="127" customFormat="false" ht="52.5" hidden="false" customHeight="true" outlineLevel="0" collapsed="false">
      <c r="A127" s="6" t="str">
        <f aca="false">IFERROR(__xludf.dummyfunction("""COMPUTED_VALUE"""),"2026/02/17 11:20:01")</f>
        <v>2026/02/17 11:20:01</v>
      </c>
      <c r="B127" s="6"/>
      <c r="C127" s="6" t="str">
        <f aca="false">IFERROR(__xludf.dummyfunction("""COMPUTED_VALUE"""),"69936")</f>
        <v>69936</v>
      </c>
      <c r="D127" s="6"/>
      <c r="E127" s="6"/>
      <c r="F127" s="6"/>
      <c r="G127" s="6" t="str">
        <f aca="false">IFERROR(__xludf.dummyfunction("""COMPUTED_VALUE"""),"2026/02/25")</f>
        <v>2026/02/25</v>
      </c>
      <c r="H127" s="6" t="str">
        <f aca="false">IFERROR(__xludf.dummyfunction("""COMPUTED_VALUE"""),"必要")</f>
        <v>必要</v>
      </c>
      <c r="I127" s="6" t="str">
        <f aca="false">IFERROR(__xludf.dummyfunction("""COMPUTED_VALUE"""),"男性")</f>
        <v>男性</v>
      </c>
      <c r="J127" s="6" t="str">
        <f aca="false">IFERROR(__xludf.dummyfunction("""COMPUTED_VALUE"""),"中国")</f>
        <v>中国</v>
      </c>
      <c r="K127" s="6" t="str">
        <f aca="false">IFERROR(__xludf.dummyfunction("""COMPUTED_VALUE"""),"5")</f>
        <v>5</v>
      </c>
      <c r="L127" s="6" t="str">
        <f aca="false">IFERROR(__xludf.dummyfunction("""COMPUTED_VALUE"""),"ない")</f>
        <v>ない</v>
      </c>
      <c r="M127" s="6" t="str">
        <f aca="false">IFERROR(__xludf.dummyfunction("""COMPUTED_VALUE"""),"ない")</f>
        <v>ない</v>
      </c>
      <c r="N127" s="6" t="str">
        <f aca="false">IFERROR(__xludf.dummyfunction("""COMPUTED_VALUE"""),"ない")</f>
        <v>ない</v>
      </c>
      <c r="O127" s="6" t="str">
        <f aca="false">IFERROR(__xludf.dummyfunction("""COMPUTED_VALUE"""),"不要")</f>
        <v>不要</v>
      </c>
      <c r="P127" s="6"/>
      <c r="Q127" s="6"/>
      <c r="R127" s="6"/>
      <c r="S127" s="6" t="str">
        <f aca="false">IFERROR(__xludf.dummyfunction("""COMPUTED_VALUE"""),"家具家電付き社宅")</f>
        <v>家具家電付き社宅</v>
      </c>
      <c r="T127" s="6" t="str">
        <f aca="false">IFERROR(__xludf.dummyfunction("""COMPUTED_VALUE"""),"利用する")</f>
        <v>利用する</v>
      </c>
      <c r="U127" s="6" t="str">
        <f aca="false">IFERROR(__xludf.dummyfunction("""COMPUTED_VALUE"""),"冷凍冷蔵庫 ガスコン口(安全装置2か所付) 電子レンジ  エアコン
掃除機　")</f>
        <v>冷凍冷蔵庫 ガスコン口(安全装置2か所付) 電子レンジ  エアコン
掃除機　</v>
      </c>
      <c r="V127" s="6" t="str">
        <f aca="false">IFERROR(__xludf.dummyfunction("""COMPUTED_VALUE"""),"徒歩, 自動車, 電車, バス")</f>
        <v>徒歩, 自動車, 電車, バス</v>
      </c>
      <c r="W127" s="6"/>
      <c r="X127" s="6" t="str">
        <f aca="false">IFERROR(__xludf.dummyfunction("""COMPUTED_VALUE"""),"株式会社ビーネックステクノロジーズの社宅")</f>
        <v>株式会社ビーネックステクノロジーズの社宅</v>
      </c>
      <c r="Y127" s="6" t="str">
        <f aca="false">IFERROR(__xludf.dummyfunction("""COMPUTED_VALUE"""),"利用なし")</f>
        <v>利用なし</v>
      </c>
      <c r="Z127" s="6" t="str">
        <f aca="false">IFERROR(__xludf.dummyfunction("""COMPUTED_VALUE"""),"希望する")</f>
        <v>希望する</v>
      </c>
      <c r="AA127" s="6" t="str">
        <f aca="false">IFERROR(__xludf.dummyfunction("""COMPUTED_VALUE"""),"単身")</f>
        <v>単身</v>
      </c>
      <c r="AB127" s="6"/>
      <c r="AC127" s="6"/>
      <c r="AD127" s="6"/>
      <c r="AE127" s="6" t="str">
        <f aca="false">IFERROR(__xludf.dummyfunction("""COMPUTED_VALUE"""),"確認しました。")</f>
        <v>確認しました。</v>
      </c>
      <c r="AF127" s="6" t="str">
        <f aca="false">IFERROR(__xludf.dummyfunction("""COMPUTED_VALUE"""),"社宅基準の内容について確認しました")</f>
        <v>社宅基準の内容について確認しました</v>
      </c>
      <c r="AG127" s="6" t="str">
        <f aca="false">IFERROR(__xludf.dummyfunction("""COMPUTED_VALUE"""),"入居のしおりの内容についてご確認しました")</f>
        <v>入居のしおりの内容についてご確認しました</v>
      </c>
      <c r="AH127" s="6" t="str">
        <f aca="false">IFERROR(__xludf.dummyfunction("""COMPUTED_VALUE"""),"確認しました")</f>
        <v>確認しました</v>
      </c>
      <c r="AI127" s="6"/>
      <c r="AJ127" s="6" t="str">
        <v/>
      </c>
      <c r="AK127" s="6" t="str">
        <v/>
      </c>
      <c r="AL127" s="6" t="str">
        <v/>
      </c>
      <c r="AM127" s="6" t="str">
        <v/>
      </c>
      <c r="AN127" s="6" t="n">
        <f aca="false">FALSE()</f>
        <v>0</v>
      </c>
    </row>
    <row r="128" customFormat="false" ht="52.5" hidden="false" customHeight="true" outlineLevel="0" collapsed="false">
      <c r="A128" s="6" t="str">
        <f aca="false">IFERROR(__xludf.dummyfunction("""COMPUTED_VALUE"""),"2026/02/17 13:32:43")</f>
        <v>2026/02/17 13:32:43</v>
      </c>
      <c r="B128" s="6"/>
      <c r="C128" s="6" t="str">
        <f aca="false">IFERROR(__xludf.dummyfunction("""COMPUTED_VALUE"""),"69725")</f>
        <v>69725</v>
      </c>
      <c r="D128" s="6"/>
      <c r="E128" s="6"/>
      <c r="F128" s="6"/>
      <c r="G128" s="6" t="str">
        <f aca="false">IFERROR(__xludf.dummyfunction("""COMPUTED_VALUE"""),"2026/03/02")</f>
        <v>2026/03/02</v>
      </c>
      <c r="H128" s="6" t="str">
        <f aca="false">IFERROR(__xludf.dummyfunction("""COMPUTED_VALUE"""),"必要")</f>
        <v>必要</v>
      </c>
      <c r="I128" s="6" t="str">
        <f aca="false">IFERROR(__xludf.dummyfunction("""COMPUTED_VALUE"""),"男性")</f>
        <v>男性</v>
      </c>
      <c r="J128" s="6" t="str">
        <f aca="false">IFERROR(__xludf.dummyfunction("""COMPUTED_VALUE"""),"日本")</f>
        <v>日本</v>
      </c>
      <c r="K128" s="6" t="str">
        <f aca="false">IFERROR(__xludf.dummyfunction("""COMPUTED_VALUE"""),"15")</f>
        <v>15</v>
      </c>
      <c r="L128" s="6" t="str">
        <f aca="false">IFERROR(__xludf.dummyfunction("""COMPUTED_VALUE"""),"掃除機、ドライヤー")</f>
        <v>掃除機、ドライヤー</v>
      </c>
      <c r="M128" s="6" t="str">
        <f aca="false">IFERROR(__xludf.dummyfunction("""COMPUTED_VALUE"""),"なし")</f>
        <v>なし</v>
      </c>
      <c r="N128" s="6" t="str">
        <f aca="false">IFERROR(__xludf.dummyfunction("""COMPUTED_VALUE"""),"釣竿")</f>
        <v>釣竿</v>
      </c>
      <c r="O128" s="6" t="str">
        <f aca="false">IFERROR(__xludf.dummyfunction("""COMPUTED_VALUE"""),"不要")</f>
        <v>不要</v>
      </c>
      <c r="P128" s="6"/>
      <c r="Q128" s="6"/>
      <c r="R128" s="6"/>
      <c r="S128" s="6" t="str">
        <f aca="false">IFERROR(__xludf.dummyfunction("""COMPUTED_VALUE"""),"家具家電付き社宅")</f>
        <v>家具家電付き社宅</v>
      </c>
      <c r="T128" s="6" t="str">
        <f aca="false">IFERROR(__xludf.dummyfunction("""COMPUTED_VALUE"""),"利用する")</f>
        <v>利用する</v>
      </c>
      <c r="U128" s="6" t="str">
        <f aca="false">IFERROR(__xludf.dummyfunction("""COMPUTED_VALUE"""),"寝具一式、マットレス")</f>
        <v>寝具一式、マットレス</v>
      </c>
      <c r="V128" s="6" t="str">
        <f aca="false">IFERROR(__xludf.dummyfunction("""COMPUTED_VALUE"""),"自動車")</f>
        <v>自動車</v>
      </c>
      <c r="W128" s="6"/>
      <c r="X128" s="6" t="str">
        <f aca="false">IFERROR(__xludf.dummyfunction("""COMPUTED_VALUE"""),"ご自身で契約中の物件")</f>
        <v>ご自身で契約中の物件</v>
      </c>
      <c r="Y128" s="6"/>
      <c r="Z128" s="6" t="str">
        <f aca="false">IFERROR(__xludf.dummyfunction("""COMPUTED_VALUE"""),"希望する")</f>
        <v>希望する</v>
      </c>
      <c r="AA128" s="6" t="str">
        <f aca="false">IFERROR(__xludf.dummyfunction("""COMPUTED_VALUE"""),"単身")</f>
        <v>単身</v>
      </c>
      <c r="AB128" s="6"/>
      <c r="AC128" s="6"/>
      <c r="AD128" s="6" t="str">
        <f aca="false">IFERROR(__xludf.dummyfunction("""COMPUTED_VALUE"""),"1LDK以上が希望")</f>
        <v>1LDK以上が希望</v>
      </c>
      <c r="AE128" s="6" t="str">
        <f aca="false">IFERROR(__xludf.dummyfunction("""COMPUTED_VALUE"""),"確認しました。")</f>
        <v>確認しました。</v>
      </c>
      <c r="AF128" s="6" t="str">
        <f aca="false">IFERROR(__xludf.dummyfunction("""COMPUTED_VALUE"""),"社宅基準の内容について確認しました")</f>
        <v>社宅基準の内容について確認しました</v>
      </c>
      <c r="AG128" s="6" t="str">
        <f aca="false">IFERROR(__xludf.dummyfunction("""COMPUTED_VALUE"""),"入居のしおりの内容についてご確認しました")</f>
        <v>入居のしおりの内容についてご確認しました</v>
      </c>
      <c r="AH128" s="6" t="str">
        <f aca="false">IFERROR(__xludf.dummyfunction("""COMPUTED_VALUE"""),"確認しました")</f>
        <v>確認しました</v>
      </c>
      <c r="AI128" s="6"/>
      <c r="AJ128" s="6" t="str">
        <v/>
      </c>
      <c r="AK128" s="6" t="str">
        <v/>
      </c>
      <c r="AL128" s="6" t="str">
        <v/>
      </c>
      <c r="AM128" s="6" t="str">
        <v/>
      </c>
      <c r="AN128" s="6" t="n">
        <f aca="false">FALSE()</f>
        <v>0</v>
      </c>
    </row>
    <row r="129" customFormat="false" ht="52.5" hidden="false" customHeight="true" outlineLevel="0" collapsed="false">
      <c r="A129" s="6" t="str">
        <f aca="false">IFERROR(__xludf.dummyfunction("""COMPUTED_VALUE"""),"2026/02/17 14:01:34")</f>
        <v>2026/02/17 14:01:34</v>
      </c>
      <c r="B129" s="6"/>
      <c r="C129" s="6" t="str">
        <f aca="false">IFERROR(__xludf.dummyfunction("""COMPUTED_VALUE"""),"70077")</f>
        <v>70077</v>
      </c>
      <c r="D129" s="6"/>
      <c r="E129" s="6"/>
      <c r="F129" s="6"/>
      <c r="G129" s="6" t="str">
        <f aca="false">IFERROR(__xludf.dummyfunction("""COMPUTED_VALUE"""),"2026/03/01")</f>
        <v>2026/03/01</v>
      </c>
      <c r="H129" s="6" t="str">
        <f aca="false">IFERROR(__xludf.dummyfunction("""COMPUTED_VALUE"""),"必要")</f>
        <v>必要</v>
      </c>
      <c r="I129" s="6" t="str">
        <f aca="false">IFERROR(__xludf.dummyfunction("""COMPUTED_VALUE"""),"女性")</f>
        <v>女性</v>
      </c>
      <c r="J129" s="6" t="str">
        <f aca="false">IFERROR(__xludf.dummyfunction("""COMPUTED_VALUE"""),"日本")</f>
        <v>日本</v>
      </c>
      <c r="K129" s="6" t="str">
        <f aca="false">IFERROR(__xludf.dummyfunction("""COMPUTED_VALUE"""),"10")</f>
        <v>10</v>
      </c>
      <c r="L129" s="6" t="str">
        <f aca="false">IFERROR(__xludf.dummyfunction("""COMPUTED_VALUE"""),"なし")</f>
        <v>なし</v>
      </c>
      <c r="M129" s="6" t="str">
        <f aca="false">IFERROR(__xludf.dummyfunction("""COMPUTED_VALUE"""),"なし")</f>
        <v>なし</v>
      </c>
      <c r="N129" s="6"/>
      <c r="O129" s="6" t="str">
        <f aca="false">IFERROR(__xludf.dummyfunction("""COMPUTED_VALUE"""),"不要")</f>
        <v>不要</v>
      </c>
      <c r="P129" s="6"/>
      <c r="Q129" s="6"/>
      <c r="R129" s="6"/>
      <c r="S129" s="6" t="str">
        <f aca="false">IFERROR(__xludf.dummyfunction("""COMPUTED_VALUE"""),"家具家電なし社宅")</f>
        <v>家具家電なし社宅</v>
      </c>
      <c r="T129" s="6" t="str">
        <f aca="false">IFERROR(__xludf.dummyfunction("""COMPUTED_VALUE"""),"利用する")</f>
        <v>利用する</v>
      </c>
      <c r="U129" s="6" t="str">
        <f aca="false">IFERROR(__xludf.dummyfunction("""COMPUTED_VALUE"""),"冷凍冷蔵庫2ドア・80L
全自動洗濯機
電子レンジ")</f>
        <v>冷凍冷蔵庫2ドア・80L
全自動洗濯機
電子レンジ</v>
      </c>
      <c r="V129" s="6" t="str">
        <f aca="false">IFERROR(__xludf.dummyfunction("""COMPUTED_VALUE"""),"徒歩, 電車, バス")</f>
        <v>徒歩, 電車, バス</v>
      </c>
      <c r="W129" s="6"/>
      <c r="X129" s="6" t="str">
        <f aca="false">IFERROR(__xludf.dummyfunction("""COMPUTED_VALUE"""),"実家")</f>
        <v>実家</v>
      </c>
      <c r="Y129" s="6"/>
      <c r="Z129" s="6" t="str">
        <f aca="false">IFERROR(__xludf.dummyfunction("""COMPUTED_VALUE"""),"希望しない")</f>
        <v>希望しない</v>
      </c>
      <c r="AA129" s="6" t="str">
        <f aca="false">IFERROR(__xludf.dummyfunction("""COMPUTED_VALUE"""),"単身")</f>
        <v>単身</v>
      </c>
      <c r="AB129" s="6"/>
      <c r="AC129" s="6"/>
      <c r="AD129" s="6" t="str">
        <f aca="false">IFERROR(__xludf.dummyfunction("""COMPUTED_VALUE"""),"エアコン設置済みの物件を希望します")</f>
        <v>エアコン設置済みの物件を希望します</v>
      </c>
      <c r="AE129" s="6" t="str">
        <f aca="false">IFERROR(__xludf.dummyfunction("""COMPUTED_VALUE"""),"確認しました。")</f>
        <v>確認しました。</v>
      </c>
      <c r="AF129" s="6" t="str">
        <f aca="false">IFERROR(__xludf.dummyfunction("""COMPUTED_VALUE"""),"社宅基準の内容について確認しました")</f>
        <v>社宅基準の内容について確認しました</v>
      </c>
      <c r="AG129" s="6" t="str">
        <f aca="false">IFERROR(__xludf.dummyfunction("""COMPUTED_VALUE"""),"入居のしおりの内容についてご確認しました")</f>
        <v>入居のしおりの内容についてご確認しました</v>
      </c>
      <c r="AH129" s="6" t="str">
        <f aca="false">IFERROR(__xludf.dummyfunction("""COMPUTED_VALUE"""),"確認しました")</f>
        <v>確認しました</v>
      </c>
      <c r="AI129" s="6"/>
      <c r="AJ129" s="6" t="str">
        <v/>
      </c>
      <c r="AK129" s="6" t="str">
        <v/>
      </c>
      <c r="AL129" s="6" t="str">
        <v/>
      </c>
      <c r="AM129" s="6" t="str">
        <v/>
      </c>
      <c r="AN129" s="6" t="n">
        <f aca="false">FALSE()</f>
        <v>0</v>
      </c>
    </row>
    <row r="130" customFormat="false" ht="52.5" hidden="false" customHeight="true" outlineLevel="0" collapsed="false">
      <c r="A130" s="6" t="str">
        <f aca="false">IFERROR(__xludf.dummyfunction("""COMPUTED_VALUE"""),"2026/02/17 15:16:22")</f>
        <v>2026/02/17 15:16:22</v>
      </c>
      <c r="B130" s="6"/>
      <c r="C130" s="6" t="str">
        <f aca="false">IFERROR(__xludf.dummyfunction("""COMPUTED_VALUE"""),"70094")</f>
        <v>70094</v>
      </c>
      <c r="D130" s="6"/>
      <c r="E130" s="6"/>
      <c r="F130" s="6"/>
      <c r="G130" s="6" t="str">
        <f aca="false">IFERROR(__xludf.dummyfunction("""COMPUTED_VALUE"""),"2026/05/03")</f>
        <v>2026/05/03</v>
      </c>
      <c r="H130" s="6" t="str">
        <f aca="false">IFERROR(__xludf.dummyfunction("""COMPUTED_VALUE"""),"必要")</f>
        <v>必要</v>
      </c>
      <c r="I130" s="6" t="str">
        <f aca="false">IFERROR(__xludf.dummyfunction("""COMPUTED_VALUE"""),"男性")</f>
        <v>男性</v>
      </c>
      <c r="J130" s="6" t="str">
        <f aca="false">IFERROR(__xludf.dummyfunction("""COMPUTED_VALUE"""),"スリランカー")</f>
        <v>スリランカー</v>
      </c>
      <c r="K130" s="6" t="str">
        <f aca="false">IFERROR(__xludf.dummyfunction("""COMPUTED_VALUE"""),"8")</f>
        <v>8</v>
      </c>
      <c r="L130" s="6" t="str">
        <f aca="false">IFERROR(__xludf.dummyfunction("""COMPUTED_VALUE"""),"冷蔵庫(単身用2ドア)，
洗濯機:60cm x 60cm x 100cm
電子レンジ :30cm x 45cm x 30cm
テレビ :24インチ
掃除機 :30cm x 15cm x 150cm
扇風機2個:40cm x 30cm x 80cm")</f>
        <v>冷蔵庫(単身用2ドア)，
洗濯機:60cm x 60cm x 100cm
電子レンジ :30cm x 45cm x 30cm
テレビ :24インチ
掃除機 :30cm x 15cm x 150cm
扇風機2個:40cm x 30cm x 80cm</v>
      </c>
      <c r="M130" s="6" t="str">
        <f aca="false">IFERROR(__xludf.dummyfunction("""COMPUTED_VALUE"""),"洋ダンス : 1個60cm x 80cm x 40cm
ベッド :1個シングル
カラーBOX :2個40cm x 60cm x 30cm
テーブル :100cm x 150cm x 100cm
衣装ケース :3個40cm x 70cm x 20cm
布団:3個100cm x 200cm x 10cm
ストーブ:60cm x 20cm x 60cm
コタツ:60cm x 80cm x 40cm")</f>
        <v>洋ダンス : 1個60cm x 80cm x 40cm
ベッド :1個シングル
カラーBOX :2個40cm x 60cm x 30cm
テーブル :100cm x 150cm x 100cm
衣装ケース :3個40cm x 70cm x 20cm
布団:3個100cm x 200cm x 10cm
ストーブ:60cm x 20cm x 60cm
コタツ:60cm x 80cm x 40cm</v>
      </c>
      <c r="N130" s="6" t="str">
        <f aca="false">IFERROR(__xludf.dummyfunction("""COMPUTED_VALUE"""),"自転車")</f>
        <v>自転車</v>
      </c>
      <c r="O130" s="6" t="str">
        <f aca="false">IFERROR(__xludf.dummyfunction("""COMPUTED_VALUE"""),"不要")</f>
        <v>不要</v>
      </c>
      <c r="P130" s="6"/>
      <c r="Q130" s="6"/>
      <c r="R130" s="6"/>
      <c r="S130" s="6" t="str">
        <f aca="false">IFERROR(__xludf.dummyfunction("""COMPUTED_VALUE"""),"家具家電なし社宅")</f>
        <v>家具家電なし社宅</v>
      </c>
      <c r="T130" s="6" t="str">
        <f aca="false">IFERROR(__xludf.dummyfunction("""COMPUTED_VALUE"""),"利用しない")</f>
        <v>利用しない</v>
      </c>
      <c r="U130" s="6"/>
      <c r="V130" s="6" t="str">
        <f aca="false">IFERROR(__xludf.dummyfunction("""COMPUTED_VALUE"""),"徒歩, 自転車")</f>
        <v>徒歩, 自転車</v>
      </c>
      <c r="W130" s="6"/>
      <c r="X130" s="6" t="str">
        <f aca="false">IFERROR(__xludf.dummyfunction("""COMPUTED_VALUE"""),"ご自身で契約中の物件")</f>
        <v>ご自身で契約中の物件</v>
      </c>
      <c r="Y130" s="6"/>
      <c r="Z130" s="6" t="str">
        <f aca="false">IFERROR(__xludf.dummyfunction("""COMPUTED_VALUE"""),"希望する")</f>
        <v>希望する</v>
      </c>
      <c r="AA130" s="6" t="str">
        <f aca="false">IFERROR(__xludf.dummyfunction("""COMPUTED_VALUE"""),"単身")</f>
        <v>単身</v>
      </c>
      <c r="AB130" s="6"/>
      <c r="AC130" s="6"/>
      <c r="AD130" s="6"/>
      <c r="AE130" s="6" t="str">
        <f aca="false">IFERROR(__xludf.dummyfunction("""COMPUTED_VALUE"""),"確認しました。")</f>
        <v>確認しました。</v>
      </c>
      <c r="AF130" s="6" t="str">
        <f aca="false">IFERROR(__xludf.dummyfunction("""COMPUTED_VALUE"""),"社宅基準の内容について確認しました")</f>
        <v>社宅基準の内容について確認しました</v>
      </c>
      <c r="AG130" s="6" t="str">
        <f aca="false">IFERROR(__xludf.dummyfunction("""COMPUTED_VALUE"""),"入居のしおりの内容についてご確認しました")</f>
        <v>入居のしおりの内容についてご確認しました</v>
      </c>
      <c r="AH130" s="6" t="str">
        <f aca="false">IFERROR(__xludf.dummyfunction("""COMPUTED_VALUE"""),"確認しました")</f>
        <v>確認しました</v>
      </c>
      <c r="AI130" s="6"/>
      <c r="AJ130" s="6" t="str">
        <v/>
      </c>
      <c r="AK130" s="6" t="str">
        <v/>
      </c>
      <c r="AL130" s="6" t="str">
        <v/>
      </c>
      <c r="AM130" s="6" t="str">
        <v/>
      </c>
      <c r="AN130" s="6" t="n">
        <f aca="false">FALSE()</f>
        <v>0</v>
      </c>
    </row>
    <row r="131" customFormat="false" ht="52.5" hidden="false" customHeight="true" outlineLevel="0" collapsed="false">
      <c r="A131" s="6" t="str">
        <f aca="false">IFERROR(__xludf.dummyfunction("""COMPUTED_VALUE"""),"2026/02/17 15:21:00")</f>
        <v>2026/02/17 15:21:00</v>
      </c>
      <c r="B131" s="6"/>
      <c r="C131" s="6" t="str">
        <f aca="false">IFERROR(__xludf.dummyfunction("""COMPUTED_VALUE"""),"70100")</f>
        <v>70100</v>
      </c>
      <c r="D131" s="6"/>
      <c r="E131" s="6"/>
      <c r="F131" s="6"/>
      <c r="G131" s="6" t="str">
        <f aca="false">IFERROR(__xludf.dummyfunction("""COMPUTED_VALUE"""),"2026/03/18")</f>
        <v>2026/03/18</v>
      </c>
      <c r="H131" s="6" t="str">
        <f aca="false">IFERROR(__xludf.dummyfunction("""COMPUTED_VALUE"""),"必要")</f>
        <v>必要</v>
      </c>
      <c r="I131" s="6" t="str">
        <f aca="false">IFERROR(__xludf.dummyfunction("""COMPUTED_VALUE"""),"男性")</f>
        <v>男性</v>
      </c>
      <c r="J131" s="6" t="str">
        <f aca="false">IFERROR(__xludf.dummyfunction("""COMPUTED_VALUE"""),"日本")</f>
        <v>日本</v>
      </c>
      <c r="K131" s="6" t="str">
        <f aca="false">IFERROR(__xludf.dummyfunction("""COMPUTED_VALUE"""),"10")</f>
        <v>10</v>
      </c>
      <c r="L131" s="6" t="str">
        <f aca="false">IFERROR(__xludf.dummyfunction("""COMPUTED_VALUE"""),"55インチテレビ")</f>
        <v>55インチテレビ</v>
      </c>
      <c r="M131" s="6" t="str">
        <f aca="false">IFERROR(__xludf.dummyfunction("""COMPUTED_VALUE"""),"テレビ台　1500mm ×　400mm ×　350mm")</f>
        <v>テレビ台　1500mm ×　400mm ×　350mm</v>
      </c>
      <c r="N131" s="6"/>
      <c r="O131" s="6" t="str">
        <f aca="false">IFERROR(__xludf.dummyfunction("""COMPUTED_VALUE"""),"必要")</f>
        <v>必要</v>
      </c>
      <c r="P131" s="6" t="str">
        <f aca="false">IFERROR(__xludf.dummyfunction("""COMPUTED_VALUE"""),"プロボックス")</f>
        <v>プロボックス</v>
      </c>
      <c r="Q131" s="6" t="str">
        <f aca="false">IFERROR(__xludf.dummyfunction("""COMPUTED_VALUE"""),"そ37-98")</f>
        <v>そ37-98</v>
      </c>
      <c r="R131" s="6" t="str">
        <f aca="false">IFERROR(__xludf.dummyfunction("""COMPUTED_VALUE"""),"ゴールド")</f>
        <v>ゴールド</v>
      </c>
      <c r="S131" s="6" t="str">
        <f aca="false">IFERROR(__xludf.dummyfunction("""COMPUTED_VALUE"""),"家具家電なし社宅")</f>
        <v>家具家電なし社宅</v>
      </c>
      <c r="T131" s="6" t="str">
        <f aca="false">IFERROR(__xludf.dummyfunction("""COMPUTED_VALUE"""),"利用しない")</f>
        <v>利用しない</v>
      </c>
      <c r="U131" s="6"/>
      <c r="V131" s="6" t="str">
        <f aca="false">IFERROR(__xludf.dummyfunction("""COMPUTED_VALUE"""),"自動車, 自転車")</f>
        <v>自動車, 自転車</v>
      </c>
      <c r="W131" s="6"/>
      <c r="X131" s="6" t="str">
        <f aca="false">IFERROR(__xludf.dummyfunction("""COMPUTED_VALUE"""),"ご自身で契約中の物件")</f>
        <v>ご自身で契約中の物件</v>
      </c>
      <c r="Y131" s="6"/>
      <c r="Z131" s="6" t="str">
        <f aca="false">IFERROR(__xludf.dummyfunction("""COMPUTED_VALUE"""),"希望しない")</f>
        <v>希望しない</v>
      </c>
      <c r="AA131" s="6" t="str">
        <f aca="false">IFERROR(__xludf.dummyfunction("""COMPUTED_VALUE"""),"単身")</f>
        <v>単身</v>
      </c>
      <c r="AB131" s="6"/>
      <c r="AC131" s="6"/>
      <c r="AD131" s="6" t="str">
        <f aca="false">IFERROR(__xludf.dummyfunction("""COMPUTED_VALUE"""),"比較検討したいため、紹介物件は多くお願いします")</f>
        <v>比較検討したいため、紹介物件は多くお願いします</v>
      </c>
      <c r="AE131" s="6" t="str">
        <f aca="false">IFERROR(__xludf.dummyfunction("""COMPUTED_VALUE"""),"確認しました。")</f>
        <v>確認しました。</v>
      </c>
      <c r="AF131" s="6" t="str">
        <f aca="false">IFERROR(__xludf.dummyfunction("""COMPUTED_VALUE"""),"社宅基準の内容について確認しました")</f>
        <v>社宅基準の内容について確認しました</v>
      </c>
      <c r="AG131" s="6" t="str">
        <f aca="false">IFERROR(__xludf.dummyfunction("""COMPUTED_VALUE"""),"入居のしおりの内容についてご確認しました")</f>
        <v>入居のしおりの内容についてご確認しました</v>
      </c>
      <c r="AH131" s="6" t="str">
        <f aca="false">IFERROR(__xludf.dummyfunction("""COMPUTED_VALUE"""),"確認しました")</f>
        <v>確認しました</v>
      </c>
      <c r="AI131" s="6"/>
      <c r="AJ131" s="6" t="str">
        <v/>
      </c>
      <c r="AK131" s="6" t="str">
        <v/>
      </c>
      <c r="AL131" s="6" t="str">
        <v/>
      </c>
      <c r="AM131" s="6" t="str">
        <v/>
      </c>
      <c r="AN131" s="6" t="n">
        <f aca="false">FALSE()</f>
        <v>0</v>
      </c>
    </row>
    <row r="132" customFormat="false" ht="52.5" hidden="false" customHeight="true" outlineLevel="0" collapsed="false">
      <c r="A132" s="6" t="str">
        <f aca="false">IFERROR(__xludf.dummyfunction("""COMPUTED_VALUE"""),"2026/02/17 16:20:52")</f>
        <v>2026/02/17 16:20:52</v>
      </c>
      <c r="B132" s="6"/>
      <c r="C132" s="6" t="str">
        <f aca="false">IFERROR(__xludf.dummyfunction("""COMPUTED_VALUE"""),"70062")</f>
        <v>70062</v>
      </c>
      <c r="D132" s="6"/>
      <c r="E132" s="6"/>
      <c r="F132" s="6"/>
      <c r="G132" s="6" t="str">
        <f aca="false">IFERROR(__xludf.dummyfunction("""COMPUTED_VALUE"""),"2026/02/27")</f>
        <v>2026/02/27</v>
      </c>
      <c r="H132" s="6" t="str">
        <f aca="false">IFERROR(__xludf.dummyfunction("""COMPUTED_VALUE"""),"必要")</f>
        <v>必要</v>
      </c>
      <c r="I132" s="6" t="str">
        <f aca="false">IFERROR(__xludf.dummyfunction("""COMPUTED_VALUE"""),"男性")</f>
        <v>男性</v>
      </c>
      <c r="J132" s="6" t="str">
        <f aca="false">IFERROR(__xludf.dummyfunction("""COMPUTED_VALUE"""),"日本")</f>
        <v>日本</v>
      </c>
      <c r="K132" s="6" t="str">
        <f aca="false">IFERROR(__xludf.dummyfunction("""COMPUTED_VALUE"""),"7")</f>
        <v>7</v>
      </c>
      <c r="L132" s="6" t="str">
        <f aca="false">IFERROR(__xludf.dummyfunction("""COMPUTED_VALUE"""),"PC モニター3台 電子レンジ")</f>
        <v>PC モニター3台 電子レンジ</v>
      </c>
      <c r="M132" s="6" t="str">
        <f aca="false">IFERROR(__xludf.dummyfunction("""COMPUTED_VALUE"""),"机、服収納棚")</f>
        <v>机、服収納棚</v>
      </c>
      <c r="N132" s="6"/>
      <c r="O132" s="6" t="str">
        <f aca="false">IFERROR(__xludf.dummyfunction("""COMPUTED_VALUE"""),"不要")</f>
        <v>不要</v>
      </c>
      <c r="P132" s="6"/>
      <c r="Q132" s="6"/>
      <c r="R132" s="6"/>
      <c r="S132" s="6" t="str">
        <f aca="false">IFERROR(__xludf.dummyfunction("""COMPUTED_VALUE"""),"家具家電なし社宅")</f>
        <v>家具家電なし社宅</v>
      </c>
      <c r="T132" s="6" t="str">
        <f aca="false">IFERROR(__xludf.dummyfunction("""COMPUTED_VALUE"""),"利用する")</f>
        <v>利用する</v>
      </c>
      <c r="U132" s="6" t="str">
        <f aca="false">IFERROR(__xludf.dummyfunction("""COMPUTED_VALUE"""),"寝具一式、ベッド、ベッド用マットレス、炊飯器、こたつ台、こたつ布団、全自動洗濯機、冷凍冷蔵庫170l、テレビ台32インチ用")</f>
        <v>寝具一式、ベッド、ベッド用マットレス、炊飯器、こたつ台、こたつ布団、全自動洗濯機、冷凍冷蔵庫170l、テレビ台32インチ用</v>
      </c>
      <c r="V132" s="6" t="str">
        <f aca="false">IFERROR(__xludf.dummyfunction("""COMPUTED_VALUE"""),"電車")</f>
        <v>電車</v>
      </c>
      <c r="W132" s="6"/>
      <c r="X132" s="6" t="str">
        <f aca="false">IFERROR(__xludf.dummyfunction("""COMPUTED_VALUE"""),"株式会社ビーネックステクノロジーズの社宅")</f>
        <v>株式会社ビーネックステクノロジーズの社宅</v>
      </c>
      <c r="Y132" s="6" t="str">
        <f aca="false">IFERROR(__xludf.dummyfunction("""COMPUTED_VALUE"""),"引継希望")</f>
        <v>引継希望</v>
      </c>
      <c r="Z132" s="6" t="str">
        <f aca="false">IFERROR(__xludf.dummyfunction("""COMPUTED_VALUE"""),"希望する")</f>
        <v>希望する</v>
      </c>
      <c r="AA132" s="6" t="str">
        <f aca="false">IFERROR(__xludf.dummyfunction("""COMPUTED_VALUE"""),"単身")</f>
        <v>単身</v>
      </c>
      <c r="AB132" s="6"/>
      <c r="AC132" s="6"/>
      <c r="AD132" s="6" t="str">
        <f aca="false">IFERROR(__xludf.dummyfunction("""COMPUTED_VALUE"""),"鉄筋コンクリートを希望します")</f>
        <v>鉄筋コンクリートを希望します</v>
      </c>
      <c r="AE132" s="6" t="str">
        <f aca="false">IFERROR(__xludf.dummyfunction("""COMPUTED_VALUE"""),"確認しました。")</f>
        <v>確認しました。</v>
      </c>
      <c r="AF132" s="6" t="str">
        <f aca="false">IFERROR(__xludf.dummyfunction("""COMPUTED_VALUE"""),"社宅基準の内容について確認しました")</f>
        <v>社宅基準の内容について確認しました</v>
      </c>
      <c r="AG132" s="6" t="str">
        <f aca="false">IFERROR(__xludf.dummyfunction("""COMPUTED_VALUE"""),"入居のしおりの内容についてご確認しました")</f>
        <v>入居のしおりの内容についてご確認しました</v>
      </c>
      <c r="AH132" s="6" t="str">
        <f aca="false">IFERROR(__xludf.dummyfunction("""COMPUTED_VALUE"""),"確認しました")</f>
        <v>確認しました</v>
      </c>
      <c r="AI132" s="6"/>
      <c r="AJ132" s="6" t="str">
        <v/>
      </c>
      <c r="AK132" s="6" t="str">
        <v/>
      </c>
      <c r="AL132" s="6" t="str">
        <v/>
      </c>
      <c r="AM132" s="6" t="str">
        <v/>
      </c>
      <c r="AN132" s="6" t="n">
        <f aca="false">TRUE()</f>
        <v>1</v>
      </c>
    </row>
    <row r="133" customFormat="false" ht="52.5" hidden="false" customHeight="true" outlineLevel="0" collapsed="false">
      <c r="A133" s="6" t="str">
        <f aca="false">IFERROR(__xludf.dummyfunction("""COMPUTED_VALUE"""),"2026/02/17 17:36:12")</f>
        <v>2026/02/17 17:36:12</v>
      </c>
      <c r="B133" s="6"/>
      <c r="C133" s="6" t="str">
        <f aca="false">IFERROR(__xludf.dummyfunction("""COMPUTED_VALUE"""),"70038")</f>
        <v>70038</v>
      </c>
      <c r="D133" s="6"/>
      <c r="E133" s="6"/>
      <c r="F133" s="6"/>
      <c r="G133" s="6" t="str">
        <f aca="false">IFERROR(__xludf.dummyfunction("""COMPUTED_VALUE"""),"2026/03/25")</f>
        <v>2026/03/25</v>
      </c>
      <c r="H133" s="6" t="str">
        <f aca="false">IFERROR(__xludf.dummyfunction("""COMPUTED_VALUE"""),"必要")</f>
        <v>必要</v>
      </c>
      <c r="I133" s="6" t="str">
        <f aca="false">IFERROR(__xludf.dummyfunction("""COMPUTED_VALUE"""),"男性")</f>
        <v>男性</v>
      </c>
      <c r="J133" s="6" t="str">
        <f aca="false">IFERROR(__xludf.dummyfunction("""COMPUTED_VALUE"""),"日本")</f>
        <v>日本</v>
      </c>
      <c r="K133" s="6" t="str">
        <f aca="false">IFERROR(__xludf.dummyfunction("""COMPUTED_VALUE"""),"30")</f>
        <v>30</v>
      </c>
      <c r="L133" s="6" t="str">
        <f aca="false">IFERROR(__xludf.dummyfunction("""COMPUTED_VALUE"""),"冷蔵庫(単身用)、縦型洗濯機、電子レンジ、テレビ、炊飯器、電気ケトル、ドライヤー、延長コード、掃除機、ゲーム機")</f>
        <v>冷蔵庫(単身用)、縦型洗濯機、電子レンジ、テレビ、炊飯器、電気ケトル、ドライヤー、延長コード、掃除機、ゲーム機</v>
      </c>
      <c r="M133" s="6" t="str">
        <f aca="false">IFERROR(__xludf.dummyfunction("""COMPUTED_VALUE"""),"テーブル1(幅900×奥行450×高さ320㎜)、テーブル2(幅600×奥行570×高さ340㎜)、棚(幅400×奥行300×高さ1000㎜)、物干しスタンド(解体可能)、布団(一人)、鏡(幅250×高さ1000mm)")</f>
        <v>テーブル1(幅900×奥行450×高さ320㎜)、テーブル2(幅600×奥行570×高さ340㎜)、棚(幅400×奥行300×高さ1000㎜)、物干しスタンド(解体可能)、布団(一人)、鏡(幅250×高さ1000mm)</v>
      </c>
      <c r="N133" s="6"/>
      <c r="O133" s="6" t="str">
        <f aca="false">IFERROR(__xludf.dummyfunction("""COMPUTED_VALUE"""),"不要")</f>
        <v>不要</v>
      </c>
      <c r="P133" s="6"/>
      <c r="Q133" s="6"/>
      <c r="R133" s="6"/>
      <c r="S133" s="6" t="str">
        <f aca="false">IFERROR(__xludf.dummyfunction("""COMPUTED_VALUE"""),"家具家電なし社宅")</f>
        <v>家具家電なし社宅</v>
      </c>
      <c r="T133" s="6" t="str">
        <f aca="false">IFERROR(__xludf.dummyfunction("""COMPUTED_VALUE"""),"利用しない")</f>
        <v>利用しない</v>
      </c>
      <c r="U133" s="6"/>
      <c r="V133" s="6" t="str">
        <f aca="false">IFERROR(__xludf.dummyfunction("""COMPUTED_VALUE"""),"徒歩, 社用バス")</f>
        <v>徒歩, 社用バス</v>
      </c>
      <c r="W133" s="6"/>
      <c r="X133" s="6" t="str">
        <f aca="false">IFERROR(__xludf.dummyfunction("""COMPUTED_VALUE"""),"ご自身で契約中の物件")</f>
        <v>ご自身で契約中の物件</v>
      </c>
      <c r="Y133" s="6"/>
      <c r="Z133" s="6" t="str">
        <f aca="false">IFERROR(__xludf.dummyfunction("""COMPUTED_VALUE"""),"希望する")</f>
        <v>希望する</v>
      </c>
      <c r="AA133" s="6" t="str">
        <f aca="false">IFERROR(__xludf.dummyfunction("""COMPUTED_VALUE"""),"単身")</f>
        <v>単身</v>
      </c>
      <c r="AB133" s="6"/>
      <c r="AC133" s="6"/>
      <c r="AD133" s="6" t="str">
        <f aca="false">IFERROR(__xludf.dummyfunction("""COMPUTED_VALUE"""),"大和小泉駅周辺での物件を希望しておりますが、可能であれば王寺駅周辺の物件も検討対象としてご紹介いただけますようお願い申し上げます。")</f>
        <v>大和小泉駅周辺での物件を希望しておりますが、可能であれば王寺駅周辺の物件も検討対象としてご紹介いただけますようお願い申し上げます。</v>
      </c>
      <c r="AE133" s="6" t="str">
        <f aca="false">IFERROR(__xludf.dummyfunction("""COMPUTED_VALUE"""),"確認しました。")</f>
        <v>確認しました。</v>
      </c>
      <c r="AF133" s="6" t="str">
        <f aca="false">IFERROR(__xludf.dummyfunction("""COMPUTED_VALUE"""),"社宅基準の内容について確認しました")</f>
        <v>社宅基準の内容について確認しました</v>
      </c>
      <c r="AG133" s="6" t="str">
        <f aca="false">IFERROR(__xludf.dummyfunction("""COMPUTED_VALUE"""),"入居のしおりの内容についてご確認しました")</f>
        <v>入居のしおりの内容についてご確認しました</v>
      </c>
      <c r="AH133" s="6" t="str">
        <f aca="false">IFERROR(__xludf.dummyfunction("""COMPUTED_VALUE"""),"確認しました")</f>
        <v>確認しました</v>
      </c>
      <c r="AI133" s="6"/>
      <c r="AJ133" s="6" t="str">
        <v/>
      </c>
      <c r="AK133" s="6" t="str">
        <v/>
      </c>
      <c r="AL133" s="6" t="str">
        <v/>
      </c>
      <c r="AM133" s="6" t="str">
        <v/>
      </c>
      <c r="AN133" s="6" t="n">
        <f aca="false">FALSE()</f>
        <v>0</v>
      </c>
    </row>
    <row r="134" customFormat="false" ht="52.5" hidden="false" customHeight="true" outlineLevel="0" collapsed="false">
      <c r="A134" s="6" t="str">
        <f aca="false">IFERROR(__xludf.dummyfunction("""COMPUTED_VALUE"""),"2026/02/17 18:12:03")</f>
        <v>2026/02/17 18:12:03</v>
      </c>
      <c r="B134" s="6"/>
      <c r="C134" s="6" t="str">
        <f aca="false">IFERROR(__xludf.dummyfunction("""COMPUTED_VALUE"""),"70118")</f>
        <v>70118</v>
      </c>
      <c r="D134" s="6"/>
      <c r="E134" s="6"/>
      <c r="F134" s="6"/>
      <c r="G134" s="6" t="str">
        <f aca="false">IFERROR(__xludf.dummyfunction("""COMPUTED_VALUE"""),"2026/03/19")</f>
        <v>2026/03/19</v>
      </c>
      <c r="H134" s="6" t="str">
        <f aca="false">IFERROR(__xludf.dummyfunction("""COMPUTED_VALUE"""),"必要")</f>
        <v>必要</v>
      </c>
      <c r="I134" s="6" t="str">
        <f aca="false">IFERROR(__xludf.dummyfunction("""COMPUTED_VALUE"""),"男性")</f>
        <v>男性</v>
      </c>
      <c r="J134" s="6" t="str">
        <f aca="false">IFERROR(__xludf.dummyfunction("""COMPUTED_VALUE"""),"日本")</f>
        <v>日本</v>
      </c>
      <c r="K134" s="6" t="str">
        <f aca="false">IFERROR(__xludf.dummyfunction("""COMPUTED_VALUE"""),"15")</f>
        <v>15</v>
      </c>
      <c r="L134" s="6" t="str">
        <f aca="false">IFERROR(__xludf.dummyfunction("""COMPUTED_VALUE"""),"冷蔵庫(単身用)、電子レンジ、洗濯機、オーブントースター、炊飯器")</f>
        <v>冷蔵庫(単身用)、電子レンジ、洗濯機、オーブントースター、炊飯器</v>
      </c>
      <c r="M134" s="6" t="str">
        <f aca="false">IFERROR(__xludf.dummyfunction("""COMPUTED_VALUE"""),"机(110×55×45)、棚(120×43×74)、ベッド(シングル)、")</f>
        <v>机(110×55×45)、棚(120×43×74)、ベッド(シングル)、</v>
      </c>
      <c r="N134" s="6" t="str">
        <f aca="false">IFERROR(__xludf.dummyfunction("""COMPUTED_VALUE"""),"自転車、筋トレベンチ、物干しラック、縦鏡")</f>
        <v>自転車、筋トレベンチ、物干しラック、縦鏡</v>
      </c>
      <c r="O134" s="6" t="str">
        <f aca="false">IFERROR(__xludf.dummyfunction("""COMPUTED_VALUE"""),"不要")</f>
        <v>不要</v>
      </c>
      <c r="P134" s="6"/>
      <c r="Q134" s="6"/>
      <c r="R134" s="6"/>
      <c r="S134" s="6" t="str">
        <f aca="false">IFERROR(__xludf.dummyfunction("""COMPUTED_VALUE"""),"家具家電なし社宅")</f>
        <v>家具家電なし社宅</v>
      </c>
      <c r="T134" s="6" t="str">
        <f aca="false">IFERROR(__xludf.dummyfunction("""COMPUTED_VALUE"""),"利用しない")</f>
        <v>利用しない</v>
      </c>
      <c r="U134" s="6"/>
      <c r="V134" s="6" t="str">
        <f aca="false">IFERROR(__xludf.dummyfunction("""COMPUTED_VALUE"""),"徒歩, 自転車, 電車")</f>
        <v>徒歩, 自転車, 電車</v>
      </c>
      <c r="W134" s="6"/>
      <c r="X134" s="6" t="str">
        <f aca="false">IFERROR(__xludf.dummyfunction("""COMPUTED_VALUE"""),"ご自身で契約中の物件")</f>
        <v>ご自身で契約中の物件</v>
      </c>
      <c r="Y134" s="6"/>
      <c r="Z134" s="6" t="str">
        <f aca="false">IFERROR(__xludf.dummyfunction("""COMPUTED_VALUE"""),"希望する")</f>
        <v>希望する</v>
      </c>
      <c r="AA134" s="6" t="str">
        <f aca="false">IFERROR(__xludf.dummyfunction("""COMPUTED_VALUE"""),"単身")</f>
        <v>単身</v>
      </c>
      <c r="AB134" s="6"/>
      <c r="AC134" s="6"/>
      <c r="AD134" s="6"/>
      <c r="AE134" s="6" t="str">
        <f aca="false">IFERROR(__xludf.dummyfunction("""COMPUTED_VALUE"""),"確認しました。")</f>
        <v>確認しました。</v>
      </c>
      <c r="AF134" s="6" t="str">
        <f aca="false">IFERROR(__xludf.dummyfunction("""COMPUTED_VALUE"""),"社宅基準の内容について確認しました")</f>
        <v>社宅基準の内容について確認しました</v>
      </c>
      <c r="AG134" s="6" t="str">
        <f aca="false">IFERROR(__xludf.dummyfunction("""COMPUTED_VALUE"""),"入居のしおりの内容についてご確認しました")</f>
        <v>入居のしおりの内容についてご確認しました</v>
      </c>
      <c r="AH134" s="6" t="str">
        <f aca="false">IFERROR(__xludf.dummyfunction("""COMPUTED_VALUE"""),"確認しました")</f>
        <v>確認しました</v>
      </c>
      <c r="AI134" s="6"/>
      <c r="AJ134" s="6" t="str">
        <v/>
      </c>
      <c r="AK134" s="6" t="str">
        <v/>
      </c>
      <c r="AL134" s="6" t="str">
        <v/>
      </c>
      <c r="AM134" s="6" t="str">
        <v/>
      </c>
      <c r="AN134" s="6" t="n">
        <f aca="false">FALSE()</f>
        <v>0</v>
      </c>
    </row>
    <row r="135" customFormat="false" ht="52.5" hidden="false" customHeight="true" outlineLevel="0" collapsed="false">
      <c r="A135" s="6" t="str">
        <f aca="false">IFERROR(__xludf.dummyfunction("""COMPUTED_VALUE"""),"2026/02/17 18:28:26")</f>
        <v>2026/02/17 18:28:26</v>
      </c>
      <c r="B135" s="6"/>
      <c r="C135" s="6" t="str">
        <f aca="false">IFERROR(__xludf.dummyfunction("""COMPUTED_VALUE"""),"70122")</f>
        <v>70122</v>
      </c>
      <c r="D135" s="6"/>
      <c r="E135" s="6"/>
      <c r="F135" s="6"/>
      <c r="G135" s="6" t="str">
        <f aca="false">IFERROR(__xludf.dummyfunction("""COMPUTED_VALUE"""),"2026/02/22")</f>
        <v>2026/02/22</v>
      </c>
      <c r="H135" s="6" t="str">
        <f aca="false">IFERROR(__xludf.dummyfunction("""COMPUTED_VALUE"""),"必要")</f>
        <v>必要</v>
      </c>
      <c r="I135" s="6" t="str">
        <f aca="false">IFERROR(__xludf.dummyfunction("""COMPUTED_VALUE"""),"男性")</f>
        <v>男性</v>
      </c>
      <c r="J135" s="6" t="str">
        <f aca="false">IFERROR(__xludf.dummyfunction("""COMPUTED_VALUE"""),"日本")</f>
        <v>日本</v>
      </c>
      <c r="K135" s="6" t="str">
        <f aca="false">IFERROR(__xludf.dummyfunction("""COMPUTED_VALUE"""),"15")</f>
        <v>15</v>
      </c>
      <c r="L135" s="6" t="str">
        <f aca="false">IFERROR(__xludf.dummyfunction("""COMPUTED_VALUE"""),"電子レンジ、デスクトップPC（精密機器）、24インチモニター、24インチモニター")</f>
        <v>電子レンジ、デスクトップPC（精密機器）、24インチモニター、24インチモニター</v>
      </c>
      <c r="M135" s="6" t="str">
        <f aca="false">IFERROR(__xludf.dummyfunction("""COMPUTED_VALUE"""),"折りたたみ式ベッド（シングル）、マット、掛け布団、デスク（120.90.100）、イス")</f>
        <v>折りたたみ式ベッド（シングル）、マット、掛け布団、デスク（120.90.100）、イス</v>
      </c>
      <c r="N135" s="6"/>
      <c r="O135" s="6" t="str">
        <f aca="false">IFERROR(__xludf.dummyfunction("""COMPUTED_VALUE"""),"不要")</f>
        <v>不要</v>
      </c>
      <c r="P135" s="6"/>
      <c r="Q135" s="6"/>
      <c r="R135" s="6"/>
      <c r="S135" s="6" t="str">
        <f aca="false">IFERROR(__xludf.dummyfunction("""COMPUTED_VALUE"""),"家具家電なし社宅")</f>
        <v>家具家電なし社宅</v>
      </c>
      <c r="T135" s="6" t="str">
        <f aca="false">IFERROR(__xludf.dummyfunction("""COMPUTED_VALUE"""),"利用しない")</f>
        <v>利用しない</v>
      </c>
      <c r="U135" s="6"/>
      <c r="V135" s="6" t="str">
        <f aca="false">IFERROR(__xludf.dummyfunction("""COMPUTED_VALUE"""),"徒歩")</f>
        <v>徒歩</v>
      </c>
      <c r="W135" s="6"/>
      <c r="X135" s="6" t="str">
        <f aca="false">IFERROR(__xludf.dummyfunction("""COMPUTED_VALUE"""),"実家")</f>
        <v>実家</v>
      </c>
      <c r="Y135" s="6"/>
      <c r="Z135" s="6" t="str">
        <f aca="false">IFERROR(__xludf.dummyfunction("""COMPUTED_VALUE"""),"希望しない")</f>
        <v>希望しない</v>
      </c>
      <c r="AA135" s="6" t="str">
        <f aca="false">IFERROR(__xludf.dummyfunction("""COMPUTED_VALUE"""),"単身")</f>
        <v>単身</v>
      </c>
      <c r="AB135" s="6"/>
      <c r="AC135" s="6"/>
      <c r="AD135" s="6" t="str">
        <f aca="false">IFERROR(__xludf.dummyfunction("""COMPUTED_VALUE"""),"デスクトップPCは精密機器扱いで")</f>
        <v>デスクトップPCは精密機器扱いで</v>
      </c>
      <c r="AE135" s="6" t="str">
        <f aca="false">IFERROR(__xludf.dummyfunction("""COMPUTED_VALUE"""),"確認しました。")</f>
        <v>確認しました。</v>
      </c>
      <c r="AF135" s="6" t="str">
        <f aca="false">IFERROR(__xludf.dummyfunction("""COMPUTED_VALUE"""),"社宅基準の内容について確認しました")</f>
        <v>社宅基準の内容について確認しました</v>
      </c>
      <c r="AG135" s="6" t="str">
        <f aca="false">IFERROR(__xludf.dummyfunction("""COMPUTED_VALUE"""),"入居のしおりの内容についてご確認しました")</f>
        <v>入居のしおりの内容についてご確認しました</v>
      </c>
      <c r="AH135" s="6" t="str">
        <f aca="false">IFERROR(__xludf.dummyfunction("""COMPUTED_VALUE"""),"確認しました")</f>
        <v>確認しました</v>
      </c>
      <c r="AI135" s="6"/>
      <c r="AJ135" s="6" t="str">
        <v/>
      </c>
      <c r="AK135" s="6" t="str">
        <v/>
      </c>
      <c r="AL135" s="6" t="str">
        <v/>
      </c>
      <c r="AM135" s="6" t="str">
        <v/>
      </c>
      <c r="AN135" s="6" t="n">
        <f aca="false">FALSE()</f>
        <v>0</v>
      </c>
    </row>
    <row r="136" customFormat="false" ht="52.5" hidden="false" customHeight="true" outlineLevel="0" collapsed="false">
      <c r="A136" s="6" t="str">
        <f aca="false">IFERROR(__xludf.dummyfunction("""COMPUTED_VALUE"""),"2026/02/17 19:46:37")</f>
        <v>2026/02/17 19:46:37</v>
      </c>
      <c r="B136" s="6"/>
      <c r="C136" s="6" t="str">
        <f aca="false">IFERROR(__xludf.dummyfunction("""COMPUTED_VALUE"""),"70061")</f>
        <v>70061</v>
      </c>
      <c r="D136" s="6"/>
      <c r="E136" s="6"/>
      <c r="F136" s="6"/>
      <c r="G136" s="6" t="str">
        <f aca="false">IFERROR(__xludf.dummyfunction("""COMPUTED_VALUE"""),"2026/02/23")</f>
        <v>2026/02/23</v>
      </c>
      <c r="H136" s="6" t="str">
        <f aca="false">IFERROR(__xludf.dummyfunction("""COMPUTED_VALUE"""),"必要")</f>
        <v>必要</v>
      </c>
      <c r="I136" s="6" t="str">
        <f aca="false">IFERROR(__xludf.dummyfunction("""COMPUTED_VALUE"""),"男性")</f>
        <v>男性</v>
      </c>
      <c r="J136" s="6" t="str">
        <f aca="false">IFERROR(__xludf.dummyfunction("""COMPUTED_VALUE"""),"日本")</f>
        <v>日本</v>
      </c>
      <c r="K136" s="6" t="str">
        <f aca="false">IFERROR(__xludf.dummyfunction("""COMPUTED_VALUE"""),"10")</f>
        <v>10</v>
      </c>
      <c r="L136" s="6" t="str">
        <f aca="false">IFERROR(__xludf.dummyfunction("""COMPUTED_VALUE"""),"特になし")</f>
        <v>特になし</v>
      </c>
      <c r="M136" s="6" t="str">
        <f aca="false">IFERROR(__xludf.dummyfunction("""COMPUTED_VALUE"""),"ソファ2人がけ")</f>
        <v>ソファ2人がけ</v>
      </c>
      <c r="N136" s="6"/>
      <c r="O136" s="6" t="str">
        <f aca="false">IFERROR(__xludf.dummyfunction("""COMPUTED_VALUE"""),"不要")</f>
        <v>不要</v>
      </c>
      <c r="P136" s="6"/>
      <c r="Q136" s="6"/>
      <c r="R136" s="6"/>
      <c r="S136" s="6" t="str">
        <f aca="false">IFERROR(__xludf.dummyfunction("""COMPUTED_VALUE"""),"家具家電付き社宅")</f>
        <v>家具家電付き社宅</v>
      </c>
      <c r="T136" s="6" t="str">
        <f aca="false">IFERROR(__xludf.dummyfunction("""COMPUTED_VALUE"""),"利用する")</f>
        <v>利用する</v>
      </c>
      <c r="U136" s="6" t="str">
        <f aca="false">IFERROR(__xludf.dummyfunction("""COMPUTED_VALUE"""),"冷凍冷蔵庫80L  洗濯機 ガスコンロ2口 オーブンレンジ エアコン  湯沸かしポット")</f>
        <v>冷凍冷蔵庫80L  洗濯機 ガスコンロ2口 オーブンレンジ エアコン  湯沸かしポット</v>
      </c>
      <c r="V136" s="6" t="str">
        <f aca="false">IFERROR(__xludf.dummyfunction("""COMPUTED_VALUE"""),"徒歩, 電車")</f>
        <v>徒歩, 電車</v>
      </c>
      <c r="W136" s="6"/>
      <c r="X136" s="6" t="str">
        <f aca="false">IFERROR(__xludf.dummyfunction("""COMPUTED_VALUE"""),"実家")</f>
        <v>実家</v>
      </c>
      <c r="Y136" s="6"/>
      <c r="Z136" s="6" t="str">
        <f aca="false">IFERROR(__xludf.dummyfunction("""COMPUTED_VALUE"""),"希望しない")</f>
        <v>希望しない</v>
      </c>
      <c r="AA136" s="6" t="str">
        <f aca="false">IFERROR(__xludf.dummyfunction("""COMPUTED_VALUE"""),"単身")</f>
        <v>単身</v>
      </c>
      <c r="AB136" s="6"/>
      <c r="AC136" s="6"/>
      <c r="AD136" s="6" t="str">
        <f aca="false">IFERROR(__xludf.dummyfunction("""COMPUTED_VALUE"""),"インターネットのみこちらで契約予定の物があるので出来ればそれ以外のライフラインのみ開通をお願いしたいです。")</f>
        <v>インターネットのみこちらで契約予定の物があるので出来ればそれ以外のライフラインのみ開通をお願いしたいです。</v>
      </c>
      <c r="AE136" s="6" t="str">
        <f aca="false">IFERROR(__xludf.dummyfunction("""COMPUTED_VALUE"""),"確認しました。")</f>
        <v>確認しました。</v>
      </c>
      <c r="AF136" s="6" t="str">
        <f aca="false">IFERROR(__xludf.dummyfunction("""COMPUTED_VALUE"""),"社宅基準の内容について確認しました")</f>
        <v>社宅基準の内容について確認しました</v>
      </c>
      <c r="AG136" s="6" t="str">
        <f aca="false">IFERROR(__xludf.dummyfunction("""COMPUTED_VALUE"""),"入居のしおりの内容についてご確認しました")</f>
        <v>入居のしおりの内容についてご確認しました</v>
      </c>
      <c r="AH136" s="6" t="str">
        <f aca="false">IFERROR(__xludf.dummyfunction("""COMPUTED_VALUE"""),"確認しました")</f>
        <v>確認しました</v>
      </c>
      <c r="AI136" s="6"/>
      <c r="AJ136" s="6" t="str">
        <v/>
      </c>
      <c r="AK136" s="6" t="str">
        <v/>
      </c>
      <c r="AL136" s="6" t="str">
        <v/>
      </c>
      <c r="AM136" s="6" t="str">
        <v/>
      </c>
      <c r="AN136" s="6" t="n">
        <f aca="false">TRUE()</f>
        <v>1</v>
      </c>
    </row>
    <row r="137" customFormat="false" ht="52.5" hidden="false" customHeight="true" outlineLevel="0" collapsed="false">
      <c r="A137" s="6" t="str">
        <f aca="false">IFERROR(__xludf.dummyfunction("""COMPUTED_VALUE"""),"2026/02/17 22:03:13")</f>
        <v>2026/02/17 22:03:13</v>
      </c>
      <c r="B137" s="6"/>
      <c r="C137" s="6" t="str">
        <f aca="false">IFERROR(__xludf.dummyfunction("""COMPUTED_VALUE"""),"70049")</f>
        <v>70049</v>
      </c>
      <c r="D137" s="6"/>
      <c r="E137" s="6"/>
      <c r="F137" s="6"/>
      <c r="G137" s="6" t="str">
        <f aca="false">IFERROR(__xludf.dummyfunction("""COMPUTED_VALUE"""),"2026/03/27")</f>
        <v>2026/03/27</v>
      </c>
      <c r="H137" s="6" t="str">
        <f aca="false">IFERROR(__xludf.dummyfunction("""COMPUTED_VALUE"""),"必要")</f>
        <v>必要</v>
      </c>
      <c r="I137" s="6" t="str">
        <f aca="false">IFERROR(__xludf.dummyfunction("""COMPUTED_VALUE"""),"男性")</f>
        <v>男性</v>
      </c>
      <c r="J137" s="6" t="str">
        <f aca="false">IFERROR(__xludf.dummyfunction("""COMPUTED_VALUE"""),"日本")</f>
        <v>日本</v>
      </c>
      <c r="K137" s="6" t="str">
        <f aca="false">IFERROR(__xludf.dummyfunction("""COMPUTED_VALUE"""),"20")</f>
        <v>20</v>
      </c>
      <c r="L137" s="6" t="str">
        <f aca="false">IFERROR(__xludf.dummyfunction("""COMPUTED_VALUE"""),"パソコン　モニター2台　掃除機　ドライヤー
ストーブ　扇風機")</f>
        <v>パソコン　モニター2台　掃除機　ドライヤー
ストーブ　扇風機</v>
      </c>
      <c r="M137" s="6" t="str">
        <f aca="false">IFERROR(__xludf.dummyfunction("""COMPUTED_VALUE"""),"ベッドシングル")</f>
        <v>ベッドシングル</v>
      </c>
      <c r="N137" s="6" t="str">
        <f aca="false">IFERROR(__xludf.dummyfunction("""COMPUTED_VALUE"""),"自転車")</f>
        <v>自転車</v>
      </c>
      <c r="O137" s="6" t="str">
        <f aca="false">IFERROR(__xludf.dummyfunction("""COMPUTED_VALUE"""),"不要")</f>
        <v>不要</v>
      </c>
      <c r="P137" s="6"/>
      <c r="Q137" s="6"/>
      <c r="R137" s="6"/>
      <c r="S137" s="6" t="str">
        <f aca="false">IFERROR(__xludf.dummyfunction("""COMPUTED_VALUE"""),"家具家電なし社宅")</f>
        <v>家具家電なし社宅</v>
      </c>
      <c r="T137" s="6" t="str">
        <f aca="false">IFERROR(__xludf.dummyfunction("""COMPUTED_VALUE"""),"利用しない")</f>
        <v>利用しない</v>
      </c>
      <c r="U137" s="6"/>
      <c r="V137" s="6" t="str">
        <f aca="false">IFERROR(__xludf.dummyfunction("""COMPUTED_VALUE"""),"徒歩")</f>
        <v>徒歩</v>
      </c>
      <c r="W137" s="6"/>
      <c r="X137" s="6" t="str">
        <f aca="false">IFERROR(__xludf.dummyfunction("""COMPUTED_VALUE"""),"実家")</f>
        <v>実家</v>
      </c>
      <c r="Y137" s="6"/>
      <c r="Z137" s="6" t="str">
        <f aca="false">IFERROR(__xludf.dummyfunction("""COMPUTED_VALUE"""),"希望する")</f>
        <v>希望する</v>
      </c>
      <c r="AA137" s="6" t="str">
        <f aca="false">IFERROR(__xludf.dummyfunction("""COMPUTED_VALUE"""),"単身")</f>
        <v>単身</v>
      </c>
      <c r="AB137" s="6"/>
      <c r="AC137" s="6"/>
      <c r="AD137" s="6"/>
      <c r="AE137" s="6" t="str">
        <f aca="false">IFERROR(__xludf.dummyfunction("""COMPUTED_VALUE"""),"確認しました。")</f>
        <v>確認しました。</v>
      </c>
      <c r="AF137" s="6" t="str">
        <f aca="false">IFERROR(__xludf.dummyfunction("""COMPUTED_VALUE"""),"社宅基準の内容について確認しました")</f>
        <v>社宅基準の内容について確認しました</v>
      </c>
      <c r="AG137" s="6" t="str">
        <f aca="false">IFERROR(__xludf.dummyfunction("""COMPUTED_VALUE"""),"入居のしおりの内容についてご確認しました")</f>
        <v>入居のしおりの内容についてご確認しました</v>
      </c>
      <c r="AH137" s="6" t="str">
        <f aca="false">IFERROR(__xludf.dummyfunction("""COMPUTED_VALUE"""),"確認しました")</f>
        <v>確認しました</v>
      </c>
      <c r="AI137" s="6"/>
      <c r="AJ137" s="6" t="str">
        <v/>
      </c>
      <c r="AK137" s="6" t="str">
        <v/>
      </c>
      <c r="AL137" s="6" t="str">
        <v/>
      </c>
      <c r="AM137" s="6" t="str">
        <v/>
      </c>
      <c r="AN137" s="6" t="n">
        <f aca="false">TRUE()</f>
        <v>1</v>
      </c>
    </row>
    <row r="138" customFormat="false" ht="52.5" hidden="false" customHeight="true" outlineLevel="0" collapsed="false">
      <c r="A138" s="6" t="str">
        <f aca="false">IFERROR(__xludf.dummyfunction("""COMPUTED_VALUE"""),"2026/02/18 0:06:03")</f>
        <v>2026/02/18 0:06:03</v>
      </c>
      <c r="B138" s="6"/>
      <c r="C138" s="6" t="str">
        <f aca="false">IFERROR(__xludf.dummyfunction("""COMPUTED_VALUE"""),"70054")</f>
        <v>70054</v>
      </c>
      <c r="D138" s="6"/>
      <c r="E138" s="6"/>
      <c r="F138" s="6"/>
      <c r="G138" s="6" t="str">
        <f aca="false">IFERROR(__xludf.dummyfunction("""COMPUTED_VALUE"""),"2026/03/15")</f>
        <v>2026/03/15</v>
      </c>
      <c r="H138" s="6" t="str">
        <f aca="false">IFERROR(__xludf.dummyfunction("""COMPUTED_VALUE"""),"不要")</f>
        <v>不要</v>
      </c>
      <c r="I138" s="6" t="str">
        <f aca="false">IFERROR(__xludf.dummyfunction("""COMPUTED_VALUE"""),"男性")</f>
        <v>男性</v>
      </c>
      <c r="J138" s="6" t="str">
        <f aca="false">IFERROR(__xludf.dummyfunction("""COMPUTED_VALUE"""),"日本")</f>
        <v>日本</v>
      </c>
      <c r="K138" s="6"/>
      <c r="L138" s="6"/>
      <c r="M138" s="6"/>
      <c r="N138" s="6"/>
      <c r="O138" s="6" t="str">
        <f aca="false">IFERROR(__xludf.dummyfunction("""COMPUTED_VALUE"""),"不要")</f>
        <v>不要</v>
      </c>
      <c r="P138" s="6"/>
      <c r="Q138" s="6"/>
      <c r="R138" s="6"/>
      <c r="S138" s="6" t="str">
        <f aca="false">IFERROR(__xludf.dummyfunction("""COMPUTED_VALUE"""),"家具家電なし社宅")</f>
        <v>家具家電なし社宅</v>
      </c>
      <c r="T138" s="6" t="str">
        <f aca="false">IFERROR(__xludf.dummyfunction("""COMPUTED_VALUE"""),"利用しない")</f>
        <v>利用しない</v>
      </c>
      <c r="U138" s="6"/>
      <c r="V138" s="6" t="str">
        <f aca="false">IFERROR(__xludf.dummyfunction("""COMPUTED_VALUE"""),"徒歩")</f>
        <v>徒歩</v>
      </c>
      <c r="W138" s="6"/>
      <c r="X138" s="6" t="str">
        <f aca="false">IFERROR(__xludf.dummyfunction("""COMPUTED_VALUE"""),"ご自身で契約中の物件")</f>
        <v>ご自身で契約中の物件</v>
      </c>
      <c r="Y138" s="6"/>
      <c r="Z138" s="6" t="str">
        <f aca="false">IFERROR(__xludf.dummyfunction("""COMPUTED_VALUE"""),"希望する")</f>
        <v>希望する</v>
      </c>
      <c r="AA138" s="6" t="str">
        <f aca="false">IFERROR(__xludf.dummyfunction("""COMPUTED_VALUE"""),"単身")</f>
        <v>単身</v>
      </c>
      <c r="AB138" s="6"/>
      <c r="AC138" s="6"/>
      <c r="AD138" s="6" t="str">
        <f aca="false">IFERROR(__xludf.dummyfunction("""COMPUTED_VALUE"""),"家具付きかそうではないかで正直まだはっきりとしていません")</f>
        <v>家具付きかそうではないかで正直まだはっきりとしていません</v>
      </c>
      <c r="AE138" s="6" t="str">
        <f aca="false">IFERROR(__xludf.dummyfunction("""COMPUTED_VALUE"""),"確認しました。")</f>
        <v>確認しました。</v>
      </c>
      <c r="AF138" s="6" t="str">
        <f aca="false">IFERROR(__xludf.dummyfunction("""COMPUTED_VALUE"""),"社宅基準の内容について確認しました")</f>
        <v>社宅基準の内容について確認しました</v>
      </c>
      <c r="AG138" s="6" t="str">
        <f aca="false">IFERROR(__xludf.dummyfunction("""COMPUTED_VALUE"""),"入居のしおりの内容についてご確認しました")</f>
        <v>入居のしおりの内容についてご確認しました</v>
      </c>
      <c r="AH138" s="6" t="str">
        <f aca="false">IFERROR(__xludf.dummyfunction("""COMPUTED_VALUE"""),"確認しました")</f>
        <v>確認しました</v>
      </c>
      <c r="AI138" s="6"/>
      <c r="AJ138" s="6" t="str">
        <v/>
      </c>
      <c r="AK138" s="6" t="str">
        <v/>
      </c>
      <c r="AL138" s="6" t="str">
        <v/>
      </c>
      <c r="AM138" s="6" t="str">
        <v/>
      </c>
      <c r="AN138" s="6" t="n">
        <f aca="false">TRUE()</f>
        <v>1</v>
      </c>
    </row>
    <row r="139" customFormat="false" ht="52.5" hidden="false" customHeight="true" outlineLevel="0" collapsed="false">
      <c r="A139" s="6" t="str">
        <f aca="false">IFERROR(__xludf.dummyfunction("""COMPUTED_VALUE"""),"2026/02/18 11:16:48")</f>
        <v>2026/02/18 11:16:48</v>
      </c>
      <c r="B139" s="6"/>
      <c r="C139" s="6" t="str">
        <f aca="false">IFERROR(__xludf.dummyfunction("""COMPUTED_VALUE"""),"70031")</f>
        <v>70031</v>
      </c>
      <c r="D139" s="6"/>
      <c r="E139" s="6"/>
      <c r="F139" s="6"/>
      <c r="G139" s="6" t="str">
        <f aca="false">IFERROR(__xludf.dummyfunction("""COMPUTED_VALUE"""),"2026/03/28")</f>
        <v>2026/03/28</v>
      </c>
      <c r="H139" s="6" t="str">
        <f aca="false">IFERROR(__xludf.dummyfunction("""COMPUTED_VALUE"""),"不要")</f>
        <v>不要</v>
      </c>
      <c r="I139" s="6" t="str">
        <f aca="false">IFERROR(__xludf.dummyfunction("""COMPUTED_VALUE"""),"男性")</f>
        <v>男性</v>
      </c>
      <c r="J139" s="6" t="str">
        <f aca="false">IFERROR(__xludf.dummyfunction("""COMPUTED_VALUE"""),"日本")</f>
        <v>日本</v>
      </c>
      <c r="K139" s="6"/>
      <c r="L139" s="6"/>
      <c r="M139" s="6"/>
      <c r="N139" s="6"/>
      <c r="O139" s="6" t="str">
        <f aca="false">IFERROR(__xludf.dummyfunction("""COMPUTED_VALUE"""),"必要")</f>
        <v>必要</v>
      </c>
      <c r="P139" s="6" t="str">
        <f aca="false">IFERROR(__xludf.dummyfunction("""COMPUTED_VALUE"""),"エヌボックス")</f>
        <v>エヌボックス</v>
      </c>
      <c r="Q139" s="6" t="str">
        <f aca="false">IFERROR(__xludf.dummyfunction("""COMPUTED_VALUE"""),"す78-53")</f>
        <v>す78-53</v>
      </c>
      <c r="R139" s="6" t="str">
        <f aca="false">IFERROR(__xludf.dummyfunction("""COMPUTED_VALUE"""),"白")</f>
        <v>白</v>
      </c>
      <c r="S139" s="6" t="str">
        <f aca="false">IFERROR(__xludf.dummyfunction("""COMPUTED_VALUE"""),"家具家電なし社宅")</f>
        <v>家具家電なし社宅</v>
      </c>
      <c r="T139" s="6" t="str">
        <f aca="false">IFERROR(__xludf.dummyfunction("""COMPUTED_VALUE"""),"利用しない")</f>
        <v>利用しない</v>
      </c>
      <c r="U139" s="6"/>
      <c r="V139" s="6" t="str">
        <f aca="false">IFERROR(__xludf.dummyfunction("""COMPUTED_VALUE"""),"自動車")</f>
        <v>自動車</v>
      </c>
      <c r="W139" s="6"/>
      <c r="X139" s="6" t="str">
        <f aca="false">IFERROR(__xludf.dummyfunction("""COMPUTED_VALUE"""),"株式会社ビーネックステクノロジーズの社宅")</f>
        <v>株式会社ビーネックステクノロジーズの社宅</v>
      </c>
      <c r="Y139" s="6" t="str">
        <f aca="false">IFERROR(__xludf.dummyfunction("""COMPUTED_VALUE"""),"利用なし")</f>
        <v>利用なし</v>
      </c>
      <c r="Z139" s="6" t="str">
        <f aca="false">IFERROR(__xludf.dummyfunction("""COMPUTED_VALUE"""),"希望する")</f>
        <v>希望する</v>
      </c>
      <c r="AA139" s="6" t="str">
        <f aca="false">IFERROR(__xludf.dummyfunction("""COMPUTED_VALUE"""),"単身")</f>
        <v>単身</v>
      </c>
      <c r="AB139" s="6"/>
      <c r="AC139" s="6"/>
      <c r="AD139" s="6"/>
      <c r="AE139" s="6" t="str">
        <f aca="false">IFERROR(__xludf.dummyfunction("""COMPUTED_VALUE"""),"確認しました。")</f>
        <v>確認しました。</v>
      </c>
      <c r="AF139" s="6" t="str">
        <f aca="false">IFERROR(__xludf.dummyfunction("""COMPUTED_VALUE"""),"社宅基準の内容について確認しました")</f>
        <v>社宅基準の内容について確認しました</v>
      </c>
      <c r="AG139" s="6" t="str">
        <f aca="false">IFERROR(__xludf.dummyfunction("""COMPUTED_VALUE"""),"入居のしおりの内容についてご確認しました")</f>
        <v>入居のしおりの内容についてご確認しました</v>
      </c>
      <c r="AH139" s="6" t="str">
        <f aca="false">IFERROR(__xludf.dummyfunction("""COMPUTED_VALUE"""),"確認しました")</f>
        <v>確認しました</v>
      </c>
      <c r="AI139" s="6"/>
      <c r="AJ139" s="6" t="str">
        <v/>
      </c>
      <c r="AK139" s="6" t="str">
        <v/>
      </c>
      <c r="AL139" s="6" t="str">
        <v/>
      </c>
      <c r="AM139" s="6" t="str">
        <v/>
      </c>
      <c r="AN139" s="6" t="n">
        <f aca="false">TRUE()</f>
        <v>1</v>
      </c>
    </row>
    <row r="140" customFormat="false" ht="52.5" hidden="false" customHeight="true" outlineLevel="0" collapsed="false">
      <c r="A140" s="6" t="str">
        <f aca="false">IFERROR(__xludf.dummyfunction("""COMPUTED_VALUE"""),"2026/02/18 13:50:47")</f>
        <v>2026/02/18 13:50:47</v>
      </c>
      <c r="B140" s="6"/>
      <c r="C140" s="6" t="str">
        <f aca="false">IFERROR(__xludf.dummyfunction("""COMPUTED_VALUE"""),"70125")</f>
        <v>70125</v>
      </c>
      <c r="D140" s="6"/>
      <c r="E140" s="6"/>
      <c r="F140" s="6"/>
      <c r="G140" s="6" t="str">
        <f aca="false">IFERROR(__xludf.dummyfunction("""COMPUTED_VALUE"""),"2026/03/25")</f>
        <v>2026/03/25</v>
      </c>
      <c r="H140" s="6" t="str">
        <f aca="false">IFERROR(__xludf.dummyfunction("""COMPUTED_VALUE"""),"必要")</f>
        <v>必要</v>
      </c>
      <c r="I140" s="6" t="str">
        <f aca="false">IFERROR(__xludf.dummyfunction("""COMPUTED_VALUE"""),"男性")</f>
        <v>男性</v>
      </c>
      <c r="J140" s="6" t="str">
        <f aca="false">IFERROR(__xludf.dummyfunction("""COMPUTED_VALUE"""),"日本")</f>
        <v>日本</v>
      </c>
      <c r="K140" s="6" t="str">
        <f aca="false">IFERROR(__xludf.dummyfunction("""COMPUTED_VALUE"""),"13")</f>
        <v>13</v>
      </c>
      <c r="L140" s="6" t="str">
        <f aca="false">IFERROR(__xludf.dummyfunction("""COMPUTED_VALUE"""),"縦型洗濯機 家族用冷蔵庫")</f>
        <v>縦型洗濯機 家族用冷蔵庫</v>
      </c>
      <c r="M140" s="6" t="str">
        <f aca="false">IFERROR(__xludf.dummyfunction("""COMPUTED_VALUE"""),"布団")</f>
        <v>布団</v>
      </c>
      <c r="N140" s="6" t="str">
        <f aca="false">IFERROR(__xludf.dummyfunction("""COMPUTED_VALUE"""),"自転車(箱入り)")</f>
        <v>自転車(箱入り)</v>
      </c>
      <c r="O140" s="6" t="str">
        <f aca="false">IFERROR(__xludf.dummyfunction("""COMPUTED_VALUE"""),"必要")</f>
        <v>必要</v>
      </c>
      <c r="P140" s="6" t="str">
        <f aca="false">IFERROR(__xludf.dummyfunction("""COMPUTED_VALUE"""),"インテグラ")</f>
        <v>インテグラ</v>
      </c>
      <c r="Q140" s="6" t="str">
        <f aca="false">IFERROR(__xludf.dummyfunction("""COMPUTED_VALUE"""),"ふ12-48")</f>
        <v>ふ12-48</v>
      </c>
      <c r="R140" s="6" t="str">
        <f aca="false">IFERROR(__xludf.dummyfunction("""COMPUTED_VALUE"""),"シルバー")</f>
        <v>シルバー</v>
      </c>
      <c r="S140" s="6" t="str">
        <f aca="false">IFERROR(__xludf.dummyfunction("""COMPUTED_VALUE"""),"家具家電なし社宅")</f>
        <v>家具家電なし社宅</v>
      </c>
      <c r="T140" s="6" t="str">
        <f aca="false">IFERROR(__xludf.dummyfunction("""COMPUTED_VALUE"""),"利用する")</f>
        <v>利用する</v>
      </c>
      <c r="U140" s="6" t="str">
        <f aca="false">IFERROR(__xludf.dummyfunction("""COMPUTED_VALUE"""),"洗濯機")</f>
        <v>洗濯機</v>
      </c>
      <c r="V140" s="6" t="str">
        <f aca="false">IFERROR(__xludf.dummyfunction("""COMPUTED_VALUE"""),"自動車")</f>
        <v>自動車</v>
      </c>
      <c r="W140" s="6"/>
      <c r="X140" s="6" t="str">
        <f aca="false">IFERROR(__xludf.dummyfunction("""COMPUTED_VALUE"""),"株式会社ビーネックステクノロジーズの社宅")</f>
        <v>株式会社ビーネックステクノロジーズの社宅</v>
      </c>
      <c r="Y140" s="6" t="str">
        <f aca="false">IFERROR(__xludf.dummyfunction("""COMPUTED_VALUE"""),"洗濯機 引き継ぎ希望")</f>
        <v>洗濯機 引き継ぎ希望</v>
      </c>
      <c r="Z140" s="6" t="str">
        <f aca="false">IFERROR(__xludf.dummyfunction("""COMPUTED_VALUE"""),"希望する")</f>
        <v>希望する</v>
      </c>
      <c r="AA140" s="6" t="str">
        <f aca="false">IFERROR(__xludf.dummyfunction("""COMPUTED_VALUE"""),"単身")</f>
        <v>単身</v>
      </c>
      <c r="AB140" s="6"/>
      <c r="AC140" s="6"/>
      <c r="AD140" s="6"/>
      <c r="AE140" s="6" t="str">
        <f aca="false">IFERROR(__xludf.dummyfunction("""COMPUTED_VALUE"""),"確認しました。")</f>
        <v>確認しました。</v>
      </c>
      <c r="AF140" s="6" t="str">
        <f aca="false">IFERROR(__xludf.dummyfunction("""COMPUTED_VALUE"""),"社宅基準の内容について確認しました")</f>
        <v>社宅基準の内容について確認しました</v>
      </c>
      <c r="AG140" s="6" t="str">
        <f aca="false">IFERROR(__xludf.dummyfunction("""COMPUTED_VALUE"""),"入居のしおりの内容についてご確認しました")</f>
        <v>入居のしおりの内容についてご確認しました</v>
      </c>
      <c r="AH140" s="6" t="str">
        <f aca="false">IFERROR(__xludf.dummyfunction("""COMPUTED_VALUE"""),"確認しました")</f>
        <v>確認しました</v>
      </c>
      <c r="AI140" s="6"/>
      <c r="AJ140" s="6" t="str">
        <v/>
      </c>
      <c r="AK140" s="6" t="str">
        <v/>
      </c>
      <c r="AL140" s="6" t="str">
        <v/>
      </c>
      <c r="AM140" s="6" t="str">
        <v/>
      </c>
      <c r="AN140" s="6" t="n">
        <f aca="false">TRUE()</f>
        <v>1</v>
      </c>
    </row>
    <row r="141" customFormat="false" ht="52.5" hidden="false" customHeight="true" outlineLevel="0" collapsed="false">
      <c r="A141" s="6" t="str">
        <f aca="false">IFERROR(__xludf.dummyfunction("""COMPUTED_VALUE"""),"2026/02/18 14:15:13")</f>
        <v>2026/02/18 14:15:13</v>
      </c>
      <c r="B141" s="6"/>
      <c r="C141" s="6" t="str">
        <f aca="false">IFERROR(__xludf.dummyfunction("""COMPUTED_VALUE"""),"70150")</f>
        <v>70150</v>
      </c>
      <c r="D141" s="6"/>
      <c r="E141" s="6"/>
      <c r="F141" s="6"/>
      <c r="G141" s="6" t="str">
        <f aca="false">IFERROR(__xludf.dummyfunction("""COMPUTED_VALUE"""),"2026/03/15")</f>
        <v>2026/03/15</v>
      </c>
      <c r="H141" s="6" t="str">
        <f aca="false">IFERROR(__xludf.dummyfunction("""COMPUTED_VALUE"""),"必要")</f>
        <v>必要</v>
      </c>
      <c r="I141" s="6" t="str">
        <f aca="false">IFERROR(__xludf.dummyfunction("""COMPUTED_VALUE"""),"女性")</f>
        <v>女性</v>
      </c>
      <c r="J141" s="6" t="str">
        <f aca="false">IFERROR(__xludf.dummyfunction("""COMPUTED_VALUE"""),"日本")</f>
        <v>日本</v>
      </c>
      <c r="K141" s="6" t="str">
        <f aca="false">IFERROR(__xludf.dummyfunction("""COMPUTED_VALUE"""),"25")</f>
        <v>25</v>
      </c>
      <c r="L141" s="6" t="str">
        <f aca="false">IFERROR(__xludf.dummyfunction("""COMPUTED_VALUE"""),"冷蔵庫(単身用)、洗濯機、テレビ、掃除機、トースター、電子レンジ、炊飯器")</f>
        <v>冷蔵庫(単身用)、洗濯機、テレビ、掃除機、トースター、電子レンジ、炊飯器</v>
      </c>
      <c r="M141" s="6" t="str">
        <f aca="false">IFERROR(__xludf.dummyfunction("""COMPUTED_VALUE"""),"ベッド(シングル)、姿見(28×44×148)、デスク(95×48×72)、デスクチェア、棚(88×30×42)、デスク用ワゴン(40×45×58)")</f>
        <v>ベッド(シングル)、姿見(28×44×148)、デスク(95×48×72)、デスクチェア、棚(88×30×42)、デスク用ワゴン(40×45×58)</v>
      </c>
      <c r="N141" s="6" t="str">
        <f aca="false">IFERROR(__xludf.dummyfunction("""COMPUTED_VALUE"""),"自転車")</f>
        <v>自転車</v>
      </c>
      <c r="O141" s="6" t="str">
        <f aca="false">IFERROR(__xludf.dummyfunction("""COMPUTED_VALUE"""),"不要")</f>
        <v>不要</v>
      </c>
      <c r="P141" s="6"/>
      <c r="Q141" s="6"/>
      <c r="R141" s="6"/>
      <c r="S141" s="6" t="str">
        <f aca="false">IFERROR(__xludf.dummyfunction("""COMPUTED_VALUE"""),"家具家電なし社宅")</f>
        <v>家具家電なし社宅</v>
      </c>
      <c r="T141" s="6" t="str">
        <f aca="false">IFERROR(__xludf.dummyfunction("""COMPUTED_VALUE"""),"利用しない")</f>
        <v>利用しない</v>
      </c>
      <c r="U141" s="6"/>
      <c r="V141" s="6" t="str">
        <f aca="false">IFERROR(__xludf.dummyfunction("""COMPUTED_VALUE"""),"徒歩, 自転車, 電車, バス")</f>
        <v>徒歩, 自転車, 電車, バス</v>
      </c>
      <c r="W141" s="6"/>
      <c r="X141" s="6" t="str">
        <f aca="false">IFERROR(__xludf.dummyfunction("""COMPUTED_VALUE"""),"ご自身で契約中の物件")</f>
        <v>ご自身で契約中の物件</v>
      </c>
      <c r="Y141" s="6"/>
      <c r="Z141" s="6" t="str">
        <f aca="false">IFERROR(__xludf.dummyfunction("""COMPUTED_VALUE"""),"希望する")</f>
        <v>希望する</v>
      </c>
      <c r="AA141" s="6" t="str">
        <f aca="false">IFERROR(__xludf.dummyfunction("""COMPUTED_VALUE"""),"単身")</f>
        <v>単身</v>
      </c>
      <c r="AB141" s="6"/>
      <c r="AC141" s="6"/>
      <c r="AD141" s="6"/>
      <c r="AE141" s="6" t="str">
        <f aca="false">IFERROR(__xludf.dummyfunction("""COMPUTED_VALUE"""),"確認しました。")</f>
        <v>確認しました。</v>
      </c>
      <c r="AF141" s="6" t="str">
        <f aca="false">IFERROR(__xludf.dummyfunction("""COMPUTED_VALUE"""),"社宅基準の内容について確認しました")</f>
        <v>社宅基準の内容について確認しました</v>
      </c>
      <c r="AG141" s="6" t="str">
        <f aca="false">IFERROR(__xludf.dummyfunction("""COMPUTED_VALUE"""),"入居のしおりの内容についてご確認しました")</f>
        <v>入居のしおりの内容についてご確認しました</v>
      </c>
      <c r="AH141" s="6" t="str">
        <f aca="false">IFERROR(__xludf.dummyfunction("""COMPUTED_VALUE"""),"確認しました")</f>
        <v>確認しました</v>
      </c>
      <c r="AI141" s="6"/>
      <c r="AJ141" s="6" t="str">
        <v/>
      </c>
      <c r="AK141" s="6" t="str">
        <v/>
      </c>
      <c r="AL141" s="6" t="str">
        <v/>
      </c>
      <c r="AM141" s="6" t="str">
        <v/>
      </c>
      <c r="AN141" s="6" t="n">
        <f aca="false">FALSE()</f>
        <v>0</v>
      </c>
    </row>
    <row r="142" customFormat="false" ht="52.5" hidden="false" customHeight="true" outlineLevel="0" collapsed="false">
      <c r="A142" s="6" t="str">
        <f aca="false">IFERROR(__xludf.dummyfunction("""COMPUTED_VALUE"""),"2026/02/18 16:15:37")</f>
        <v>2026/02/18 16:15:37</v>
      </c>
      <c r="B142" s="6"/>
      <c r="C142" s="6" t="str">
        <f aca="false">IFERROR(__xludf.dummyfunction("""COMPUTED_VALUE"""),"69959")</f>
        <v>69959</v>
      </c>
      <c r="D142" s="6"/>
      <c r="E142" s="6"/>
      <c r="F142" s="6"/>
      <c r="G142" s="6" t="str">
        <f aca="false">IFERROR(__xludf.dummyfunction("""COMPUTED_VALUE"""),"2026/03/13")</f>
        <v>2026/03/13</v>
      </c>
      <c r="H142" s="6" t="str">
        <f aca="false">IFERROR(__xludf.dummyfunction("""COMPUTED_VALUE"""),"不要")</f>
        <v>不要</v>
      </c>
      <c r="I142" s="6" t="str">
        <f aca="false">IFERROR(__xludf.dummyfunction("""COMPUTED_VALUE"""),"男性")</f>
        <v>男性</v>
      </c>
      <c r="J142" s="6" t="str">
        <f aca="false">IFERROR(__xludf.dummyfunction("""COMPUTED_VALUE"""),"日本")</f>
        <v>日本</v>
      </c>
      <c r="K142" s="6"/>
      <c r="L142" s="6"/>
      <c r="M142" s="6"/>
      <c r="N142" s="6"/>
      <c r="O142" s="6" t="str">
        <f aca="false">IFERROR(__xludf.dummyfunction("""COMPUTED_VALUE"""),"不要")</f>
        <v>不要</v>
      </c>
      <c r="P142" s="6"/>
      <c r="Q142" s="6"/>
      <c r="R142" s="6"/>
      <c r="S142" s="6" t="str">
        <f aca="false">IFERROR(__xludf.dummyfunction("""COMPUTED_VALUE"""),"家具家電なし社宅")</f>
        <v>家具家電なし社宅</v>
      </c>
      <c r="T142" s="6" t="str">
        <f aca="false">IFERROR(__xludf.dummyfunction("""COMPUTED_VALUE"""),"利用しない")</f>
        <v>利用しない</v>
      </c>
      <c r="U142" s="6"/>
      <c r="V142" s="6" t="str">
        <f aca="false">IFERROR(__xludf.dummyfunction("""COMPUTED_VALUE"""),"徒歩")</f>
        <v>徒歩</v>
      </c>
      <c r="W142" s="6"/>
      <c r="X142" s="6" t="str">
        <f aca="false">IFERROR(__xludf.dummyfunction("""COMPUTED_VALUE"""),"実家")</f>
        <v>実家</v>
      </c>
      <c r="Y142" s="6"/>
      <c r="Z142" s="6" t="str">
        <f aca="false">IFERROR(__xludf.dummyfunction("""COMPUTED_VALUE"""),"希望する")</f>
        <v>希望する</v>
      </c>
      <c r="AA142" s="6" t="str">
        <f aca="false">IFERROR(__xludf.dummyfunction("""COMPUTED_VALUE"""),"単身")</f>
        <v>単身</v>
      </c>
      <c r="AB142" s="6"/>
      <c r="AC142" s="6"/>
      <c r="AD142" s="6" t="str">
        <f aca="false">IFERROR(__xludf.dummyfunction("""COMPUTED_VALUE"""),"特にない")</f>
        <v>特にない</v>
      </c>
      <c r="AE142" s="6" t="str">
        <f aca="false">IFERROR(__xludf.dummyfunction("""COMPUTED_VALUE"""),"確認しました。")</f>
        <v>確認しました。</v>
      </c>
      <c r="AF142" s="6" t="str">
        <f aca="false">IFERROR(__xludf.dummyfunction("""COMPUTED_VALUE"""),"社宅基準の内容について確認しました")</f>
        <v>社宅基準の内容について確認しました</v>
      </c>
      <c r="AG142" s="6" t="str">
        <f aca="false">IFERROR(__xludf.dummyfunction("""COMPUTED_VALUE"""),"入居のしおりの内容についてご確認しました")</f>
        <v>入居のしおりの内容についてご確認しました</v>
      </c>
      <c r="AH142" s="6" t="str">
        <f aca="false">IFERROR(__xludf.dummyfunction("""COMPUTED_VALUE"""),"確認しました")</f>
        <v>確認しました</v>
      </c>
      <c r="AI142" s="6"/>
      <c r="AJ142" s="6" t="str">
        <v/>
      </c>
      <c r="AK142" s="6" t="str">
        <v/>
      </c>
      <c r="AL142" s="6" t="str">
        <v/>
      </c>
      <c r="AM142" s="6" t="str">
        <v/>
      </c>
      <c r="AN142" s="6" t="n">
        <f aca="false">FALSE()</f>
        <v>0</v>
      </c>
    </row>
    <row r="143" customFormat="false" ht="52.5" hidden="false" customHeight="true" outlineLevel="0" collapsed="false">
      <c r="A143" s="6" t="str">
        <f aca="false">IFERROR(__xludf.dummyfunction("""COMPUTED_VALUE"""),"2026/02/18 16:31:59")</f>
        <v>2026/02/18 16:31:59</v>
      </c>
      <c r="B143" s="6"/>
      <c r="C143" s="6" t="str">
        <f aca="false">IFERROR(__xludf.dummyfunction("""COMPUTED_VALUE"""),"70186")</f>
        <v>70186</v>
      </c>
      <c r="D143" s="6"/>
      <c r="E143" s="6"/>
      <c r="F143" s="6"/>
      <c r="G143" s="6" t="str">
        <f aca="false">IFERROR(__xludf.dummyfunction("""COMPUTED_VALUE"""),"2026/05/30")</f>
        <v>2026/05/30</v>
      </c>
      <c r="H143" s="6" t="str">
        <f aca="false">IFERROR(__xludf.dummyfunction("""COMPUTED_VALUE"""),"必要")</f>
        <v>必要</v>
      </c>
      <c r="I143" s="6" t="str">
        <f aca="false">IFERROR(__xludf.dummyfunction("""COMPUTED_VALUE"""),"男性")</f>
        <v>男性</v>
      </c>
      <c r="J143" s="6" t="str">
        <f aca="false">IFERROR(__xludf.dummyfunction("""COMPUTED_VALUE"""),"日本")</f>
        <v>日本</v>
      </c>
      <c r="K143" s="6" t="str">
        <f aca="false">IFERROR(__xludf.dummyfunction("""COMPUTED_VALUE"""),"20")</f>
        <v>20</v>
      </c>
      <c r="L143" s="6" t="str">
        <f aca="false">IFERROR(__xludf.dummyfunction("""COMPUTED_VALUE"""),"冷蔵庫　電子レンジ　アンドロイドテレビ　")</f>
        <v>冷蔵庫　電子レンジ　アンドロイドテレビ　</v>
      </c>
      <c r="M143" s="6" t="str">
        <f aca="false">IFERROR(__xludf.dummyfunction("""COMPUTED_VALUE"""),"衣装ラック　棚複数　")</f>
        <v>衣装ラック　棚複数　</v>
      </c>
      <c r="N143" s="6" t="str">
        <f aca="false">IFERROR(__xludf.dummyfunction("""COMPUTED_VALUE"""),"自動車部品、工具、油脂類")</f>
        <v>自動車部品、工具、油脂類</v>
      </c>
      <c r="O143" s="6" t="str">
        <f aca="false">IFERROR(__xludf.dummyfunction("""COMPUTED_VALUE"""),"必要")</f>
        <v>必要</v>
      </c>
      <c r="P143" s="6" t="str">
        <f aca="false">IFERROR(__xludf.dummyfunction("""COMPUTED_VALUE"""),"n-one")</f>
        <v>n-one</v>
      </c>
      <c r="Q143" s="6" t="str">
        <f aca="false">IFERROR(__xludf.dummyfunction("""COMPUTED_VALUE"""),"や26-37")</f>
        <v>や26-37</v>
      </c>
      <c r="R143" s="6" t="str">
        <f aca="false">IFERROR(__xludf.dummyfunction("""COMPUTED_VALUE"""),"紺色")</f>
        <v>紺色</v>
      </c>
      <c r="S143" s="6" t="str">
        <f aca="false">IFERROR(__xludf.dummyfunction("""COMPUTED_VALUE"""),"家具家電なし社宅")</f>
        <v>家具家電なし社宅</v>
      </c>
      <c r="T143" s="6" t="str">
        <f aca="false">IFERROR(__xludf.dummyfunction("""COMPUTED_VALUE"""),"利用しない")</f>
        <v>利用しない</v>
      </c>
      <c r="U143" s="6"/>
      <c r="V143" s="6" t="str">
        <f aca="false">IFERROR(__xludf.dummyfunction("""COMPUTED_VALUE"""),"自動車")</f>
        <v>自動車</v>
      </c>
      <c r="W143" s="6"/>
      <c r="X143" s="6" t="str">
        <f aca="false">IFERROR(__xludf.dummyfunction("""COMPUTED_VALUE"""),"ご自身で契約中の物件")</f>
        <v>ご自身で契約中の物件</v>
      </c>
      <c r="Y143" s="6"/>
      <c r="Z143" s="6" t="str">
        <f aca="false">IFERROR(__xludf.dummyfunction("""COMPUTED_VALUE"""),"希望する")</f>
        <v>希望する</v>
      </c>
      <c r="AA143" s="6" t="str">
        <f aca="false">IFERROR(__xludf.dummyfunction("""COMPUTED_VALUE"""),"単身")</f>
        <v>単身</v>
      </c>
      <c r="AB143" s="6"/>
      <c r="AC143" s="6"/>
      <c r="AD143" s="6"/>
      <c r="AE143" s="6" t="str">
        <f aca="false">IFERROR(__xludf.dummyfunction("""COMPUTED_VALUE"""),"確認しました。")</f>
        <v>確認しました。</v>
      </c>
      <c r="AF143" s="6" t="str">
        <f aca="false">IFERROR(__xludf.dummyfunction("""COMPUTED_VALUE"""),"社宅基準の内容について確認しました")</f>
        <v>社宅基準の内容について確認しました</v>
      </c>
      <c r="AG143" s="6" t="str">
        <f aca="false">IFERROR(__xludf.dummyfunction("""COMPUTED_VALUE"""),"入居のしおりの内容についてご確認しました")</f>
        <v>入居のしおりの内容についてご確認しました</v>
      </c>
      <c r="AH143" s="6" t="str">
        <f aca="false">IFERROR(__xludf.dummyfunction("""COMPUTED_VALUE"""),"確認しました")</f>
        <v>確認しました</v>
      </c>
      <c r="AI143" s="6"/>
      <c r="AJ143" s="6" t="str">
        <v/>
      </c>
      <c r="AK143" s="6" t="str">
        <v/>
      </c>
      <c r="AL143" s="6" t="str">
        <v/>
      </c>
      <c r="AM143" s="6" t="str">
        <v/>
      </c>
      <c r="AN143" s="6" t="n">
        <f aca="false">TRUE()</f>
        <v>1</v>
      </c>
    </row>
    <row r="144" customFormat="false" ht="52.5" hidden="false" customHeight="true" outlineLevel="0" collapsed="false">
      <c r="A144" s="6" t="str">
        <f aca="false">IFERROR(__xludf.dummyfunction("""COMPUTED_VALUE"""),"2026/02/18 16:48:18")</f>
        <v>2026/02/18 16:48:18</v>
      </c>
      <c r="B144" s="6"/>
      <c r="C144" s="6" t="str">
        <f aca="false">IFERROR(__xludf.dummyfunction("""COMPUTED_VALUE"""),"70046")</f>
        <v>70046</v>
      </c>
      <c r="D144" s="6"/>
      <c r="E144" s="6"/>
      <c r="F144" s="6"/>
      <c r="G144" s="6" t="str">
        <f aca="false">IFERROR(__xludf.dummyfunction("""COMPUTED_VALUE"""),"2026/03/29")</f>
        <v>2026/03/29</v>
      </c>
      <c r="H144" s="6" t="str">
        <f aca="false">IFERROR(__xludf.dummyfunction("""COMPUTED_VALUE"""),"必要")</f>
        <v>必要</v>
      </c>
      <c r="I144" s="6" t="str">
        <f aca="false">IFERROR(__xludf.dummyfunction("""COMPUTED_VALUE"""),"女性")</f>
        <v>女性</v>
      </c>
      <c r="J144" s="6" t="str">
        <f aca="false">IFERROR(__xludf.dummyfunction("""COMPUTED_VALUE"""),"日本")</f>
        <v>日本</v>
      </c>
      <c r="K144" s="6" t="str">
        <f aca="false">IFERROR(__xludf.dummyfunction("""COMPUTED_VALUE"""),"20")</f>
        <v>20</v>
      </c>
      <c r="L144" s="6" t="str">
        <f aca="false">IFERROR(__xludf.dummyfunction("""COMPUTED_VALUE"""),"デスクトップPC（本体・モニター）　各1個
電子レンジ　1個
空気清浄機　1個
掃除機　1個")</f>
        <v>デスクトップPC（本体・モニター）　各1個
電子レンジ　1個
空気清浄機　1個
掃除機　1個</v>
      </c>
      <c r="M144" s="6" t="str">
        <f aca="false">IFERROR(__xludf.dummyfunction("""COMPUTED_VALUE"""),"鏡なしドレッサー(横幅60cm・奥行41cm・高さ73cm) 1個
学習机(横幅103cm・奥行60cm・高さ74cm（机にくっついている照明含めると119cm）) 1個
引き出し (横幅42cm・奥行50cm・高さ60cm) 1個
収納ボックス(横幅37cm・奥行37cm・高さ39cm) 1個
キャスター付き衣装ケース (横幅34cm・奥行40cm・高さ88cm) 2個
布団入れ (横幅100cm・奥行25cm・高さ65cm) 1個
オフィスチェア(横幅60cm・奥行65cm・高さ105cm) 1個
折"&amp;"りたたみミニテーブル 1個")</f>
        <v>鏡なしドレッサー(横幅60cm・奥行41cm・高さ73cm) 1個
学習机(横幅103cm・奥行60cm・高さ74cm（机にくっついている照明含めると119cm）) 1個
引き出し (横幅42cm・奥行50cm・高さ60cm) 1個
収納ボックス(横幅37cm・奥行37cm・高さ39cm) 1個
キャスター付き衣装ケース (横幅34cm・奥行40cm・高さ88cm) 2個
布団入れ (横幅100cm・奥行25cm・高さ65cm) 1個
オフィスチェア(横幅60cm・奥行65cm・高さ105cm) 1個
折りたたみミニテーブル 1個</v>
      </c>
      <c r="N144" s="6"/>
      <c r="O144" s="6" t="str">
        <f aca="false">IFERROR(__xludf.dummyfunction("""COMPUTED_VALUE"""),"不要")</f>
        <v>不要</v>
      </c>
      <c r="P144" s="6"/>
      <c r="Q144" s="6"/>
      <c r="R144" s="6"/>
      <c r="S144" s="6" t="str">
        <f aca="false">IFERROR(__xludf.dummyfunction("""COMPUTED_VALUE"""),"家具家電なし社宅")</f>
        <v>家具家電なし社宅</v>
      </c>
      <c r="T144" s="6" t="str">
        <f aca="false">IFERROR(__xludf.dummyfunction("""COMPUTED_VALUE"""),"利用しない")</f>
        <v>利用しない</v>
      </c>
      <c r="U144" s="6"/>
      <c r="V144" s="6" t="str">
        <f aca="false">IFERROR(__xludf.dummyfunction("""COMPUTED_VALUE"""),"社用バス")</f>
        <v>社用バス</v>
      </c>
      <c r="W144" s="6"/>
      <c r="X144" s="6" t="str">
        <f aca="false">IFERROR(__xludf.dummyfunction("""COMPUTED_VALUE"""),"実家")</f>
        <v>実家</v>
      </c>
      <c r="Y144" s="6"/>
      <c r="Z144" s="6" t="str">
        <f aca="false">IFERROR(__xludf.dummyfunction("""COMPUTED_VALUE"""),"希望する")</f>
        <v>希望する</v>
      </c>
      <c r="AA144" s="6" t="str">
        <f aca="false">IFERROR(__xludf.dummyfunction("""COMPUTED_VALUE"""),"単身")</f>
        <v>単身</v>
      </c>
      <c r="AB144" s="6"/>
      <c r="AC144" s="6"/>
      <c r="AD144" s="6"/>
      <c r="AE144" s="6" t="str">
        <f aca="false">IFERROR(__xludf.dummyfunction("""COMPUTED_VALUE"""),"確認しました。")</f>
        <v>確認しました。</v>
      </c>
      <c r="AF144" s="6" t="str">
        <f aca="false">IFERROR(__xludf.dummyfunction("""COMPUTED_VALUE"""),"社宅基準の内容について確認しました")</f>
        <v>社宅基準の内容について確認しました</v>
      </c>
      <c r="AG144" s="6" t="str">
        <f aca="false">IFERROR(__xludf.dummyfunction("""COMPUTED_VALUE"""),"入居のしおりの内容についてご確認しました")</f>
        <v>入居のしおりの内容についてご確認しました</v>
      </c>
      <c r="AH144" s="6" t="str">
        <f aca="false">IFERROR(__xludf.dummyfunction("""COMPUTED_VALUE"""),"確認しました")</f>
        <v>確認しました</v>
      </c>
      <c r="AI144" s="6"/>
      <c r="AJ144" s="6" t="str">
        <v/>
      </c>
      <c r="AK144" s="6" t="str">
        <v/>
      </c>
      <c r="AL144" s="6" t="str">
        <v/>
      </c>
      <c r="AM144" s="6" t="str">
        <v/>
      </c>
      <c r="AN144" s="6" t="n">
        <f aca="false">TRUE()</f>
        <v>1</v>
      </c>
    </row>
    <row r="145" customFormat="false" ht="52.5" hidden="false" customHeight="true" outlineLevel="0" collapsed="false">
      <c r="A145" s="6" t="str">
        <f aca="false">IFERROR(__xludf.dummyfunction("""COMPUTED_VALUE"""),"2026/02/18 17:44:45")</f>
        <v>2026/02/18 17:44:45</v>
      </c>
      <c r="B145" s="6"/>
      <c r="C145" s="6" t="str">
        <f aca="false">IFERROR(__xludf.dummyfunction("""COMPUTED_VALUE"""),"70161")</f>
        <v>70161</v>
      </c>
      <c r="D145" s="6"/>
      <c r="E145" s="6"/>
      <c r="F145" s="6"/>
      <c r="G145" s="6" t="str">
        <f aca="false">IFERROR(__xludf.dummyfunction("""COMPUTED_VALUE"""),"2003/11/13")</f>
        <v>2003/11/13</v>
      </c>
      <c r="H145" s="6" t="str">
        <f aca="false">IFERROR(__xludf.dummyfunction("""COMPUTED_VALUE"""),"必要")</f>
        <v>必要</v>
      </c>
      <c r="I145" s="6" t="str">
        <f aca="false">IFERROR(__xludf.dummyfunction("""COMPUTED_VALUE"""),"男性")</f>
        <v>男性</v>
      </c>
      <c r="J145" s="6" t="str">
        <f aca="false">IFERROR(__xludf.dummyfunction("""COMPUTED_VALUE"""),"日本")</f>
        <v>日本</v>
      </c>
      <c r="K145" s="6" t="str">
        <f aca="false">IFERROR(__xludf.dummyfunction("""COMPUTED_VALUE"""),"12")</f>
        <v>12</v>
      </c>
      <c r="L145" s="6" t="str">
        <f aca="false">IFERROR(__xludf.dummyfunction("""COMPUTED_VALUE"""),"電子レンジ、冷蔵庫単身用、ドラム式洗濯機56cm.47cm.1m")</f>
        <v>電子レンジ、冷蔵庫単身用、ドラム式洗濯機56cm.47cm.1m</v>
      </c>
      <c r="M145" s="6" t="str">
        <f aca="false">IFERROR(__xludf.dummyfunction("""COMPUTED_VALUE"""),"ソファ、セミダブル")</f>
        <v>ソファ、セミダブル</v>
      </c>
      <c r="N145" s="6" t="str">
        <f aca="false">IFERROR(__xludf.dummyfunction("""COMPUTED_VALUE"""),"自転車2台")</f>
        <v>自転車2台</v>
      </c>
      <c r="O145" s="6" t="str">
        <f aca="false">IFERROR(__xludf.dummyfunction("""COMPUTED_VALUE"""),"必要")</f>
        <v>必要</v>
      </c>
      <c r="P145" s="6" t="str">
        <f aca="false">IFERROR(__xludf.dummyfunction("""COMPUTED_VALUE"""),"日産モコ")</f>
        <v>日産モコ</v>
      </c>
      <c r="Q145" s="6" t="str">
        <f aca="false">IFERROR(__xludf.dummyfunction("""COMPUTED_VALUE"""),"か54-74")</f>
        <v>か54-74</v>
      </c>
      <c r="R145" s="6" t="str">
        <f aca="false">IFERROR(__xludf.dummyfunction("""COMPUTED_VALUE"""),"シルバー")</f>
        <v>シルバー</v>
      </c>
      <c r="S145" s="6" t="str">
        <f aca="false">IFERROR(__xludf.dummyfunction("""COMPUTED_VALUE"""),"家具家電なし社宅")</f>
        <v>家具家電なし社宅</v>
      </c>
      <c r="T145" s="6" t="str">
        <f aca="false">IFERROR(__xludf.dummyfunction("""COMPUTED_VALUE"""),"利用しない")</f>
        <v>利用しない</v>
      </c>
      <c r="U145" s="6"/>
      <c r="V145" s="6" t="str">
        <f aca="false">IFERROR(__xludf.dummyfunction("""COMPUTED_VALUE"""),"徒歩, 自動車, 自転車, 電車")</f>
        <v>徒歩, 自動車, 自転車, 電車</v>
      </c>
      <c r="W145" s="6"/>
      <c r="X145" s="6" t="str">
        <f aca="false">IFERROR(__xludf.dummyfunction("""COMPUTED_VALUE"""),"ご自身で契約中の物件")</f>
        <v>ご自身で契約中の物件</v>
      </c>
      <c r="Y145" s="6"/>
      <c r="Z145" s="6" t="str">
        <f aca="false">IFERROR(__xludf.dummyfunction("""COMPUTED_VALUE"""),"希望する")</f>
        <v>希望する</v>
      </c>
      <c r="AA145" s="6" t="str">
        <f aca="false">IFERROR(__xludf.dummyfunction("""COMPUTED_VALUE"""),"家族")</f>
        <v>家族</v>
      </c>
      <c r="AB145" s="6" t="str">
        <f aca="false">IFERROR(__xludf.dummyfunction("""COMPUTED_VALUE"""),"氏名：志賀菜摘
フリガナ：シガナツミ
生年月日：1996年6月14日
携帯番号：08028118683
続柄：妻")</f>
        <v>氏名：志賀菜摘
フリガナ：シガナツミ
生年月日：1996年6月14日
携帯番号：08028118683
続柄：妻</v>
      </c>
      <c r="AC145" s="6"/>
      <c r="AD145" s="6"/>
      <c r="AE145" s="6" t="str">
        <f aca="false">IFERROR(__xludf.dummyfunction("""COMPUTED_VALUE"""),"確認しました。")</f>
        <v>確認しました。</v>
      </c>
      <c r="AF145" s="6" t="str">
        <f aca="false">IFERROR(__xludf.dummyfunction("""COMPUTED_VALUE"""),"社宅基準の内容について確認しました")</f>
        <v>社宅基準の内容について確認しました</v>
      </c>
      <c r="AG145" s="6" t="str">
        <f aca="false">IFERROR(__xludf.dummyfunction("""COMPUTED_VALUE"""),"入居のしおりの内容についてご確認しました")</f>
        <v>入居のしおりの内容についてご確認しました</v>
      </c>
      <c r="AH145" s="6" t="str">
        <f aca="false">IFERROR(__xludf.dummyfunction("""COMPUTED_VALUE"""),"確認しました")</f>
        <v>確認しました</v>
      </c>
      <c r="AI145" s="6"/>
      <c r="AJ145" s="6" t="str">
        <v/>
      </c>
      <c r="AK145" s="6" t="str">
        <v/>
      </c>
      <c r="AL145" s="6" t="str">
        <v/>
      </c>
      <c r="AM145" s="6" t="str">
        <v/>
      </c>
      <c r="AN145" s="6" t="n">
        <f aca="false">FALSE()</f>
        <v>0</v>
      </c>
    </row>
    <row r="146" customFormat="false" ht="52.5" hidden="false" customHeight="true" outlineLevel="0" collapsed="false">
      <c r="A146" s="6" t="str">
        <f aca="false">IFERROR(__xludf.dummyfunction("""COMPUTED_VALUE"""),"2026/02/18 22:10:33")</f>
        <v>2026/02/18 22:10:33</v>
      </c>
      <c r="B146" s="6"/>
      <c r="C146" s="6" t="str">
        <f aca="false">IFERROR(__xludf.dummyfunction("""COMPUTED_VALUE"""),"70065")</f>
        <v>70065</v>
      </c>
      <c r="D146" s="6"/>
      <c r="E146" s="6"/>
      <c r="F146" s="6"/>
      <c r="G146" s="6" t="str">
        <f aca="false">IFERROR(__xludf.dummyfunction("""COMPUTED_VALUE"""),"2026/03/25")</f>
        <v>2026/03/25</v>
      </c>
      <c r="H146" s="6" t="str">
        <f aca="false">IFERROR(__xludf.dummyfunction("""COMPUTED_VALUE"""),"必要")</f>
        <v>必要</v>
      </c>
      <c r="I146" s="6" t="str">
        <f aca="false">IFERROR(__xludf.dummyfunction("""COMPUTED_VALUE"""),"男性")</f>
        <v>男性</v>
      </c>
      <c r="J146" s="6" t="str">
        <f aca="false">IFERROR(__xludf.dummyfunction("""COMPUTED_VALUE"""),"日本")</f>
        <v>日本</v>
      </c>
      <c r="K146" s="6" t="str">
        <f aca="false">IFERROR(__xludf.dummyfunction("""COMPUTED_VALUE"""),"20")</f>
        <v>20</v>
      </c>
      <c r="L146" s="6" t="str">
        <f aca="false">IFERROR(__xludf.dummyfunction("""COMPUTED_VALUE"""),"なし")</f>
        <v>なし</v>
      </c>
      <c r="M146" s="6" t="str">
        <f aca="false">IFERROR(__xludf.dummyfunction("""COMPUTED_VALUE"""),"一人用机、棚(約40cm・約30cm・約70cm)×3")</f>
        <v>一人用机、棚(約40cm・約30cm・約70cm)×3</v>
      </c>
      <c r="N146" s="6" t="str">
        <f aca="false">IFERROR(__xludf.dummyfunction("""COMPUTED_VALUE"""),"自転車")</f>
        <v>自転車</v>
      </c>
      <c r="O146" s="6" t="str">
        <f aca="false">IFERROR(__xludf.dummyfunction("""COMPUTED_VALUE"""),"不要")</f>
        <v>不要</v>
      </c>
      <c r="P146" s="6"/>
      <c r="Q146" s="6"/>
      <c r="R146" s="6"/>
      <c r="S146" s="6" t="str">
        <f aca="false">IFERROR(__xludf.dummyfunction("""COMPUTED_VALUE"""),"家具家電付き社宅")</f>
        <v>家具家電付き社宅</v>
      </c>
      <c r="T146" s="6" t="str">
        <f aca="false">IFERROR(__xludf.dummyfunction("""COMPUTED_VALUE"""),"利用しない")</f>
        <v>利用しない</v>
      </c>
      <c r="U146" s="6"/>
      <c r="V146" s="6" t="str">
        <f aca="false">IFERROR(__xludf.dummyfunction("""COMPUTED_VALUE"""),"徒歩, 自転車, 電車, バス")</f>
        <v>徒歩, 自転車, 電車, バス</v>
      </c>
      <c r="W146" s="6"/>
      <c r="X146" s="6" t="str">
        <f aca="false">IFERROR(__xludf.dummyfunction("""COMPUTED_VALUE"""),"株式会社ビーネックステクノロジーズの社宅")</f>
        <v>株式会社ビーネックステクノロジーズの社宅</v>
      </c>
      <c r="Y146" s="6" t="str">
        <f aca="false">IFERROR(__xludf.dummyfunction("""COMPUTED_VALUE"""),"利用なし")</f>
        <v>利用なし</v>
      </c>
      <c r="Z146" s="6" t="str">
        <f aca="false">IFERROR(__xludf.dummyfunction("""COMPUTED_VALUE"""),"希望する")</f>
        <v>希望する</v>
      </c>
      <c r="AA146" s="6" t="str">
        <f aca="false">IFERROR(__xludf.dummyfunction("""COMPUTED_VALUE"""),"単身")</f>
        <v>単身</v>
      </c>
      <c r="AB146" s="6"/>
      <c r="AC146" s="6"/>
      <c r="AD146" s="6"/>
      <c r="AE146" s="6" t="str">
        <f aca="false">IFERROR(__xludf.dummyfunction("""COMPUTED_VALUE"""),"確認しました。")</f>
        <v>確認しました。</v>
      </c>
      <c r="AF146" s="6" t="str">
        <f aca="false">IFERROR(__xludf.dummyfunction("""COMPUTED_VALUE"""),"社宅基準の内容について確認しました")</f>
        <v>社宅基準の内容について確認しました</v>
      </c>
      <c r="AG146" s="6" t="str">
        <f aca="false">IFERROR(__xludf.dummyfunction("""COMPUTED_VALUE"""),"入居のしおりの内容についてご確認しました")</f>
        <v>入居のしおりの内容についてご確認しました</v>
      </c>
      <c r="AH146" s="6" t="str">
        <f aca="false">IFERROR(__xludf.dummyfunction("""COMPUTED_VALUE"""),"確認しました")</f>
        <v>確認しました</v>
      </c>
      <c r="AI146" s="6"/>
      <c r="AJ146" s="6" t="str">
        <v/>
      </c>
      <c r="AK146" s="6" t="str">
        <v/>
      </c>
      <c r="AL146" s="6" t="str">
        <v/>
      </c>
      <c r="AM146" s="6" t="str">
        <v/>
      </c>
      <c r="AN146" s="6" t="n">
        <f aca="false">TRUE()</f>
        <v>1</v>
      </c>
    </row>
    <row r="147" customFormat="false" ht="52.5" hidden="false" customHeight="true" outlineLevel="0" collapsed="false">
      <c r="A147" s="6" t="str">
        <f aca="false">IFERROR(__xludf.dummyfunction("""COMPUTED_VALUE"""),"2026/02/19 1:26:53")</f>
        <v>2026/02/19 1:26:53</v>
      </c>
      <c r="B147" s="6"/>
      <c r="C147" s="6" t="str">
        <f aca="false">IFERROR(__xludf.dummyfunction("""COMPUTED_VALUE"""),"70002")</f>
        <v>70002</v>
      </c>
      <c r="D147" s="6"/>
      <c r="E147" s="6"/>
      <c r="F147" s="6"/>
      <c r="G147" s="6" t="str">
        <f aca="false">IFERROR(__xludf.dummyfunction("""COMPUTED_VALUE"""),"2026/04/18")</f>
        <v>2026/04/18</v>
      </c>
      <c r="H147" s="6" t="str">
        <f aca="false">IFERROR(__xludf.dummyfunction("""COMPUTED_VALUE"""),"必要")</f>
        <v>必要</v>
      </c>
      <c r="I147" s="6" t="str">
        <f aca="false">IFERROR(__xludf.dummyfunction("""COMPUTED_VALUE"""),"女性")</f>
        <v>女性</v>
      </c>
      <c r="J147" s="6" t="str">
        <f aca="false">IFERROR(__xludf.dummyfunction("""COMPUTED_VALUE"""),"日本")</f>
        <v>日本</v>
      </c>
      <c r="K147" s="6" t="str">
        <f aca="false">IFERROR(__xludf.dummyfunction("""COMPUTED_VALUE"""),"50")</f>
        <v>50</v>
      </c>
      <c r="L147" s="6" t="str">
        <f aca="false">IFERROR(__xludf.dummyfunction("""COMPUTED_VALUE"""),"テレビ、レンジ")</f>
        <v>テレビ、レンジ</v>
      </c>
      <c r="M147" s="6" t="str">
        <f aca="false">IFERROR(__xludf.dummyfunction("""COMPUTED_VALUE"""),"ベッドシングル、机140,50,100")</f>
        <v>ベッドシングル、机140,50,100</v>
      </c>
      <c r="N147" s="6"/>
      <c r="O147" s="6" t="str">
        <f aca="false">IFERROR(__xludf.dummyfunction("""COMPUTED_VALUE"""),"不要")</f>
        <v>不要</v>
      </c>
      <c r="P147" s="6"/>
      <c r="Q147" s="6"/>
      <c r="R147" s="6"/>
      <c r="S147" s="6" t="str">
        <f aca="false">IFERROR(__xludf.dummyfunction("""COMPUTED_VALUE"""),"家具家電付き社宅")</f>
        <v>家具家電付き社宅</v>
      </c>
      <c r="T147" s="6" t="str">
        <f aca="false">IFERROR(__xludf.dummyfunction("""COMPUTED_VALUE"""),"利用しない")</f>
        <v>利用しない</v>
      </c>
      <c r="U147" s="6"/>
      <c r="V147" s="6" t="str">
        <f aca="false">IFERROR(__xludf.dummyfunction("""COMPUTED_VALUE"""),"徒歩, 自動車, 電車, バス")</f>
        <v>徒歩, 自動車, 電車, バス</v>
      </c>
      <c r="W147" s="6"/>
      <c r="X147" s="6" t="str">
        <f aca="false">IFERROR(__xludf.dummyfunction("""COMPUTED_VALUE"""),"実家")</f>
        <v>実家</v>
      </c>
      <c r="Y147" s="6"/>
      <c r="Z147" s="6" t="str">
        <f aca="false">IFERROR(__xludf.dummyfunction("""COMPUTED_VALUE"""),"希望する")</f>
        <v>希望する</v>
      </c>
      <c r="AA147" s="6" t="str">
        <f aca="false">IFERROR(__xludf.dummyfunction("""COMPUTED_VALUE"""),"単身")</f>
        <v>単身</v>
      </c>
      <c r="AB147" s="6"/>
      <c r="AC147" s="6"/>
      <c r="AD147" s="6"/>
      <c r="AE147" s="6" t="str">
        <f aca="false">IFERROR(__xludf.dummyfunction("""COMPUTED_VALUE"""),"確認しました。")</f>
        <v>確認しました。</v>
      </c>
      <c r="AF147" s="6" t="str">
        <f aca="false">IFERROR(__xludf.dummyfunction("""COMPUTED_VALUE"""),"社宅基準の内容について確認しました")</f>
        <v>社宅基準の内容について確認しました</v>
      </c>
      <c r="AG147" s="6" t="str">
        <f aca="false">IFERROR(__xludf.dummyfunction("""COMPUTED_VALUE"""),"入居のしおりの内容についてご確認しました")</f>
        <v>入居のしおりの内容についてご確認しました</v>
      </c>
      <c r="AH147" s="6" t="str">
        <f aca="false">IFERROR(__xludf.dummyfunction("""COMPUTED_VALUE"""),"確認しました")</f>
        <v>確認しました</v>
      </c>
      <c r="AI147" s="6"/>
      <c r="AJ147" s="6" t="str">
        <v/>
      </c>
      <c r="AK147" s="6" t="str">
        <v/>
      </c>
      <c r="AL147" s="6" t="str">
        <v/>
      </c>
      <c r="AM147" s="6" t="str">
        <v/>
      </c>
      <c r="AN147" s="6" t="n">
        <f aca="false">FALSE()</f>
        <v>0</v>
      </c>
    </row>
    <row r="148" customFormat="false" ht="52.5" hidden="false" customHeight="true" outlineLevel="0" collapsed="false">
      <c r="A148" s="6" t="str">
        <f aca="false">IFERROR(__xludf.dummyfunction("""COMPUTED_VALUE"""),"2026/02/19 7:48:22")</f>
        <v>2026/02/19 7:48:22</v>
      </c>
      <c r="B148" s="6"/>
      <c r="C148" s="6" t="str">
        <f aca="false">IFERROR(__xludf.dummyfunction("""COMPUTED_VALUE"""),"69713")</f>
        <v>69713</v>
      </c>
      <c r="D148" s="6"/>
      <c r="E148" s="6"/>
      <c r="F148" s="6"/>
      <c r="G148" s="6" t="str">
        <f aca="false">IFERROR(__xludf.dummyfunction("""COMPUTED_VALUE"""),"2026/05/16")</f>
        <v>2026/05/16</v>
      </c>
      <c r="H148" s="6" t="str">
        <f aca="false">IFERROR(__xludf.dummyfunction("""COMPUTED_VALUE"""),"必要")</f>
        <v>必要</v>
      </c>
      <c r="I148" s="6" t="str">
        <f aca="false">IFERROR(__xludf.dummyfunction("""COMPUTED_VALUE"""),"男性")</f>
        <v>男性</v>
      </c>
      <c r="J148" s="6" t="str">
        <f aca="false">IFERROR(__xludf.dummyfunction("""COMPUTED_VALUE"""),"日本")</f>
        <v>日本</v>
      </c>
      <c r="K148" s="6" t="str">
        <f aca="false">IFERROR(__xludf.dummyfunction("""COMPUTED_VALUE"""),"15")</f>
        <v>15</v>
      </c>
      <c r="L148" s="6" t="str">
        <f aca="false">IFERROR(__xludf.dummyfunction("""COMPUTED_VALUE"""),"電子レンジ")</f>
        <v>電子レンジ</v>
      </c>
      <c r="M148" s="6" t="str">
        <f aca="false">IFERROR(__xludf.dummyfunction("""COMPUTED_VALUE"""),"ベッド(セミダブル) サイドテーブル")</f>
        <v>ベッド(セミダブル) サイドテーブル</v>
      </c>
      <c r="N148" s="6"/>
      <c r="O148" s="6" t="str">
        <f aca="false">IFERROR(__xludf.dummyfunction("""COMPUTED_VALUE"""),"不要")</f>
        <v>不要</v>
      </c>
      <c r="P148" s="6"/>
      <c r="Q148" s="6"/>
      <c r="R148" s="6"/>
      <c r="S148" s="6" t="str">
        <f aca="false">IFERROR(__xludf.dummyfunction("""COMPUTED_VALUE"""),"家具家電付き社宅")</f>
        <v>家具家電付き社宅</v>
      </c>
      <c r="T148" s="6" t="str">
        <f aca="false">IFERROR(__xludf.dummyfunction("""COMPUTED_VALUE"""),"利用する")</f>
        <v>利用する</v>
      </c>
      <c r="U148" s="6" t="str">
        <f aca="false">IFERROR(__xludf.dummyfunction("""COMPUTED_VALUE"""),"寝具一式、ローテーブル")</f>
        <v>寝具一式、ローテーブル</v>
      </c>
      <c r="V148" s="6" t="str">
        <f aca="false">IFERROR(__xludf.dummyfunction("""COMPUTED_VALUE"""),"電車")</f>
        <v>電車</v>
      </c>
      <c r="W148" s="6"/>
      <c r="X148" s="6" t="str">
        <f aca="false">IFERROR(__xludf.dummyfunction("""COMPUTED_VALUE"""),"ご自身で契約中の物件")</f>
        <v>ご自身で契約中の物件</v>
      </c>
      <c r="Y148" s="6"/>
      <c r="Z148" s="6" t="str">
        <f aca="false">IFERROR(__xludf.dummyfunction("""COMPUTED_VALUE"""),"希望する")</f>
        <v>希望する</v>
      </c>
      <c r="AA148" s="6" t="str">
        <f aca="false">IFERROR(__xludf.dummyfunction("""COMPUTED_VALUE"""),"単身")</f>
        <v>単身</v>
      </c>
      <c r="AB148" s="6"/>
      <c r="AC148" s="6"/>
      <c r="AD148" s="6"/>
      <c r="AE148" s="6" t="str">
        <f aca="false">IFERROR(__xludf.dummyfunction("""COMPUTED_VALUE"""),"確認しました。")</f>
        <v>確認しました。</v>
      </c>
      <c r="AF148" s="6" t="str">
        <f aca="false">IFERROR(__xludf.dummyfunction("""COMPUTED_VALUE"""),"社宅基準の内容について確認しました")</f>
        <v>社宅基準の内容について確認しました</v>
      </c>
      <c r="AG148" s="6" t="str">
        <f aca="false">IFERROR(__xludf.dummyfunction("""COMPUTED_VALUE"""),"入居のしおりの内容についてご確認しました")</f>
        <v>入居のしおりの内容についてご確認しました</v>
      </c>
      <c r="AH148" s="6" t="str">
        <f aca="false">IFERROR(__xludf.dummyfunction("""COMPUTED_VALUE"""),"確認しました")</f>
        <v>確認しました</v>
      </c>
      <c r="AI148" s="6"/>
      <c r="AJ148" s="6" t="str">
        <v/>
      </c>
      <c r="AK148" s="6" t="str">
        <v/>
      </c>
      <c r="AL148" s="6" t="str">
        <v/>
      </c>
      <c r="AM148" s="6" t="str">
        <v/>
      </c>
      <c r="AN148" s="6" t="n">
        <f aca="false">FALSE()</f>
        <v>0</v>
      </c>
    </row>
    <row r="149" customFormat="false" ht="52.5" hidden="false" customHeight="true" outlineLevel="0" collapsed="false">
      <c r="A149" s="6" t="str">
        <f aca="false">IFERROR(__xludf.dummyfunction("""COMPUTED_VALUE"""),"2026/02/19 12:25:00")</f>
        <v>2026/02/19 12:25:00</v>
      </c>
      <c r="B149" s="6"/>
      <c r="C149" s="6" t="str">
        <f aca="false">IFERROR(__xludf.dummyfunction("""COMPUTED_VALUE"""),"70221")</f>
        <v>70221</v>
      </c>
      <c r="D149" s="6"/>
      <c r="E149" s="6"/>
      <c r="F149" s="6"/>
      <c r="G149" s="6" t="str">
        <f aca="false">IFERROR(__xludf.dummyfunction("""COMPUTED_VALUE"""),"2026/03/16")</f>
        <v>2026/03/16</v>
      </c>
      <c r="H149" s="6" t="str">
        <f aca="false">IFERROR(__xludf.dummyfunction("""COMPUTED_VALUE"""),"不要")</f>
        <v>不要</v>
      </c>
      <c r="I149" s="6" t="str">
        <f aca="false">IFERROR(__xludf.dummyfunction("""COMPUTED_VALUE"""),"男性")</f>
        <v>男性</v>
      </c>
      <c r="J149" s="6" t="str">
        <f aca="false">IFERROR(__xludf.dummyfunction("""COMPUTED_VALUE"""),"日本")</f>
        <v>日本</v>
      </c>
      <c r="K149" s="6"/>
      <c r="L149" s="6"/>
      <c r="M149" s="6"/>
      <c r="N149" s="6"/>
      <c r="O149" s="6" t="str">
        <f aca="false">IFERROR(__xludf.dummyfunction("""COMPUTED_VALUE"""),"不要")</f>
        <v>不要</v>
      </c>
      <c r="P149" s="6"/>
      <c r="Q149" s="6"/>
      <c r="R149" s="6"/>
      <c r="S149" s="6" t="str">
        <f aca="false">IFERROR(__xludf.dummyfunction("""COMPUTED_VALUE"""),"家具家電なし社宅")</f>
        <v>家具家電なし社宅</v>
      </c>
      <c r="T149" s="6" t="str">
        <f aca="false">IFERROR(__xludf.dummyfunction("""COMPUTED_VALUE"""),"利用しない")</f>
        <v>利用しない</v>
      </c>
      <c r="U149" s="6"/>
      <c r="V149" s="6" t="str">
        <f aca="false">IFERROR(__xludf.dummyfunction("""COMPUTED_VALUE"""),"電車")</f>
        <v>電車</v>
      </c>
      <c r="W149" s="6"/>
      <c r="X149" s="6" t="str">
        <f aca="false">IFERROR(__xludf.dummyfunction("""COMPUTED_VALUE"""),"実家")</f>
        <v>実家</v>
      </c>
      <c r="Y149" s="6"/>
      <c r="Z149" s="6" t="str">
        <f aca="false">IFERROR(__xludf.dummyfunction("""COMPUTED_VALUE"""),"希望する")</f>
        <v>希望する</v>
      </c>
      <c r="AA149" s="6" t="str">
        <f aca="false">IFERROR(__xludf.dummyfunction("""COMPUTED_VALUE"""),"単身")</f>
        <v>単身</v>
      </c>
      <c r="AB149" s="6"/>
      <c r="AC149" s="6"/>
      <c r="AD149" s="6" t="str">
        <f aca="false">IFERROR(__xludf.dummyfunction("""COMPUTED_VALUE"""),"バイクを持っていてその駐車場")</f>
        <v>バイクを持っていてその駐車場</v>
      </c>
      <c r="AE149" s="6" t="str">
        <f aca="false">IFERROR(__xludf.dummyfunction("""COMPUTED_VALUE"""),"確認しました。")</f>
        <v>確認しました。</v>
      </c>
      <c r="AF149" s="6" t="str">
        <f aca="false">IFERROR(__xludf.dummyfunction("""COMPUTED_VALUE"""),"社宅基準の内容について確認しました")</f>
        <v>社宅基準の内容について確認しました</v>
      </c>
      <c r="AG149" s="6" t="str">
        <f aca="false">IFERROR(__xludf.dummyfunction("""COMPUTED_VALUE"""),"入居のしおりの内容についてご確認しました")</f>
        <v>入居のしおりの内容についてご確認しました</v>
      </c>
      <c r="AH149" s="6" t="str">
        <f aca="false">IFERROR(__xludf.dummyfunction("""COMPUTED_VALUE"""),"確認しました")</f>
        <v>確認しました</v>
      </c>
      <c r="AI149" s="6"/>
      <c r="AJ149" s="6" t="str">
        <v/>
      </c>
      <c r="AK149" s="6" t="str">
        <v/>
      </c>
      <c r="AL149" s="6" t="str">
        <v/>
      </c>
      <c r="AM149" s="6" t="str">
        <v/>
      </c>
      <c r="AN149" s="6" t="n">
        <f aca="false">FALSE()</f>
        <v>0</v>
      </c>
    </row>
    <row r="150" customFormat="false" ht="52.5" hidden="false" customHeight="true" outlineLevel="0" collapsed="false">
      <c r="A150" s="6" t="str">
        <f aca="false">IFERROR(__xludf.dummyfunction("""COMPUTED_VALUE"""),"2026/02/19 13:21:14")</f>
        <v>2026/02/19 13:21:14</v>
      </c>
      <c r="B150" s="6"/>
      <c r="C150" s="6" t="str">
        <f aca="false">IFERROR(__xludf.dummyfunction("""COMPUTED_VALUE"""),"70129")</f>
        <v>70129</v>
      </c>
      <c r="D150" s="6"/>
      <c r="E150" s="6"/>
      <c r="F150" s="6"/>
      <c r="G150" s="6" t="str">
        <f aca="false">IFERROR(__xludf.dummyfunction("""COMPUTED_VALUE"""),"2026/03/25")</f>
        <v>2026/03/25</v>
      </c>
      <c r="H150" s="6" t="str">
        <f aca="false">IFERROR(__xludf.dummyfunction("""COMPUTED_VALUE"""),"必要")</f>
        <v>必要</v>
      </c>
      <c r="I150" s="6" t="str">
        <f aca="false">IFERROR(__xludf.dummyfunction("""COMPUTED_VALUE"""),"女性")</f>
        <v>女性</v>
      </c>
      <c r="J150" s="6" t="str">
        <f aca="false">IFERROR(__xludf.dummyfunction("""COMPUTED_VALUE"""),"日本")</f>
        <v>日本</v>
      </c>
      <c r="K150" s="6" t="str">
        <f aca="false">IFERROR(__xludf.dummyfunction("""COMPUTED_VALUE"""),"20")</f>
        <v>20</v>
      </c>
      <c r="L150" s="6" t="str">
        <f aca="false">IFERROR(__xludf.dummyfunction("""COMPUTED_VALUE"""),"冷蔵庫(単身用）・洗濯機(単身用：約５㎏）・電子レンジ・ケトル・トースター・プロジェクター")</f>
        <v>冷蔵庫(単身用）・洗濯機(単身用：約５㎏）・電子レンジ・ケトル・トースター・プロジェクター</v>
      </c>
      <c r="M150" s="6" t="str">
        <f aca="false">IFERROR(__xludf.dummyfunction("""COMPUTED_VALUE"""),"机(横約80㎝・奥約35㎝・高さ約40㎝）・ベッド（セミダブル）・カラーボックス・ブックシェルフ")</f>
        <v>机(横約80㎝・奥約35㎝・高さ約40㎝）・ベッド（セミダブル）・カラーボックス・ブックシェルフ</v>
      </c>
      <c r="N150" s="6"/>
      <c r="O150" s="6" t="str">
        <f aca="false">IFERROR(__xludf.dummyfunction("""COMPUTED_VALUE"""),"不要")</f>
        <v>不要</v>
      </c>
      <c r="P150" s="6"/>
      <c r="Q150" s="6"/>
      <c r="R150" s="6"/>
      <c r="S150" s="6" t="str">
        <f aca="false">IFERROR(__xludf.dummyfunction("""COMPUTED_VALUE"""),"家具家電なし社宅")</f>
        <v>家具家電なし社宅</v>
      </c>
      <c r="T150" s="6" t="str">
        <f aca="false">IFERROR(__xludf.dummyfunction("""COMPUTED_VALUE"""),"利用しない")</f>
        <v>利用しない</v>
      </c>
      <c r="U150" s="6"/>
      <c r="V150" s="6" t="str">
        <f aca="false">IFERROR(__xludf.dummyfunction("""COMPUTED_VALUE"""),"徒歩, 電車, バス")</f>
        <v>徒歩, 電車, バス</v>
      </c>
      <c r="W150" s="6"/>
      <c r="X150" s="6" t="str">
        <f aca="false">IFERROR(__xludf.dummyfunction("""COMPUTED_VALUE"""),"株式会社ビーネックステクノロジーズの社宅")</f>
        <v>株式会社ビーネックステクノロジーズの社宅</v>
      </c>
      <c r="Y150" s="6" t="str">
        <f aca="false">IFERROR(__xludf.dummyfunction("""COMPUTED_VALUE"""),"利用なし")</f>
        <v>利用なし</v>
      </c>
      <c r="Z150" s="6" t="str">
        <f aca="false">IFERROR(__xludf.dummyfunction("""COMPUTED_VALUE"""),"希望する")</f>
        <v>希望する</v>
      </c>
      <c r="AA150" s="6" t="str">
        <f aca="false">IFERROR(__xludf.dummyfunction("""COMPUTED_VALUE"""),"単身")</f>
        <v>単身</v>
      </c>
      <c r="AB150" s="6"/>
      <c r="AC150" s="6"/>
      <c r="AD150" s="6" t="str">
        <f aca="false">IFERROR(__xludf.dummyfunction("""COMPUTED_VALUE"""),"ガスコンロ2口
築年数15年（リノベされていた場合は、築年数こだわりありません。）
7畳～
3階～
モバイル通信などの電波が入るところ
日当たりが良い
バルコニー(ベランダ）付き
トイレと浴室別（水回りがきれい）
脱衣所あり
収納スペース広め
鉄筋(隣部屋の生活音が聞こえない）
オートロック
駅近（駅から徒歩５分～10分未満）
中央線・御堂筋線・堺筋線・谷町線
通勤時間：電車と徒歩合わせて20分以内
")</f>
        <v>ガスコンロ2口
築年数15年（リノベされていた場合は、築年数こだわりありません。）
7畳～
3階～
モバイル通信などの電波が入るところ
日当たりが良い
バルコニー(ベランダ）付き
トイレと浴室別（水回りがきれい）
脱衣所あり
収納スペース広め
鉄筋(隣部屋の生活音が聞こえない）
オートロック
駅近（駅から徒歩５分～10分未満）
中央線・御堂筋線・堺筋線・谷町線
通勤時間：電車と徒歩合わせて20分以内
</v>
      </c>
      <c r="AE150" s="6" t="str">
        <f aca="false">IFERROR(__xludf.dummyfunction("""COMPUTED_VALUE"""),"確認しました。")</f>
        <v>確認しました。</v>
      </c>
      <c r="AF150" s="6" t="str">
        <f aca="false">IFERROR(__xludf.dummyfunction("""COMPUTED_VALUE"""),"社宅基準の内容について確認しました")</f>
        <v>社宅基準の内容について確認しました</v>
      </c>
      <c r="AG150" s="6" t="str">
        <f aca="false">IFERROR(__xludf.dummyfunction("""COMPUTED_VALUE"""),"入居のしおりの内容についてご確認しました")</f>
        <v>入居のしおりの内容についてご確認しました</v>
      </c>
      <c r="AH150" s="6" t="str">
        <f aca="false">IFERROR(__xludf.dummyfunction("""COMPUTED_VALUE"""),"確認しました")</f>
        <v>確認しました</v>
      </c>
      <c r="AI150" s="6"/>
      <c r="AJ150" s="6" t="str">
        <v/>
      </c>
      <c r="AK150" s="6" t="str">
        <v/>
      </c>
      <c r="AL150" s="6" t="str">
        <v/>
      </c>
      <c r="AM150" s="6" t="str">
        <v/>
      </c>
      <c r="AN150" s="6" t="n">
        <f aca="false">TRUE()</f>
        <v>1</v>
      </c>
    </row>
    <row r="151" customFormat="false" ht="52.5" hidden="false" customHeight="true" outlineLevel="0" collapsed="false">
      <c r="A151" s="6" t="str">
        <f aca="false">IFERROR(__xludf.dummyfunction("""COMPUTED_VALUE"""),"2026/02/19 14:09:37")</f>
        <v>2026/02/19 14:09:37</v>
      </c>
      <c r="B151" s="6"/>
      <c r="C151" s="6" t="str">
        <f aca="false">IFERROR(__xludf.dummyfunction("""COMPUTED_VALUE"""),"70052")</f>
        <v>70052</v>
      </c>
      <c r="D151" s="6"/>
      <c r="E151" s="6"/>
      <c r="F151" s="6"/>
      <c r="G151" s="6" t="str">
        <f aca="false">IFERROR(__xludf.dummyfunction("""COMPUTED_VALUE"""),"2026/03/20")</f>
        <v>2026/03/20</v>
      </c>
      <c r="H151" s="6" t="str">
        <f aca="false">IFERROR(__xludf.dummyfunction("""COMPUTED_VALUE"""),"不要")</f>
        <v>不要</v>
      </c>
      <c r="I151" s="6" t="str">
        <f aca="false">IFERROR(__xludf.dummyfunction("""COMPUTED_VALUE"""),"男性")</f>
        <v>男性</v>
      </c>
      <c r="J151" s="6" t="str">
        <f aca="false">IFERROR(__xludf.dummyfunction("""COMPUTED_VALUE"""),"ブラジル")</f>
        <v>ブラジル</v>
      </c>
      <c r="K151" s="6"/>
      <c r="L151" s="6"/>
      <c r="M151" s="6"/>
      <c r="N151" s="6"/>
      <c r="O151" s="6" t="str">
        <f aca="false">IFERROR(__xludf.dummyfunction("""COMPUTED_VALUE"""),"必要")</f>
        <v>必要</v>
      </c>
      <c r="P151" s="6" t="str">
        <f aca="false">IFERROR(__xludf.dummyfunction("""COMPUTED_VALUE"""),"ゴルフ")</f>
        <v>ゴルフ</v>
      </c>
      <c r="Q151" s="6" t="str">
        <f aca="false">IFERROR(__xludf.dummyfunction("""COMPUTED_VALUE"""),"は18-39")</f>
        <v>は18-39</v>
      </c>
      <c r="R151" s="6" t="str">
        <f aca="false">IFERROR(__xludf.dummyfunction("""COMPUTED_VALUE"""),"黒")</f>
        <v>黒</v>
      </c>
      <c r="S151" s="6" t="str">
        <f aca="false">IFERROR(__xludf.dummyfunction("""COMPUTED_VALUE"""),"家具家電なし社宅")</f>
        <v>家具家電なし社宅</v>
      </c>
      <c r="T151" s="6" t="str">
        <f aca="false">IFERROR(__xludf.dummyfunction("""COMPUTED_VALUE"""),"利用しない")</f>
        <v>利用しない</v>
      </c>
      <c r="U151" s="6"/>
      <c r="V151" s="6" t="str">
        <f aca="false">IFERROR(__xludf.dummyfunction("""COMPUTED_VALUE"""),"自動車")</f>
        <v>自動車</v>
      </c>
      <c r="W151" s="6"/>
      <c r="X151" s="6" t="str">
        <f aca="false">IFERROR(__xludf.dummyfunction("""COMPUTED_VALUE"""),"実家")</f>
        <v>実家</v>
      </c>
      <c r="Y151" s="6"/>
      <c r="Z151" s="6" t="str">
        <f aca="false">IFERROR(__xludf.dummyfunction("""COMPUTED_VALUE"""),"希望しない")</f>
        <v>希望しない</v>
      </c>
      <c r="AA151" s="6" t="str">
        <f aca="false">IFERROR(__xludf.dummyfunction("""COMPUTED_VALUE"""),"単身")</f>
        <v>単身</v>
      </c>
      <c r="AB151" s="6"/>
      <c r="AC151" s="6"/>
      <c r="AD151" s="6"/>
      <c r="AE151" s="6" t="str">
        <f aca="false">IFERROR(__xludf.dummyfunction("""COMPUTED_VALUE"""),"確認しました。")</f>
        <v>確認しました。</v>
      </c>
      <c r="AF151" s="6" t="str">
        <f aca="false">IFERROR(__xludf.dummyfunction("""COMPUTED_VALUE"""),"社宅基準の内容について確認しました")</f>
        <v>社宅基準の内容について確認しました</v>
      </c>
      <c r="AG151" s="6" t="str">
        <f aca="false">IFERROR(__xludf.dummyfunction("""COMPUTED_VALUE"""),"入居のしおりの内容についてご確認しました")</f>
        <v>入居のしおりの内容についてご確認しました</v>
      </c>
      <c r="AH151" s="6" t="str">
        <f aca="false">IFERROR(__xludf.dummyfunction("""COMPUTED_VALUE"""),"確認しました")</f>
        <v>確認しました</v>
      </c>
      <c r="AI151" s="6"/>
      <c r="AJ151" s="6" t="str">
        <v/>
      </c>
      <c r="AK151" s="6" t="str">
        <v/>
      </c>
      <c r="AL151" s="6" t="str">
        <v/>
      </c>
      <c r="AM151" s="6" t="str">
        <v/>
      </c>
      <c r="AN151" s="6" t="n">
        <f aca="false">FALSE()</f>
        <v>0</v>
      </c>
    </row>
    <row r="152" customFormat="false" ht="52.5" hidden="false" customHeight="true" outlineLevel="0" collapsed="false">
      <c r="A152" s="6" t="str">
        <f aca="false">IFERROR(__xludf.dummyfunction("""COMPUTED_VALUE"""),"2026/02/19 15:42:43")</f>
        <v>2026/02/19 15:42:43</v>
      </c>
      <c r="B152" s="6"/>
      <c r="C152" s="6" t="str">
        <f aca="false">IFERROR(__xludf.dummyfunction("""COMPUTED_VALUE"""),"70074")</f>
        <v>70074</v>
      </c>
      <c r="D152" s="6"/>
      <c r="E152" s="6"/>
      <c r="F152" s="6"/>
      <c r="G152" s="6" t="str">
        <f aca="false">IFERROR(__xludf.dummyfunction("""COMPUTED_VALUE"""),"2026/03/13")</f>
        <v>2026/03/13</v>
      </c>
      <c r="H152" s="6" t="str">
        <f aca="false">IFERROR(__xludf.dummyfunction("""COMPUTED_VALUE"""),"必要")</f>
        <v>必要</v>
      </c>
      <c r="I152" s="6" t="str">
        <f aca="false">IFERROR(__xludf.dummyfunction("""COMPUTED_VALUE"""),"男性")</f>
        <v>男性</v>
      </c>
      <c r="J152" s="6" t="str">
        <f aca="false">IFERROR(__xludf.dummyfunction("""COMPUTED_VALUE"""),"日本")</f>
        <v>日本</v>
      </c>
      <c r="K152" s="6" t="str">
        <f aca="false">IFERROR(__xludf.dummyfunction("""COMPUTED_VALUE"""),"10")</f>
        <v>10</v>
      </c>
      <c r="L152" s="6" t="str">
        <f aca="false">IFERROR(__xludf.dummyfunction("""COMPUTED_VALUE"""),"冷蔵庫(単身用)、電子レンジ、オーブントースター、縦型洗濯機、炊飯器、給湯器、デスクトップパソコン")</f>
        <v>冷蔵庫(単身用)、電子レンジ、オーブントースター、縦型洗濯機、炊飯器、給湯器、デスクトップパソコン</v>
      </c>
      <c r="M152" s="6" t="str">
        <f aca="false">IFERROR(__xludf.dummyfunction("""COMPUTED_VALUE"""),"棚(幅90,奥行40,高さ40)、棚(幅55,奥行40,高さ60)、机(幅120,奥行60,高さ73)、椅子")</f>
        <v>棚(幅90,奥行40,高さ40)、棚(幅55,奥行40,高さ60)、机(幅120,奥行60,高さ73)、椅子</v>
      </c>
      <c r="N152" s="6"/>
      <c r="O152" s="6" t="str">
        <f aca="false">IFERROR(__xludf.dummyfunction("""COMPUTED_VALUE"""),"不要")</f>
        <v>不要</v>
      </c>
      <c r="P152" s="6"/>
      <c r="Q152" s="6"/>
      <c r="R152" s="6"/>
      <c r="S152" s="6" t="str">
        <f aca="false">IFERROR(__xludf.dummyfunction("""COMPUTED_VALUE"""),"家具家電付き社宅")</f>
        <v>家具家電付き社宅</v>
      </c>
      <c r="T152" s="6" t="str">
        <f aca="false">IFERROR(__xludf.dummyfunction("""COMPUTED_VALUE"""),"利用しない")</f>
        <v>利用しない</v>
      </c>
      <c r="U152" s="6"/>
      <c r="V152" s="6" t="str">
        <f aca="false">IFERROR(__xludf.dummyfunction("""COMPUTED_VALUE"""),"徒歩, 電車")</f>
        <v>徒歩, 電車</v>
      </c>
      <c r="W152" s="6"/>
      <c r="X152" s="6" t="str">
        <f aca="false">IFERROR(__xludf.dummyfunction("""COMPUTED_VALUE"""),"ご自身で契約中の物件")</f>
        <v>ご自身で契約中の物件</v>
      </c>
      <c r="Y152" s="6"/>
      <c r="Z152" s="6" t="str">
        <f aca="false">IFERROR(__xludf.dummyfunction("""COMPUTED_VALUE"""),"希望する")</f>
        <v>希望する</v>
      </c>
      <c r="AA152" s="6" t="str">
        <f aca="false">IFERROR(__xludf.dummyfunction("""COMPUTED_VALUE"""),"単身")</f>
        <v>単身</v>
      </c>
      <c r="AB152" s="6"/>
      <c r="AC152" s="6"/>
      <c r="AD152" s="6" t="str">
        <f aca="false">IFERROR(__xludf.dummyfunction("""COMPUTED_VALUE"""),"既存の家電は持って行くので、出来れば既存の家電を除いた物件だと助かります。
回線良い環境にしようと思っていますので、回線工事が出来る物件がよろしいです。
よろしくお願いいたします。")</f>
        <v>既存の家電は持って行くので、出来れば既存の家電を除いた物件だと助かります。
回線良い環境にしようと思っていますので、回線工事が出来る物件がよろしいです。
よろしくお願いいたします。</v>
      </c>
      <c r="AE152" s="6" t="str">
        <f aca="false">IFERROR(__xludf.dummyfunction("""COMPUTED_VALUE"""),"確認しました。")</f>
        <v>確認しました。</v>
      </c>
      <c r="AF152" s="6" t="str">
        <f aca="false">IFERROR(__xludf.dummyfunction("""COMPUTED_VALUE"""),"社宅基準の内容について確認しました")</f>
        <v>社宅基準の内容について確認しました</v>
      </c>
      <c r="AG152" s="6" t="str">
        <f aca="false">IFERROR(__xludf.dummyfunction("""COMPUTED_VALUE"""),"入居のしおりの内容についてご確認しました")</f>
        <v>入居のしおりの内容についてご確認しました</v>
      </c>
      <c r="AH152" s="6" t="str">
        <f aca="false">IFERROR(__xludf.dummyfunction("""COMPUTED_VALUE"""),"確認しました")</f>
        <v>確認しました</v>
      </c>
      <c r="AI152" s="6"/>
      <c r="AJ152" s="6" t="str">
        <v/>
      </c>
      <c r="AK152" s="6" t="str">
        <v/>
      </c>
      <c r="AL152" s="6" t="str">
        <v/>
      </c>
      <c r="AM152" s="6" t="str">
        <v/>
      </c>
      <c r="AN152" s="6" t="n">
        <f aca="false">TRUE()</f>
        <v>1</v>
      </c>
    </row>
    <row r="153" customFormat="false" ht="52.5" hidden="false" customHeight="true" outlineLevel="0" collapsed="false">
      <c r="A153" s="6" t="str">
        <f aca="false">IFERROR(__xludf.dummyfunction("""COMPUTED_VALUE"""),"2026/02/19 17:48:09")</f>
        <v>2026/02/19 17:48:09</v>
      </c>
      <c r="B153" s="6"/>
      <c r="C153" s="6" t="str">
        <f aca="false">IFERROR(__xludf.dummyfunction("""COMPUTED_VALUE"""),"70105")</f>
        <v>70105</v>
      </c>
      <c r="D153" s="6"/>
      <c r="E153" s="6"/>
      <c r="F153" s="6"/>
      <c r="G153" s="6" t="str">
        <f aca="false">IFERROR(__xludf.dummyfunction("""COMPUTED_VALUE"""),"2026/03/31")</f>
        <v>2026/03/31</v>
      </c>
      <c r="H153" s="6" t="str">
        <f aca="false">IFERROR(__xludf.dummyfunction("""COMPUTED_VALUE"""),"必要")</f>
        <v>必要</v>
      </c>
      <c r="I153" s="6" t="str">
        <f aca="false">IFERROR(__xludf.dummyfunction("""COMPUTED_VALUE"""),"男性")</f>
        <v>男性</v>
      </c>
      <c r="J153" s="6" t="str">
        <f aca="false">IFERROR(__xludf.dummyfunction("""COMPUTED_VALUE"""),"日本")</f>
        <v>日本</v>
      </c>
      <c r="K153" s="6" t="str">
        <f aca="false">IFERROR(__xludf.dummyfunction("""COMPUTED_VALUE"""),"3")</f>
        <v>3</v>
      </c>
      <c r="L153" s="6" t="str">
        <f aca="false">IFERROR(__xludf.dummyfunction("""COMPUTED_VALUE"""),"テレビ、電子レンジ")</f>
        <v>テレビ、電子レンジ</v>
      </c>
      <c r="M153" s="6" t="str">
        <f aca="false">IFERROR(__xludf.dummyfunction("""COMPUTED_VALUE"""),"布団、本棚")</f>
        <v>布団、本棚</v>
      </c>
      <c r="N153" s="6"/>
      <c r="O153" s="6" t="str">
        <f aca="false">IFERROR(__xludf.dummyfunction("""COMPUTED_VALUE"""),"不要")</f>
        <v>不要</v>
      </c>
      <c r="P153" s="6"/>
      <c r="Q153" s="6"/>
      <c r="R153" s="6"/>
      <c r="S153" s="6" t="str">
        <f aca="false">IFERROR(__xludf.dummyfunction("""COMPUTED_VALUE"""),"家具家電なし社宅")</f>
        <v>家具家電なし社宅</v>
      </c>
      <c r="T153" s="6" t="str">
        <f aca="false">IFERROR(__xludf.dummyfunction("""COMPUTED_VALUE"""),"利用する")</f>
        <v>利用する</v>
      </c>
      <c r="U153" s="6" t="str">
        <f aca="false">IFERROR(__xludf.dummyfunction("""COMPUTED_VALUE"""),"エアコン")</f>
        <v>エアコン</v>
      </c>
      <c r="V153" s="6" t="str">
        <f aca="false">IFERROR(__xludf.dummyfunction("""COMPUTED_VALUE"""),"社用バス")</f>
        <v>社用バス</v>
      </c>
      <c r="W153" s="6"/>
      <c r="X153" s="6" t="str">
        <f aca="false">IFERROR(__xludf.dummyfunction("""COMPUTED_VALUE"""),"実家")</f>
        <v>実家</v>
      </c>
      <c r="Y153" s="6"/>
      <c r="Z153" s="6" t="str">
        <f aca="false">IFERROR(__xludf.dummyfunction("""COMPUTED_VALUE"""),"希望する")</f>
        <v>希望する</v>
      </c>
      <c r="AA153" s="6" t="str">
        <f aca="false">IFERROR(__xludf.dummyfunction("""COMPUTED_VALUE"""),"単身")</f>
        <v>単身</v>
      </c>
      <c r="AB153" s="6"/>
      <c r="AC153" s="6"/>
      <c r="AD153" s="6"/>
      <c r="AE153" s="6" t="str">
        <f aca="false">IFERROR(__xludf.dummyfunction("""COMPUTED_VALUE"""),"確認しました。")</f>
        <v>確認しました。</v>
      </c>
      <c r="AF153" s="6" t="str">
        <f aca="false">IFERROR(__xludf.dummyfunction("""COMPUTED_VALUE"""),"社宅基準の内容について確認しました")</f>
        <v>社宅基準の内容について確認しました</v>
      </c>
      <c r="AG153" s="6" t="str">
        <f aca="false">IFERROR(__xludf.dummyfunction("""COMPUTED_VALUE"""),"入居のしおりの内容についてご確認しました")</f>
        <v>入居のしおりの内容についてご確認しました</v>
      </c>
      <c r="AH153" s="6" t="str">
        <f aca="false">IFERROR(__xludf.dummyfunction("""COMPUTED_VALUE"""),"確認しました")</f>
        <v>確認しました</v>
      </c>
      <c r="AI153" s="6"/>
      <c r="AJ153" s="6" t="str">
        <v/>
      </c>
      <c r="AK153" s="6" t="str">
        <v/>
      </c>
      <c r="AL153" s="6" t="str">
        <v/>
      </c>
      <c r="AM153" s="6" t="str">
        <v/>
      </c>
      <c r="AN153" s="6" t="n">
        <f aca="false">TRUE()</f>
        <v>1</v>
      </c>
    </row>
    <row r="154" customFormat="false" ht="52.5" hidden="false" customHeight="true" outlineLevel="0" collapsed="false">
      <c r="A154" s="6" t="str">
        <f aca="false">IFERROR(__xludf.dummyfunction("""COMPUTED_VALUE"""),"2026/02/19 17:49:13")</f>
        <v>2026/02/19 17:49:13</v>
      </c>
      <c r="B154" s="6"/>
      <c r="C154" s="6" t="str">
        <f aca="false">IFERROR(__xludf.dummyfunction("""COMPUTED_VALUE"""),"70200")</f>
        <v>70200</v>
      </c>
      <c r="D154" s="6"/>
      <c r="E154" s="6"/>
      <c r="F154" s="6"/>
      <c r="G154" s="6" t="str">
        <f aca="false">IFERROR(__xludf.dummyfunction("""COMPUTED_VALUE"""),"2026/03/28")</f>
        <v>2026/03/28</v>
      </c>
      <c r="H154" s="6" t="str">
        <f aca="false">IFERROR(__xludf.dummyfunction("""COMPUTED_VALUE"""),"必要")</f>
        <v>必要</v>
      </c>
      <c r="I154" s="6" t="str">
        <f aca="false">IFERROR(__xludf.dummyfunction("""COMPUTED_VALUE"""),"男性")</f>
        <v>男性</v>
      </c>
      <c r="J154" s="6" t="str">
        <f aca="false">IFERROR(__xludf.dummyfunction("""COMPUTED_VALUE"""),"日本")</f>
        <v>日本</v>
      </c>
      <c r="K154" s="6" t="str">
        <f aca="false">IFERROR(__xludf.dummyfunction("""COMPUTED_VALUE"""),"20")</f>
        <v>20</v>
      </c>
      <c r="L154" s="6" t="str">
        <f aca="false">IFERROR(__xludf.dummyfunction("""COMPUTED_VALUE"""),"冷蔵庫(単身用)、洗濯機、電子レンジ、送風機、ウォーターサーバー、ガスコンロ")</f>
        <v>冷蔵庫(単身用)、洗濯機、電子レンジ、送風機、ウォーターサーバー、ガスコンロ</v>
      </c>
      <c r="M154" s="6" t="str">
        <f aca="false">IFERROR(__xludf.dummyfunction("""COMPUTED_VALUE"""),"ソファーベッド(2人)、マット(一人)、ビーズクッション2つ、棚(縦88×横60×奥行30)、棚(縦72×横58×奥行34)、棚(縦180×横85×奥行40)、棚(縦90×横40×奥行30)")</f>
        <v>ソファーベッド(2人)、マット(一人)、ビーズクッション2つ、棚(縦88×横60×奥行30)、棚(縦72×横58×奥行34)、棚(縦180×横85×奥行40)、棚(縦90×横40×奥行30)</v>
      </c>
      <c r="N154" s="6" t="str">
        <f aca="false">IFERROR(__xludf.dummyfunction("""COMPUTED_VALUE"""),"キャリーケース2つ、ハンガーラック")</f>
        <v>キャリーケース2つ、ハンガーラック</v>
      </c>
      <c r="O154" s="6" t="str">
        <f aca="false">IFERROR(__xludf.dummyfunction("""COMPUTED_VALUE"""),"必要")</f>
        <v>必要</v>
      </c>
      <c r="P154" s="6" t="str">
        <f aca="false">IFERROR(__xludf.dummyfunction("""COMPUTED_VALUE"""),"フレアクロスオーバー")</f>
        <v>フレアクロスオーバー</v>
      </c>
      <c r="Q154" s="6" t="str">
        <f aca="false">IFERROR(__xludf.dummyfunction("""COMPUTED_VALUE"""),"ふ95-61")</f>
        <v>ふ95-61</v>
      </c>
      <c r="R154" s="6" t="str">
        <f aca="false">IFERROR(__xludf.dummyfunction("""COMPUTED_VALUE"""),"カーキー")</f>
        <v>カーキー</v>
      </c>
      <c r="S154" s="6" t="str">
        <f aca="false">IFERROR(__xludf.dummyfunction("""COMPUTED_VALUE"""),"家具家電なし社宅")</f>
        <v>家具家電なし社宅</v>
      </c>
      <c r="T154" s="6" t="str">
        <f aca="false">IFERROR(__xludf.dummyfunction("""COMPUTED_VALUE"""),"利用しない")</f>
        <v>利用しない</v>
      </c>
      <c r="U154" s="6"/>
      <c r="V154" s="6" t="str">
        <f aca="false">IFERROR(__xludf.dummyfunction("""COMPUTED_VALUE"""),"電車")</f>
        <v>電車</v>
      </c>
      <c r="W154" s="6"/>
      <c r="X154" s="6" t="str">
        <f aca="false">IFERROR(__xludf.dummyfunction("""COMPUTED_VALUE"""),"株式会社ビーネックステクノロジーズの社宅")</f>
        <v>株式会社ビーネックステクノロジーズの社宅</v>
      </c>
      <c r="Y154" s="6" t="str">
        <f aca="false">IFERROR(__xludf.dummyfunction("""COMPUTED_VALUE"""),"利用なし")</f>
        <v>利用なし</v>
      </c>
      <c r="Z154" s="6" t="str">
        <f aca="false">IFERROR(__xludf.dummyfunction("""COMPUTED_VALUE"""),"希望しない")</f>
        <v>希望しない</v>
      </c>
      <c r="AA154" s="6" t="str">
        <f aca="false">IFERROR(__xludf.dummyfunction("""COMPUTED_VALUE"""),"単身")</f>
        <v>単身</v>
      </c>
      <c r="AB154" s="6"/>
      <c r="AC154" s="6"/>
      <c r="AD154" s="6" t="str">
        <f aca="false">IFERROR(__xludf.dummyfunction("""COMPUTED_VALUE"""),"できれば2部屋の部屋がいいです。
駅から徒歩15分以内だと嬉しいです。
電車通勤なので名古屋市北区の上飯田駅の近くだと有難いです。")</f>
        <v>できれば2部屋の部屋がいいです。
駅から徒歩15分以内だと嬉しいです。
電車通勤なので名古屋市北区の上飯田駅の近くだと有難いです。</v>
      </c>
      <c r="AE154" s="6" t="str">
        <f aca="false">IFERROR(__xludf.dummyfunction("""COMPUTED_VALUE"""),"確認しました。")</f>
        <v>確認しました。</v>
      </c>
      <c r="AF154" s="6" t="str">
        <f aca="false">IFERROR(__xludf.dummyfunction("""COMPUTED_VALUE"""),"社宅基準の内容について確認しました")</f>
        <v>社宅基準の内容について確認しました</v>
      </c>
      <c r="AG154" s="6" t="str">
        <f aca="false">IFERROR(__xludf.dummyfunction("""COMPUTED_VALUE"""),"入居のしおりの内容についてご確認しました")</f>
        <v>入居のしおりの内容についてご確認しました</v>
      </c>
      <c r="AH154" s="6" t="str">
        <f aca="false">IFERROR(__xludf.dummyfunction("""COMPUTED_VALUE"""),"確認しました")</f>
        <v>確認しました</v>
      </c>
      <c r="AI154" s="6"/>
      <c r="AJ154" s="6" t="str">
        <v/>
      </c>
      <c r="AK154" s="6" t="str">
        <v/>
      </c>
      <c r="AL154" s="6" t="str">
        <v/>
      </c>
      <c r="AM154" s="6" t="str">
        <v/>
      </c>
      <c r="AN154" s="6" t="n">
        <f aca="false">FALSE()</f>
        <v>0</v>
      </c>
    </row>
    <row r="155" customFormat="false" ht="52.5" hidden="false" customHeight="true" outlineLevel="0" collapsed="false">
      <c r="A155" s="6" t="str">
        <f aca="false">IFERROR(__xludf.dummyfunction("""COMPUTED_VALUE"""),"2026/02/19 20:40:03")</f>
        <v>2026/02/19 20:40:03</v>
      </c>
      <c r="B155" s="6"/>
      <c r="C155" s="6" t="str">
        <f aca="false">IFERROR(__xludf.dummyfunction("""COMPUTED_VALUE"""),"70155")</f>
        <v>70155</v>
      </c>
      <c r="D155" s="6"/>
      <c r="E155" s="6"/>
      <c r="F155" s="6"/>
      <c r="G155" s="6" t="str">
        <f aca="false">IFERROR(__xludf.dummyfunction("""COMPUTED_VALUE"""),"2026/04/03")</f>
        <v>2026/04/03</v>
      </c>
      <c r="H155" s="6" t="str">
        <f aca="false">IFERROR(__xludf.dummyfunction("""COMPUTED_VALUE"""),"必要")</f>
        <v>必要</v>
      </c>
      <c r="I155" s="6" t="str">
        <f aca="false">IFERROR(__xludf.dummyfunction("""COMPUTED_VALUE"""),"女性")</f>
        <v>女性</v>
      </c>
      <c r="J155" s="6" t="str">
        <f aca="false">IFERROR(__xludf.dummyfunction("""COMPUTED_VALUE"""),"日本")</f>
        <v>日本</v>
      </c>
      <c r="K155" s="6" t="str">
        <f aca="false">IFERROR(__xludf.dummyfunction("""COMPUTED_VALUE"""),"7")</f>
        <v>7</v>
      </c>
      <c r="L155" s="6" t="str">
        <f aca="false">IFERROR(__xludf.dummyfunction("""COMPUTED_VALUE"""),"テレビ(横73cm縦44cm)")</f>
        <v>テレビ(横73cm縦44cm)</v>
      </c>
      <c r="M155" s="6" t="str">
        <f aca="false">IFERROR(__xludf.dummyfunction("""COMPUTED_VALUE"""),"机(横81cm縦61)テレビ台(横76cm縦30cm)")</f>
        <v>机(横81cm縦61)テレビ台(横76cm縦30cm)</v>
      </c>
      <c r="N155" s="6" t="str">
        <f aca="false">IFERROR(__xludf.dummyfunction("""COMPUTED_VALUE"""),"ないです。")</f>
        <v>ないです。</v>
      </c>
      <c r="O155" s="6" t="str">
        <f aca="false">IFERROR(__xludf.dummyfunction("""COMPUTED_VALUE"""),"不要")</f>
        <v>不要</v>
      </c>
      <c r="P155" s="6"/>
      <c r="Q155" s="6"/>
      <c r="R155" s="6"/>
      <c r="S155" s="6" t="str">
        <f aca="false">IFERROR(__xludf.dummyfunction("""COMPUTED_VALUE"""),"家具家電なし社宅")</f>
        <v>家具家電なし社宅</v>
      </c>
      <c r="T155" s="6" t="str">
        <f aca="false">IFERROR(__xludf.dummyfunction("""COMPUTED_VALUE"""),"利用しない")</f>
        <v>利用しない</v>
      </c>
      <c r="U155" s="6"/>
      <c r="V155" s="6" t="str">
        <f aca="false">IFERROR(__xludf.dummyfunction("""COMPUTED_VALUE"""),"徒歩")</f>
        <v>徒歩</v>
      </c>
      <c r="W155" s="6"/>
      <c r="X155" s="6" t="str">
        <f aca="false">IFERROR(__xludf.dummyfunction("""COMPUTED_VALUE"""),"実家")</f>
        <v>実家</v>
      </c>
      <c r="Y155" s="6"/>
      <c r="Z155" s="6" t="str">
        <f aca="false">IFERROR(__xludf.dummyfunction("""COMPUTED_VALUE"""),"希望する")</f>
        <v>希望する</v>
      </c>
      <c r="AA155" s="6" t="str">
        <f aca="false">IFERROR(__xludf.dummyfunction("""COMPUTED_VALUE"""),"単身")</f>
        <v>単身</v>
      </c>
      <c r="AB155" s="6"/>
      <c r="AC155" s="6"/>
      <c r="AD155" s="6"/>
      <c r="AE155" s="6" t="str">
        <f aca="false">IFERROR(__xludf.dummyfunction("""COMPUTED_VALUE"""),"確認しました。")</f>
        <v>確認しました。</v>
      </c>
      <c r="AF155" s="6" t="str">
        <f aca="false">IFERROR(__xludf.dummyfunction("""COMPUTED_VALUE"""),"社宅基準の内容について確認しました")</f>
        <v>社宅基準の内容について確認しました</v>
      </c>
      <c r="AG155" s="6" t="str">
        <f aca="false">IFERROR(__xludf.dummyfunction("""COMPUTED_VALUE"""),"入居のしおりの内容についてご確認しました")</f>
        <v>入居のしおりの内容についてご確認しました</v>
      </c>
      <c r="AH155" s="6" t="str">
        <f aca="false">IFERROR(__xludf.dummyfunction("""COMPUTED_VALUE"""),"確認しました")</f>
        <v>確認しました</v>
      </c>
      <c r="AI155" s="6"/>
      <c r="AJ155" s="6" t="str">
        <v/>
      </c>
      <c r="AK155" s="6" t="str">
        <v/>
      </c>
      <c r="AL155" s="6" t="str">
        <v/>
      </c>
      <c r="AM155" s="6" t="str">
        <v/>
      </c>
      <c r="AN155" s="6" t="n">
        <f aca="false">FALSE()</f>
        <v>0</v>
      </c>
    </row>
    <row r="156" customFormat="false" ht="52.5" hidden="false" customHeight="true" outlineLevel="0" collapsed="false">
      <c r="A156" s="6" t="str">
        <f aca="false">IFERROR(__xludf.dummyfunction("""COMPUTED_VALUE"""),"2026/02/19 21:15:34")</f>
        <v>2026/02/19 21:15:34</v>
      </c>
      <c r="B156" s="6"/>
      <c r="C156" s="6" t="str">
        <f aca="false">IFERROR(__xludf.dummyfunction("""COMPUTED_VALUE"""),"70220")</f>
        <v>70220</v>
      </c>
      <c r="D156" s="6"/>
      <c r="E156" s="6"/>
      <c r="F156" s="6"/>
      <c r="G156" s="6" t="str">
        <f aca="false">IFERROR(__xludf.dummyfunction("""COMPUTED_VALUE"""),"2026/03/30")</f>
        <v>2026/03/30</v>
      </c>
      <c r="H156" s="6" t="str">
        <f aca="false">IFERROR(__xludf.dummyfunction("""COMPUTED_VALUE"""),"必要")</f>
        <v>必要</v>
      </c>
      <c r="I156" s="6" t="str">
        <f aca="false">IFERROR(__xludf.dummyfunction("""COMPUTED_VALUE"""),"男性")</f>
        <v>男性</v>
      </c>
      <c r="J156" s="6" t="str">
        <f aca="false">IFERROR(__xludf.dummyfunction("""COMPUTED_VALUE"""),"日本")</f>
        <v>日本</v>
      </c>
      <c r="K156" s="6" t="str">
        <f aca="false">IFERROR(__xludf.dummyfunction("""COMPUTED_VALUE"""),"50")</f>
        <v>50</v>
      </c>
      <c r="L156" s="6" t="str">
        <f aca="false">IFERROR(__xludf.dummyfunction("""COMPUTED_VALUE"""),"冷蔵庫（家族用）テレビ（47型くらい）洗濯機（8キロ）ウォーターサーバー　空気清浄機　電子レンジ　炊飯器　オーブントースター　オイルレスヒーター　掃除機　こたつ　")</f>
        <v>冷蔵庫（家族用）テレビ（47型くらい）洗濯機（8キロ）ウォーターサーバー　空気清浄機　電子レンジ　炊飯器　オーブントースター　オイルレスヒーター　掃除機　こたつ　</v>
      </c>
      <c r="M156" s="6" t="str">
        <f aca="false">IFERROR(__xludf.dummyfunction("""COMPUTED_VALUE"""),"テレビボート（D350 W1200 H400mm）メイク台（D400 W470 H410mm）食器棚（D310 W1200 H850mm）レンジボード（D400 W900 H900mm）ベッド（セミダブル）猫トイレ（D600 W940 H750mm）座椅子　チェスト　衣装ボックス")</f>
        <v>テレビボート（D350 W1200 H400mm）メイク台（D400 W470 H410mm）食器棚（D310 W1200 H850mm）レンジボード（D400 W900 H900mm）ベッド（セミダブル）猫トイレ（D600 W940 H750mm）座椅子　チェスト　衣装ボックス</v>
      </c>
      <c r="N156" s="6" t="str">
        <f aca="false">IFERROR(__xludf.dummyfunction("""COMPUTED_VALUE"""),"なし")</f>
        <v>なし</v>
      </c>
      <c r="O156" s="6" t="str">
        <f aca="false">IFERROR(__xludf.dummyfunction("""COMPUTED_VALUE"""),"必要")</f>
        <v>必要</v>
      </c>
      <c r="P156" s="6" t="str">
        <f aca="false">IFERROR(__xludf.dummyfunction("""COMPUTED_VALUE"""),"トール、ミラトコット")</f>
        <v>トール、ミラトコット</v>
      </c>
      <c r="Q156" s="6" t="str">
        <f aca="false">IFERROR(__xludf.dummyfunction("""COMPUTED_VALUE"""),"5702 2357")</f>
        <v>5702 2357</v>
      </c>
      <c r="R156" s="6" t="str">
        <f aca="false">IFERROR(__xludf.dummyfunction("""COMPUTED_VALUE"""),"黒、薄緑")</f>
        <v>黒、薄緑</v>
      </c>
      <c r="S156" s="6" t="str">
        <f aca="false">IFERROR(__xludf.dummyfunction("""COMPUTED_VALUE"""),"家具家電なし社宅")</f>
        <v>家具家電なし社宅</v>
      </c>
      <c r="T156" s="6" t="str">
        <f aca="false">IFERROR(__xludf.dummyfunction("""COMPUTED_VALUE"""),"利用しない")</f>
        <v>利用しない</v>
      </c>
      <c r="U156" s="6"/>
      <c r="V156" s="6" t="str">
        <f aca="false">IFERROR(__xludf.dummyfunction("""COMPUTED_VALUE"""),"徒歩, 自動車, 自転車, 電車, バス")</f>
        <v>徒歩, 自動車, 自転車, 電車, バス</v>
      </c>
      <c r="W156" s="6"/>
      <c r="X156" s="6" t="str">
        <f aca="false">IFERROR(__xludf.dummyfunction("""COMPUTED_VALUE"""),"株式会社ビーネックステクノロジーズの社宅")</f>
        <v>株式会社ビーネックステクノロジーズの社宅</v>
      </c>
      <c r="Y156" s="6" t="str">
        <f aca="false">IFERROR(__xludf.dummyfunction("""COMPUTED_VALUE"""),"利用なし")</f>
        <v>利用なし</v>
      </c>
      <c r="Z156" s="6" t="str">
        <f aca="false">IFERROR(__xludf.dummyfunction("""COMPUTED_VALUE"""),"希望する")</f>
        <v>希望する</v>
      </c>
      <c r="AA156" s="6" t="str">
        <f aca="false">IFERROR(__xludf.dummyfunction("""COMPUTED_VALUE"""),"家族")</f>
        <v>家族</v>
      </c>
      <c r="AB156" s="6" t="str">
        <f aca="false">IFERROR(__xludf.dummyfunction("""COMPUTED_VALUE"""),"氏名：野間口　和希
フリガナ：ノマグチ　カズキ
生年月日：1991年5月26日
携帯番号：08064315271
続柄：妻
")</f>
        <v>氏名：野間口　和希
フリガナ：ノマグチ　カズキ
生年月日：1991年5月26日
携帯番号：08064315271
続柄：妻
</v>
      </c>
      <c r="AC156" s="6"/>
      <c r="AD156" s="6" t="str">
        <f aca="false">IFERROR(__xludf.dummyfunction("""COMPUTED_VALUE"""),"猫が1匹います。")</f>
        <v>猫が1匹います。</v>
      </c>
      <c r="AE156" s="6" t="str">
        <f aca="false">IFERROR(__xludf.dummyfunction("""COMPUTED_VALUE"""),"確認しました。")</f>
        <v>確認しました。</v>
      </c>
      <c r="AF156" s="6" t="str">
        <f aca="false">IFERROR(__xludf.dummyfunction("""COMPUTED_VALUE"""),"社宅基準の内容について確認しました")</f>
        <v>社宅基準の内容について確認しました</v>
      </c>
      <c r="AG156" s="6" t="str">
        <f aca="false">IFERROR(__xludf.dummyfunction("""COMPUTED_VALUE"""),"入居のしおりの内容についてご確認しました")</f>
        <v>入居のしおりの内容についてご確認しました</v>
      </c>
      <c r="AH156" s="6" t="str">
        <f aca="false">IFERROR(__xludf.dummyfunction("""COMPUTED_VALUE"""),"確認しました")</f>
        <v>確認しました</v>
      </c>
      <c r="AI156" s="6"/>
      <c r="AJ156" s="6" t="str">
        <v/>
      </c>
      <c r="AK156" s="6" t="str">
        <v/>
      </c>
      <c r="AL156" s="6" t="str">
        <v/>
      </c>
      <c r="AM156" s="6" t="str">
        <v/>
      </c>
      <c r="AN156" s="6" t="n">
        <f aca="false">TRUE()</f>
        <v>1</v>
      </c>
    </row>
    <row r="157" customFormat="false" ht="52.5" hidden="false" customHeight="true" outlineLevel="0" collapsed="false">
      <c r="A157" s="6" t="str">
        <f aca="false">IFERROR(__xludf.dummyfunction("""COMPUTED_VALUE"""),"2026/02/19 21:26:39")</f>
        <v>2026/02/19 21:26:39</v>
      </c>
      <c r="B157" s="6"/>
      <c r="C157" s="6" t="str">
        <f aca="false">IFERROR(__xludf.dummyfunction("""COMPUTED_VALUE"""),"70143")</f>
        <v>70143</v>
      </c>
      <c r="D157" s="6"/>
      <c r="E157" s="6"/>
      <c r="F157" s="6"/>
      <c r="G157" s="6" t="str">
        <f aca="false">IFERROR(__xludf.dummyfunction("""COMPUTED_VALUE"""),"2026/03/21")</f>
        <v>2026/03/21</v>
      </c>
      <c r="H157" s="6" t="str">
        <f aca="false">IFERROR(__xludf.dummyfunction("""COMPUTED_VALUE"""),"必要")</f>
        <v>必要</v>
      </c>
      <c r="I157" s="6" t="str">
        <f aca="false">IFERROR(__xludf.dummyfunction("""COMPUTED_VALUE"""),"男性")</f>
        <v>男性</v>
      </c>
      <c r="J157" s="6" t="str">
        <f aca="false">IFERROR(__xludf.dummyfunction("""COMPUTED_VALUE"""),"日本")</f>
        <v>日本</v>
      </c>
      <c r="K157" s="6" t="str">
        <f aca="false">IFERROR(__xludf.dummyfunction("""COMPUTED_VALUE"""),"30")</f>
        <v>30</v>
      </c>
      <c r="L157" s="6" t="str">
        <f aca="false">IFERROR(__xludf.dummyfunction("""COMPUTED_VALUE"""),"冷蔵庫単身用(2ドア)、洗濯機、電子レンジ、テレビ、レコーダー、パソコン、炊飯器")</f>
        <v>冷蔵庫単身用(2ドア)、洗濯機、電子レンジ、テレビ、レコーダー、パソコン、炊飯器</v>
      </c>
      <c r="M157" s="6" t="str">
        <f aca="false">IFERROR(__xludf.dummyfunction("""COMPUTED_VALUE"""),"食器棚(60・40・120)、衣類ケース(60・50・110)、収納ケース(50・50・130)、収納ケース(40・40・130)")</f>
        <v>食器棚(60・40・120)、衣類ケース(60・50・110)、収納ケース(50・50・130)、収納ケース(40・40・130)</v>
      </c>
      <c r="N157" s="6" t="str">
        <f aca="false">IFERROR(__xludf.dummyfunction("""COMPUTED_VALUE"""),"自転車、布団")</f>
        <v>自転車、布団</v>
      </c>
      <c r="O157" s="6" t="str">
        <f aca="false">IFERROR(__xludf.dummyfunction("""COMPUTED_VALUE"""),"不要")</f>
        <v>不要</v>
      </c>
      <c r="P157" s="6"/>
      <c r="Q157" s="6"/>
      <c r="R157" s="6"/>
      <c r="S157" s="6" t="str">
        <f aca="false">IFERROR(__xludf.dummyfunction("""COMPUTED_VALUE"""),"家具家電付き社宅")</f>
        <v>家具家電付き社宅</v>
      </c>
      <c r="T157" s="6" t="str">
        <f aca="false">IFERROR(__xludf.dummyfunction("""COMPUTED_VALUE"""),"利用しない")</f>
        <v>利用しない</v>
      </c>
      <c r="U157" s="6"/>
      <c r="V157" s="6" t="str">
        <f aca="false">IFERROR(__xludf.dummyfunction("""COMPUTED_VALUE"""),"徒歩, 自転車, 電車, バス")</f>
        <v>徒歩, 自転車, 電車, バス</v>
      </c>
      <c r="W157" s="6"/>
      <c r="X157" s="6" t="str">
        <f aca="false">IFERROR(__xludf.dummyfunction("""COMPUTED_VALUE"""),"株式会社ビーネックステクノロジーズの社宅")</f>
        <v>株式会社ビーネックステクノロジーズの社宅</v>
      </c>
      <c r="Y157" s="6" t="str">
        <f aca="false">IFERROR(__xludf.dummyfunction("""COMPUTED_VALUE"""),"新社宅へ引継ぎ希望　")</f>
        <v>新社宅へ引継ぎ希望　</v>
      </c>
      <c r="Z157" s="6" t="str">
        <f aca="false">IFERROR(__xludf.dummyfunction("""COMPUTED_VALUE"""),"希望する")</f>
        <v>希望する</v>
      </c>
      <c r="AA157" s="6" t="str">
        <f aca="false">IFERROR(__xludf.dummyfunction("""COMPUTED_VALUE"""),"単身")</f>
        <v>単身</v>
      </c>
      <c r="AB157" s="6"/>
      <c r="AC157" s="6"/>
      <c r="AD157" s="6" t="str">
        <f aca="false">IFERROR(__xludf.dummyfunction("""COMPUTED_VALUE"""),"3月20日に荷物の積み込み、3月21日に新居に搬入希望")</f>
        <v>3月20日に荷物の積み込み、3月21日に新居に搬入希望</v>
      </c>
      <c r="AE157" s="6" t="str">
        <f aca="false">IFERROR(__xludf.dummyfunction("""COMPUTED_VALUE"""),"確認しました。")</f>
        <v>確認しました。</v>
      </c>
      <c r="AF157" s="6" t="str">
        <f aca="false">IFERROR(__xludf.dummyfunction("""COMPUTED_VALUE"""),"社宅基準の内容について確認しました")</f>
        <v>社宅基準の内容について確認しました</v>
      </c>
      <c r="AG157" s="6" t="str">
        <f aca="false">IFERROR(__xludf.dummyfunction("""COMPUTED_VALUE"""),"入居のしおりの内容についてご確認しました")</f>
        <v>入居のしおりの内容についてご確認しました</v>
      </c>
      <c r="AH157" s="6" t="str">
        <f aca="false">IFERROR(__xludf.dummyfunction("""COMPUTED_VALUE"""),"確認しました")</f>
        <v>確認しました</v>
      </c>
      <c r="AI157" s="6"/>
      <c r="AJ157" s="6" t="str">
        <v/>
      </c>
      <c r="AK157" s="6" t="str">
        <v/>
      </c>
      <c r="AL157" s="6" t="str">
        <v/>
      </c>
      <c r="AM157" s="6" t="str">
        <v/>
      </c>
      <c r="AN157" s="6" t="n">
        <f aca="false">FALSE()</f>
        <v>0</v>
      </c>
    </row>
    <row r="158" customFormat="false" ht="52.5" hidden="false" customHeight="true" outlineLevel="0" collapsed="false">
      <c r="A158" s="6" t="str">
        <f aca="false">IFERROR(__xludf.dummyfunction("""COMPUTED_VALUE"""),"2026/02/19 22:14:09")</f>
        <v>2026/02/19 22:14:09</v>
      </c>
      <c r="B158" s="6"/>
      <c r="C158" s="6" t="str">
        <f aca="false">IFERROR(__xludf.dummyfunction("""COMPUTED_VALUE"""),"70203")</f>
        <v>70203</v>
      </c>
      <c r="D158" s="6"/>
      <c r="E158" s="6"/>
      <c r="F158" s="6"/>
      <c r="G158" s="6" t="str">
        <f aca="false">IFERROR(__xludf.dummyfunction("""COMPUTED_VALUE"""),"2026/04/04")</f>
        <v>2026/04/04</v>
      </c>
      <c r="H158" s="6" t="str">
        <f aca="false">IFERROR(__xludf.dummyfunction("""COMPUTED_VALUE"""),"不要")</f>
        <v>不要</v>
      </c>
      <c r="I158" s="6" t="str">
        <f aca="false">IFERROR(__xludf.dummyfunction("""COMPUTED_VALUE"""),"男性")</f>
        <v>男性</v>
      </c>
      <c r="J158" s="6" t="str">
        <f aca="false">IFERROR(__xludf.dummyfunction("""COMPUTED_VALUE"""),"日本")</f>
        <v>日本</v>
      </c>
      <c r="K158" s="6"/>
      <c r="L158" s="6"/>
      <c r="M158" s="6"/>
      <c r="N158" s="6"/>
      <c r="O158" s="6" t="str">
        <f aca="false">IFERROR(__xludf.dummyfunction("""COMPUTED_VALUE"""),"不要")</f>
        <v>不要</v>
      </c>
      <c r="P158" s="6"/>
      <c r="Q158" s="6"/>
      <c r="R158" s="6"/>
      <c r="S158" s="6" t="str">
        <f aca="false">IFERROR(__xludf.dummyfunction("""COMPUTED_VALUE"""),"家具家電付き社宅")</f>
        <v>家具家電付き社宅</v>
      </c>
      <c r="T158" s="6" t="str">
        <f aca="false">IFERROR(__xludf.dummyfunction("""COMPUTED_VALUE"""),"利用しない")</f>
        <v>利用しない</v>
      </c>
      <c r="U158" s="6"/>
      <c r="V158" s="6" t="str">
        <f aca="false">IFERROR(__xludf.dummyfunction("""COMPUTED_VALUE"""),"徒歩, 自転車, 電車")</f>
        <v>徒歩, 自転車, 電車</v>
      </c>
      <c r="W158" s="6"/>
      <c r="X158" s="6" t="str">
        <f aca="false">IFERROR(__xludf.dummyfunction("""COMPUTED_VALUE"""),"実家")</f>
        <v>実家</v>
      </c>
      <c r="Y158" s="6"/>
      <c r="Z158" s="6" t="str">
        <f aca="false">IFERROR(__xludf.dummyfunction("""COMPUTED_VALUE"""),"希望する")</f>
        <v>希望する</v>
      </c>
      <c r="AA158" s="6" t="str">
        <f aca="false">IFERROR(__xludf.dummyfunction("""COMPUTED_VALUE"""),"単身")</f>
        <v>単身</v>
      </c>
      <c r="AB158" s="6"/>
      <c r="AC158" s="6"/>
      <c r="AD158" s="6"/>
      <c r="AE158" s="6" t="str">
        <f aca="false">IFERROR(__xludf.dummyfunction("""COMPUTED_VALUE"""),"確認しました。")</f>
        <v>確認しました。</v>
      </c>
      <c r="AF158" s="6" t="str">
        <f aca="false">IFERROR(__xludf.dummyfunction("""COMPUTED_VALUE"""),"社宅基準の内容について確認しました")</f>
        <v>社宅基準の内容について確認しました</v>
      </c>
      <c r="AG158" s="6" t="str">
        <f aca="false">IFERROR(__xludf.dummyfunction("""COMPUTED_VALUE"""),"入居のしおりの内容についてご確認しました")</f>
        <v>入居のしおりの内容についてご確認しました</v>
      </c>
      <c r="AH158" s="6" t="str">
        <f aca="false">IFERROR(__xludf.dummyfunction("""COMPUTED_VALUE"""),"確認しました")</f>
        <v>確認しました</v>
      </c>
      <c r="AI158" s="6"/>
      <c r="AJ158" s="6" t="str">
        <v/>
      </c>
      <c r="AK158" s="6" t="str">
        <v/>
      </c>
      <c r="AL158" s="6" t="str">
        <v/>
      </c>
      <c r="AM158" s="6" t="str">
        <v/>
      </c>
      <c r="AN158" s="6" t="n">
        <f aca="false">TRUE()</f>
        <v>1</v>
      </c>
    </row>
    <row r="159" customFormat="false" ht="52.5" hidden="false" customHeight="true" outlineLevel="0" collapsed="false">
      <c r="A159" s="6" t="str">
        <f aca="false">IFERROR(__xludf.dummyfunction("""COMPUTED_VALUE"""),"2026/02/20 3:37:18")</f>
        <v>2026/02/20 3:37:18</v>
      </c>
      <c r="B159" s="6"/>
      <c r="C159" s="6" t="str">
        <f aca="false">IFERROR(__xludf.dummyfunction("""COMPUTED_VALUE"""),"70256")</f>
        <v>70256</v>
      </c>
      <c r="D159" s="6"/>
      <c r="E159" s="6"/>
      <c r="F159" s="6"/>
      <c r="G159" s="6" t="str">
        <f aca="false">IFERROR(__xludf.dummyfunction("""COMPUTED_VALUE"""),"2026/04/01")</f>
        <v>2026/04/01</v>
      </c>
      <c r="H159" s="6" t="str">
        <f aca="false">IFERROR(__xludf.dummyfunction("""COMPUTED_VALUE"""),"必要")</f>
        <v>必要</v>
      </c>
      <c r="I159" s="6" t="str">
        <f aca="false">IFERROR(__xludf.dummyfunction("""COMPUTED_VALUE"""),"男性")</f>
        <v>男性</v>
      </c>
      <c r="J159" s="6" t="str">
        <f aca="false">IFERROR(__xludf.dummyfunction("""COMPUTED_VALUE"""),"日本")</f>
        <v>日本</v>
      </c>
      <c r="K159" s="6" t="str">
        <f aca="false">IFERROR(__xludf.dummyfunction("""COMPUTED_VALUE"""),"20")</f>
        <v>20</v>
      </c>
      <c r="L159" s="6" t="str">
        <f aca="false">IFERROR(__xludf.dummyfunction("""COMPUTED_VALUE"""),"冷蔵庫(単身用)、電子レンジ、洗濯機(400・800・300)")</f>
        <v>冷蔵庫(単身用)、電子レンジ、洗濯機(400・800・300)</v>
      </c>
      <c r="M159" s="6" t="str">
        <f aca="false">IFERROR(__xludf.dummyfunction("""COMPUTED_VALUE"""),"ふとん")</f>
        <v>ふとん</v>
      </c>
      <c r="N159" s="6" t="str">
        <f aca="false">IFERROR(__xludf.dummyfunction("""COMPUTED_VALUE"""),"原付")</f>
        <v>原付</v>
      </c>
      <c r="O159" s="6" t="str">
        <f aca="false">IFERROR(__xludf.dummyfunction("""COMPUTED_VALUE"""),"不要")</f>
        <v>不要</v>
      </c>
      <c r="P159" s="6"/>
      <c r="Q159" s="6"/>
      <c r="R159" s="6"/>
      <c r="S159" s="6" t="str">
        <f aca="false">IFERROR(__xludf.dummyfunction("""COMPUTED_VALUE"""),"家具家電付き社宅")</f>
        <v>家具家電付き社宅</v>
      </c>
      <c r="T159" s="6" t="str">
        <f aca="false">IFERROR(__xludf.dummyfunction("""COMPUTED_VALUE"""),"利用しない")</f>
        <v>利用しない</v>
      </c>
      <c r="U159" s="6"/>
      <c r="V159" s="6" t="str">
        <f aca="false">IFERROR(__xludf.dummyfunction("""COMPUTED_VALUE"""),"徒歩")</f>
        <v>徒歩</v>
      </c>
      <c r="W159" s="6"/>
      <c r="X159" s="6" t="str">
        <f aca="false">IFERROR(__xludf.dummyfunction("""COMPUTED_VALUE"""),"株式会社ビーネックステクノロジーズの社宅")</f>
        <v>株式会社ビーネックステクノロジーズの社宅</v>
      </c>
      <c r="Y159" s="6" t="str">
        <f aca="false">IFERROR(__xludf.dummyfunction("""COMPUTED_VALUE"""),"洗濯機、冷蔵庫、電子レンジ")</f>
        <v>洗濯機、冷蔵庫、電子レンジ</v>
      </c>
      <c r="Z159" s="6" t="str">
        <f aca="false">IFERROR(__xludf.dummyfunction("""COMPUTED_VALUE"""),"希望する")</f>
        <v>希望する</v>
      </c>
      <c r="AA159" s="6" t="str">
        <f aca="false">IFERROR(__xludf.dummyfunction("""COMPUTED_VALUE"""),"単身")</f>
        <v>単身</v>
      </c>
      <c r="AB159" s="6"/>
      <c r="AC159" s="6"/>
      <c r="AD159" s="6" t="str">
        <f aca="false">IFERROR(__xludf.dummyfunction("""COMPUTED_VALUE"""),"原付がおける駐輪場があるところを希望します。")</f>
        <v>原付がおける駐輪場があるところを希望します。</v>
      </c>
      <c r="AE159" s="6" t="str">
        <f aca="false">IFERROR(__xludf.dummyfunction("""COMPUTED_VALUE"""),"20260220")</f>
        <v>20260220</v>
      </c>
      <c r="AF159" s="6" t="str">
        <f aca="false">IFERROR(__xludf.dummyfunction("""COMPUTED_VALUE"""),"社宅基準の内容について確認しました")</f>
        <v>社宅基準の内容について確認しました</v>
      </c>
      <c r="AG159" s="6" t="str">
        <f aca="false">IFERROR(__xludf.dummyfunction("""COMPUTED_VALUE"""),"入居のしおりの内容についてご確認しました")</f>
        <v>入居のしおりの内容についてご確認しました</v>
      </c>
      <c r="AH159" s="6" t="str">
        <f aca="false">IFERROR(__xludf.dummyfunction("""COMPUTED_VALUE"""),"確認しました")</f>
        <v>確認しました</v>
      </c>
      <c r="AI159" s="6"/>
      <c r="AJ159" s="6" t="str">
        <v/>
      </c>
      <c r="AK159" s="6" t="str">
        <v/>
      </c>
      <c r="AL159" s="6" t="str">
        <v/>
      </c>
      <c r="AM159" s="6" t="str">
        <v/>
      </c>
      <c r="AN159" s="6" t="n">
        <f aca="false">FALSE()</f>
        <v>0</v>
      </c>
    </row>
    <row r="160" customFormat="false" ht="52.5" hidden="false" customHeight="true" outlineLevel="0" collapsed="false">
      <c r="A160" s="6" t="str">
        <f aca="false">IFERROR(__xludf.dummyfunction("""COMPUTED_VALUE"""),"2026/02/20 10:24:36")</f>
        <v>2026/02/20 10:24:36</v>
      </c>
      <c r="B160" s="6"/>
      <c r="C160" s="6" t="str">
        <f aca="false">IFERROR(__xludf.dummyfunction("""COMPUTED_VALUE"""),"70135")</f>
        <v>70135</v>
      </c>
      <c r="D160" s="6"/>
      <c r="E160" s="6"/>
      <c r="F160" s="6"/>
      <c r="G160" s="6" t="str">
        <f aca="false">IFERROR(__xludf.dummyfunction("""COMPUTED_VALUE"""),"2026/03/28")</f>
        <v>2026/03/28</v>
      </c>
      <c r="H160" s="6" t="str">
        <f aca="false">IFERROR(__xludf.dummyfunction("""COMPUTED_VALUE"""),"必要")</f>
        <v>必要</v>
      </c>
      <c r="I160" s="6" t="str">
        <f aca="false">IFERROR(__xludf.dummyfunction("""COMPUTED_VALUE"""),"女性")</f>
        <v>女性</v>
      </c>
      <c r="J160" s="6" t="str">
        <f aca="false">IFERROR(__xludf.dummyfunction("""COMPUTED_VALUE"""),"日本")</f>
        <v>日本</v>
      </c>
      <c r="K160" s="6" t="str">
        <f aca="false">IFERROR(__xludf.dummyfunction("""COMPUTED_VALUE"""),"8")</f>
        <v>8</v>
      </c>
      <c r="L160" s="6" t="str">
        <f aca="false">IFERROR(__xludf.dummyfunction("""COMPUTED_VALUE"""),"冷蔵庫（単身用）ドラム式洗濯機(幅645mm × 奥行720mm〜722 mm×高さ 1060 mm)電子レンジ炊飯器")</f>
        <v>冷蔵庫（単身用）ドラム式洗濯機(幅645mm × 奥行720mm〜722 mm×高さ 1060 mm)電子レンジ炊飯器</v>
      </c>
      <c r="M160" s="6" t="str">
        <f aca="false">IFERROR(__xludf.dummyfunction("""COMPUTED_VALUE"""),"ベッド（シングル）机（幅100cmx奥行45cmx高さ38cm)ゴミ箱（W450×D265×H850(mm))")</f>
        <v>ベッド（シングル）机（幅100cmx奥行45cmx高さ38cm)ゴミ箱（W450×D265×H850(mm))</v>
      </c>
      <c r="N160" s="6" t="str">
        <f aca="false">IFERROR(__xludf.dummyfunction("""COMPUTED_VALUE"""),"自転車1台")</f>
        <v>自転車1台</v>
      </c>
      <c r="O160" s="6" t="str">
        <f aca="false">IFERROR(__xludf.dummyfunction("""COMPUTED_VALUE"""),"不要")</f>
        <v>不要</v>
      </c>
      <c r="P160" s="6"/>
      <c r="Q160" s="6"/>
      <c r="R160" s="6"/>
      <c r="S160" s="6" t="str">
        <f aca="false">IFERROR(__xludf.dummyfunction("""COMPUTED_VALUE"""),"家具家電なし社宅")</f>
        <v>家具家電なし社宅</v>
      </c>
      <c r="T160" s="6" t="str">
        <f aca="false">IFERROR(__xludf.dummyfunction("""COMPUTED_VALUE"""),"利用しない")</f>
        <v>利用しない</v>
      </c>
      <c r="U160" s="6"/>
      <c r="V160" s="6" t="str">
        <f aca="false">IFERROR(__xludf.dummyfunction("""COMPUTED_VALUE"""),"バス")</f>
        <v>バス</v>
      </c>
      <c r="W160" s="6"/>
      <c r="X160" s="6" t="str">
        <f aca="false">IFERROR(__xludf.dummyfunction("""COMPUTED_VALUE"""),"株式会社ビーネックステクノロジーズの社宅")</f>
        <v>株式会社ビーネックステクノロジーズの社宅</v>
      </c>
      <c r="Y160" s="6" t="str">
        <f aca="false">IFERROR(__xludf.dummyfunction("""COMPUTED_VALUE"""),"利用なし")</f>
        <v>利用なし</v>
      </c>
      <c r="Z160" s="6" t="str">
        <f aca="false">IFERROR(__xludf.dummyfunction("""COMPUTED_VALUE"""),"希望する")</f>
        <v>希望する</v>
      </c>
      <c r="AA160" s="6" t="str">
        <f aca="false">IFERROR(__xludf.dummyfunction("""COMPUTED_VALUE"""),"単身")</f>
        <v>単身</v>
      </c>
      <c r="AB160" s="6"/>
      <c r="AC160" s="6"/>
      <c r="AD160" s="6"/>
      <c r="AE160" s="6" t="str">
        <f aca="false">IFERROR(__xludf.dummyfunction("""COMPUTED_VALUE"""),"確認しました。")</f>
        <v>確認しました。</v>
      </c>
      <c r="AF160" s="6" t="str">
        <f aca="false">IFERROR(__xludf.dummyfunction("""COMPUTED_VALUE"""),"社宅基準の内容について確認しました")</f>
        <v>社宅基準の内容について確認しました</v>
      </c>
      <c r="AG160" s="6" t="str">
        <f aca="false">IFERROR(__xludf.dummyfunction("""COMPUTED_VALUE"""),"入居のしおりの内容についてご確認しました")</f>
        <v>入居のしおりの内容についてご確認しました</v>
      </c>
      <c r="AH160" s="6" t="str">
        <f aca="false">IFERROR(__xludf.dummyfunction("""COMPUTED_VALUE"""),"確認しました")</f>
        <v>確認しました</v>
      </c>
      <c r="AI160" s="6"/>
      <c r="AJ160" s="6" t="str">
        <v/>
      </c>
      <c r="AK160" s="6" t="str">
        <v/>
      </c>
      <c r="AL160" s="6" t="str">
        <v/>
      </c>
      <c r="AM160" s="6" t="str">
        <v/>
      </c>
      <c r="AN160" s="6" t="n">
        <f aca="false">TRUE()</f>
        <v>1</v>
      </c>
    </row>
    <row r="161" customFormat="false" ht="52.5" hidden="false" customHeight="true" outlineLevel="0" collapsed="false">
      <c r="A161" s="6" t="str">
        <f aca="false">IFERROR(__xludf.dummyfunction("""COMPUTED_VALUE"""),"2026/02/20 10:29:11")</f>
        <v>2026/02/20 10:29:11</v>
      </c>
      <c r="B161" s="6"/>
      <c r="C161" s="6" t="str">
        <f aca="false">IFERROR(__xludf.dummyfunction("""COMPUTED_VALUE"""),"70267")</f>
        <v>70267</v>
      </c>
      <c r="D161" s="6"/>
      <c r="E161" s="6"/>
      <c r="F161" s="6"/>
      <c r="G161" s="6" t="str">
        <f aca="false">IFERROR(__xludf.dummyfunction("""COMPUTED_VALUE"""),"2026/03/29")</f>
        <v>2026/03/29</v>
      </c>
      <c r="H161" s="6" t="str">
        <f aca="false">IFERROR(__xludf.dummyfunction("""COMPUTED_VALUE"""),"必要")</f>
        <v>必要</v>
      </c>
      <c r="I161" s="6" t="str">
        <f aca="false">IFERROR(__xludf.dummyfunction("""COMPUTED_VALUE"""),"男性")</f>
        <v>男性</v>
      </c>
      <c r="J161" s="6" t="str">
        <f aca="false">IFERROR(__xludf.dummyfunction("""COMPUTED_VALUE"""),"日本")</f>
        <v>日本</v>
      </c>
      <c r="K161" s="6" t="str">
        <f aca="false">IFERROR(__xludf.dummyfunction("""COMPUTED_VALUE"""),"4")</f>
        <v>4</v>
      </c>
      <c r="L161" s="6" t="str">
        <f aca="false">IFERROR(__xludf.dummyfunction("""COMPUTED_VALUE"""),"パソコン、パソコン用のモニター")</f>
        <v>パソコン、パソコン用のモニター</v>
      </c>
      <c r="M161" s="6" t="str">
        <f aca="false">IFERROR(__xludf.dummyfunction("""COMPUTED_VALUE"""),"ベッド1式(セミダブル)、ベッド(シングル)、毛布")</f>
        <v>ベッド1式(セミダブル)、ベッド(シングル)、毛布</v>
      </c>
      <c r="N161" s="6"/>
      <c r="O161" s="6" t="str">
        <f aca="false">IFERROR(__xludf.dummyfunction("""COMPUTED_VALUE"""),"不要")</f>
        <v>不要</v>
      </c>
      <c r="P161" s="6"/>
      <c r="Q161" s="6"/>
      <c r="R161" s="6"/>
      <c r="S161" s="6" t="str">
        <f aca="false">IFERROR(__xludf.dummyfunction("""COMPUTED_VALUE"""),"家具家電付き社宅")</f>
        <v>家具家電付き社宅</v>
      </c>
      <c r="T161" s="6" t="str">
        <f aca="false">IFERROR(__xludf.dummyfunction("""COMPUTED_VALUE"""),"利用しない")</f>
        <v>利用しない</v>
      </c>
      <c r="U161" s="6"/>
      <c r="V161" s="6" t="str">
        <f aca="false">IFERROR(__xludf.dummyfunction("""COMPUTED_VALUE"""),"徒歩, 電車, バス")</f>
        <v>徒歩, 電車, バス</v>
      </c>
      <c r="W161" s="6"/>
      <c r="X161" s="6" t="str">
        <f aca="false">IFERROR(__xludf.dummyfunction("""COMPUTED_VALUE"""),"株式会社ビーネックステクノロジーズの社宅")</f>
        <v>株式会社ビーネックステクノロジーズの社宅</v>
      </c>
      <c r="Y161" s="6" t="str">
        <f aca="false">IFERROR(__xludf.dummyfunction("""COMPUTED_VALUE"""),"利用なし")</f>
        <v>利用なし</v>
      </c>
      <c r="Z161" s="6" t="str">
        <f aca="false">IFERROR(__xludf.dummyfunction("""COMPUTED_VALUE"""),"希望する")</f>
        <v>希望する</v>
      </c>
      <c r="AA161" s="6" t="str">
        <f aca="false">IFERROR(__xludf.dummyfunction("""COMPUTED_VALUE"""),"単身")</f>
        <v>単身</v>
      </c>
      <c r="AB161" s="6"/>
      <c r="AC161" s="6"/>
      <c r="AD161" s="6"/>
      <c r="AE161" s="6" t="str">
        <f aca="false">IFERROR(__xludf.dummyfunction("""COMPUTED_VALUE"""),"確認しました。")</f>
        <v>確認しました。</v>
      </c>
      <c r="AF161" s="6" t="str">
        <f aca="false">IFERROR(__xludf.dummyfunction("""COMPUTED_VALUE"""),"社宅基準の内容について確認しました")</f>
        <v>社宅基準の内容について確認しました</v>
      </c>
      <c r="AG161" s="6" t="str">
        <f aca="false">IFERROR(__xludf.dummyfunction("""COMPUTED_VALUE"""),"入居のしおりの内容についてご確認しました")</f>
        <v>入居のしおりの内容についてご確認しました</v>
      </c>
      <c r="AH161" s="6" t="str">
        <f aca="false">IFERROR(__xludf.dummyfunction("""COMPUTED_VALUE"""),"確認しました")</f>
        <v>確認しました</v>
      </c>
      <c r="AI161" s="6"/>
      <c r="AJ161" s="6" t="str">
        <v/>
      </c>
      <c r="AK161" s="6" t="str">
        <v/>
      </c>
      <c r="AL161" s="6" t="str">
        <v/>
      </c>
      <c r="AM161" s="6" t="str">
        <v/>
      </c>
      <c r="AN161" s="6" t="n">
        <f aca="false">TRUE()</f>
        <v>1</v>
      </c>
    </row>
    <row r="162" customFormat="false" ht="52.5" hidden="false" customHeight="true" outlineLevel="0" collapsed="false">
      <c r="A162" s="6" t="str">
        <f aca="false">IFERROR(__xludf.dummyfunction("""COMPUTED_VALUE"""),"2026/02/20 12:46:37")</f>
        <v>2026/02/20 12:46:37</v>
      </c>
      <c r="B162" s="6"/>
      <c r="C162" s="6" t="str">
        <f aca="false">IFERROR(__xludf.dummyfunction("""COMPUTED_VALUE"""),"70212")</f>
        <v>70212</v>
      </c>
      <c r="D162" s="6"/>
      <c r="E162" s="6"/>
      <c r="F162" s="6"/>
      <c r="G162" s="6" t="str">
        <f aca="false">IFERROR(__xludf.dummyfunction("""COMPUTED_VALUE"""),"2026/02/28")</f>
        <v>2026/02/28</v>
      </c>
      <c r="H162" s="6" t="str">
        <f aca="false">IFERROR(__xludf.dummyfunction("""COMPUTED_VALUE"""),"必要")</f>
        <v>必要</v>
      </c>
      <c r="I162" s="6" t="str">
        <f aca="false">IFERROR(__xludf.dummyfunction("""COMPUTED_VALUE"""),"男性")</f>
        <v>男性</v>
      </c>
      <c r="J162" s="6" t="str">
        <f aca="false">IFERROR(__xludf.dummyfunction("""COMPUTED_VALUE"""),"日本")</f>
        <v>日本</v>
      </c>
      <c r="K162" s="6" t="str">
        <f aca="false">IFERROR(__xludf.dummyfunction("""COMPUTED_VALUE"""),"6")</f>
        <v>6</v>
      </c>
      <c r="L162" s="6" t="str">
        <f aca="false">IFERROR(__xludf.dummyfunction("""COMPUTED_VALUE"""),"電子レンジ 炊飯器")</f>
        <v>電子レンジ 炊飯器</v>
      </c>
      <c r="M162" s="6" t="str">
        <f aca="false">IFERROR(__xludf.dummyfunction("""COMPUTED_VALUE"""),"L字デスク 横幅140 縦幅120 
オフィスチェア
モニター3枚 24.5インチ
デスクトップパソコン")</f>
        <v>L字デスク 横幅140 縦幅120 
オフィスチェア
モニター3枚 24.5インチ
デスクトップパソコン</v>
      </c>
      <c r="N162" s="6"/>
      <c r="O162" s="6" t="str">
        <f aca="false">IFERROR(__xludf.dummyfunction("""COMPUTED_VALUE"""),"不要")</f>
        <v>不要</v>
      </c>
      <c r="P162" s="6"/>
      <c r="Q162" s="6"/>
      <c r="R162" s="6"/>
      <c r="S162" s="6" t="str">
        <f aca="false">IFERROR(__xludf.dummyfunction("""COMPUTED_VALUE"""),"家具家電付き社宅")</f>
        <v>家具家電付き社宅</v>
      </c>
      <c r="T162" s="6" t="str">
        <f aca="false">IFERROR(__xludf.dummyfunction("""COMPUTED_VALUE"""),"利用しない")</f>
        <v>利用しない</v>
      </c>
      <c r="U162" s="6"/>
      <c r="V162" s="6" t="str">
        <f aca="false">IFERROR(__xludf.dummyfunction("""COMPUTED_VALUE"""),"電車")</f>
        <v>電車</v>
      </c>
      <c r="W162" s="6"/>
      <c r="X162" s="6" t="str">
        <f aca="false">IFERROR(__xludf.dummyfunction("""COMPUTED_VALUE"""),"ご自身で契約中の物件")</f>
        <v>ご自身で契約中の物件</v>
      </c>
      <c r="Y162" s="6"/>
      <c r="Z162" s="6" t="str">
        <f aca="false">IFERROR(__xludf.dummyfunction("""COMPUTED_VALUE"""),"希望する")</f>
        <v>希望する</v>
      </c>
      <c r="AA162" s="6" t="str">
        <f aca="false">IFERROR(__xludf.dummyfunction("""COMPUTED_VALUE"""),"単身")</f>
        <v>単身</v>
      </c>
      <c r="AB162" s="6"/>
      <c r="AC162" s="6"/>
      <c r="AD162" s="6"/>
      <c r="AE162" s="6" t="str">
        <f aca="false">IFERROR(__xludf.dummyfunction("""COMPUTED_VALUE"""),"確認しました。")</f>
        <v>確認しました。</v>
      </c>
      <c r="AF162" s="6" t="str">
        <f aca="false">IFERROR(__xludf.dummyfunction("""COMPUTED_VALUE"""),"社宅基準の内容について確認しました")</f>
        <v>社宅基準の内容について確認しました</v>
      </c>
      <c r="AG162" s="6" t="str">
        <f aca="false">IFERROR(__xludf.dummyfunction("""COMPUTED_VALUE"""),"入居のしおりの内容についてご確認しました")</f>
        <v>入居のしおりの内容についてご確認しました</v>
      </c>
      <c r="AH162" s="6" t="str">
        <f aca="false">IFERROR(__xludf.dummyfunction("""COMPUTED_VALUE"""),"確認しました")</f>
        <v>確認しました</v>
      </c>
      <c r="AI162" s="6"/>
      <c r="AJ162" s="6" t="str">
        <v/>
      </c>
      <c r="AK162" s="6" t="str">
        <v/>
      </c>
      <c r="AL162" s="6" t="str">
        <v/>
      </c>
      <c r="AM162" s="6" t="str">
        <v/>
      </c>
      <c r="AN162" s="6" t="n">
        <f aca="false">FALSE()</f>
        <v>0</v>
      </c>
    </row>
    <row r="163" customFormat="false" ht="52.5" hidden="false" customHeight="true" outlineLevel="0" collapsed="false">
      <c r="A163" s="6" t="str">
        <f aca="false">IFERROR(__xludf.dummyfunction("""COMPUTED_VALUE"""),"2026/02/20 12:53:51")</f>
        <v>2026/02/20 12:53:51</v>
      </c>
      <c r="B163" s="6"/>
      <c r="C163" s="6" t="str">
        <f aca="false">IFERROR(__xludf.dummyfunction("""COMPUTED_VALUE"""),"70239")</f>
        <v>70239</v>
      </c>
      <c r="D163" s="6"/>
      <c r="E163" s="6"/>
      <c r="F163" s="6"/>
      <c r="G163" s="6" t="str">
        <f aca="false">IFERROR(__xludf.dummyfunction("""COMPUTED_VALUE"""),"2026/04/01")</f>
        <v>2026/04/01</v>
      </c>
      <c r="H163" s="6" t="str">
        <f aca="false">IFERROR(__xludf.dummyfunction("""COMPUTED_VALUE"""),"必要")</f>
        <v>必要</v>
      </c>
      <c r="I163" s="6" t="str">
        <f aca="false">IFERROR(__xludf.dummyfunction("""COMPUTED_VALUE"""),"男性")</f>
        <v>男性</v>
      </c>
      <c r="J163" s="6" t="str">
        <f aca="false">IFERROR(__xludf.dummyfunction("""COMPUTED_VALUE"""),"日本")</f>
        <v>日本</v>
      </c>
      <c r="K163" s="6" t="str">
        <f aca="false">IFERROR(__xludf.dummyfunction("""COMPUTED_VALUE"""),"2")</f>
        <v>2</v>
      </c>
      <c r="L163" s="6" t="str">
        <f aca="false">IFERROR(__xludf.dummyfunction("""COMPUTED_VALUE"""),"なし")</f>
        <v>なし</v>
      </c>
      <c r="M163" s="6" t="str">
        <f aca="false">IFERROR(__xludf.dummyfunction("""COMPUTED_VALUE"""),"机(横120cm.縦60cm.高さ75cm)
イス(横幅70cm.高さ130cm)")</f>
        <v>机(横120cm.縦60cm.高さ75cm)
イス(横幅70cm.高さ130cm)</v>
      </c>
      <c r="N163" s="6"/>
      <c r="O163" s="6" t="str">
        <f aca="false">IFERROR(__xludf.dummyfunction("""COMPUTED_VALUE"""),"不要")</f>
        <v>不要</v>
      </c>
      <c r="P163" s="6"/>
      <c r="Q163" s="6"/>
      <c r="R163" s="6"/>
      <c r="S163" s="6" t="str">
        <f aca="false">IFERROR(__xludf.dummyfunction("""COMPUTED_VALUE"""),"家具家電付き社宅")</f>
        <v>家具家電付き社宅</v>
      </c>
      <c r="T163" s="6" t="str">
        <f aca="false">IFERROR(__xludf.dummyfunction("""COMPUTED_VALUE"""),"利用しない")</f>
        <v>利用しない</v>
      </c>
      <c r="U163" s="6"/>
      <c r="V163" s="6" t="str">
        <f aca="false">IFERROR(__xludf.dummyfunction("""COMPUTED_VALUE"""),"電車")</f>
        <v>電車</v>
      </c>
      <c r="W163" s="6"/>
      <c r="X163" s="6" t="str">
        <f aca="false">IFERROR(__xludf.dummyfunction("""COMPUTED_VALUE"""),"実家")</f>
        <v>実家</v>
      </c>
      <c r="Y163" s="6"/>
      <c r="Z163" s="6" t="str">
        <f aca="false">IFERROR(__xludf.dummyfunction("""COMPUTED_VALUE"""),"希望する")</f>
        <v>希望する</v>
      </c>
      <c r="AA163" s="6" t="str">
        <f aca="false">IFERROR(__xludf.dummyfunction("""COMPUTED_VALUE"""),"単身")</f>
        <v>単身</v>
      </c>
      <c r="AB163" s="6"/>
      <c r="AC163" s="6"/>
      <c r="AD163" s="6" t="str">
        <f aca="false">IFERROR(__xludf.dummyfunction("""COMPUTED_VALUE"""),"家具付きなし物件の候補も拝見したいです。
一番重要なポイントがエリアだと思っていますので可能でしたらご対応よろしくお願いいたします。")</f>
        <v>家具付きなし物件の候補も拝見したいです。
一番重要なポイントがエリアだと思っていますので可能でしたらご対応よろしくお願いいたします。</v>
      </c>
      <c r="AE163" s="6" t="str">
        <f aca="false">IFERROR(__xludf.dummyfunction("""COMPUTED_VALUE"""),"確認しました。")</f>
        <v>確認しました。</v>
      </c>
      <c r="AF163" s="6" t="str">
        <f aca="false">IFERROR(__xludf.dummyfunction("""COMPUTED_VALUE"""),"社宅基準の内容について確認しました")</f>
        <v>社宅基準の内容について確認しました</v>
      </c>
      <c r="AG163" s="6" t="str">
        <f aca="false">IFERROR(__xludf.dummyfunction("""COMPUTED_VALUE"""),"入居のしおりの内容についてご確認しました")</f>
        <v>入居のしおりの内容についてご確認しました</v>
      </c>
      <c r="AH163" s="6" t="str">
        <f aca="false">IFERROR(__xludf.dummyfunction("""COMPUTED_VALUE"""),"確認しました")</f>
        <v>確認しました</v>
      </c>
      <c r="AI163" s="6"/>
      <c r="AJ163" s="6" t="str">
        <v/>
      </c>
      <c r="AK163" s="6" t="str">
        <v/>
      </c>
      <c r="AL163" s="6" t="str">
        <v/>
      </c>
      <c r="AM163" s="6" t="str">
        <v/>
      </c>
      <c r="AN163" s="6" t="n">
        <f aca="false">TRUE()</f>
        <v>1</v>
      </c>
    </row>
    <row r="164" customFormat="false" ht="52.5" hidden="false" customHeight="true" outlineLevel="0" collapsed="false">
      <c r="A164" s="6" t="str">
        <f aca="false">IFERROR(__xludf.dummyfunction("""COMPUTED_VALUE"""),"2026/02/20 13:24:45")</f>
        <v>2026/02/20 13:24:45</v>
      </c>
      <c r="B164" s="6"/>
      <c r="C164" s="6" t="str">
        <f aca="false">IFERROR(__xludf.dummyfunction("""COMPUTED_VALUE"""),"70228")</f>
        <v>70228</v>
      </c>
      <c r="D164" s="6"/>
      <c r="E164" s="6"/>
      <c r="F164" s="6"/>
      <c r="G164" s="6" t="str">
        <f aca="false">IFERROR(__xludf.dummyfunction("""COMPUTED_VALUE"""),"2026/04/01")</f>
        <v>2026/04/01</v>
      </c>
      <c r="H164" s="6" t="str">
        <f aca="false">IFERROR(__xludf.dummyfunction("""COMPUTED_VALUE"""),"不要")</f>
        <v>不要</v>
      </c>
      <c r="I164" s="6" t="str">
        <f aca="false">IFERROR(__xludf.dummyfunction("""COMPUTED_VALUE"""),"男性")</f>
        <v>男性</v>
      </c>
      <c r="J164" s="6" t="str">
        <f aca="false">IFERROR(__xludf.dummyfunction("""COMPUTED_VALUE"""),"日本")</f>
        <v>日本</v>
      </c>
      <c r="K164" s="6"/>
      <c r="L164" s="6"/>
      <c r="M164" s="6"/>
      <c r="N164" s="6"/>
      <c r="O164" s="6" t="str">
        <f aca="false">IFERROR(__xludf.dummyfunction("""COMPUTED_VALUE"""),"必要")</f>
        <v>必要</v>
      </c>
      <c r="P164" s="6" t="str">
        <f aca="false">IFERROR(__xludf.dummyfunction("""COMPUTED_VALUE"""),"スズキ、スペーシア")</f>
        <v>スズキ、スペーシア</v>
      </c>
      <c r="Q164" s="6" t="str">
        <f aca="false">IFERROR(__xludf.dummyfunction("""COMPUTED_VALUE"""),"か89-65")</f>
        <v>か89-65</v>
      </c>
      <c r="R164" s="6" t="str">
        <f aca="false">IFERROR(__xludf.dummyfunction("""COMPUTED_VALUE"""),"黒")</f>
        <v>黒</v>
      </c>
      <c r="S164" s="6" t="str">
        <f aca="false">IFERROR(__xludf.dummyfunction("""COMPUTED_VALUE"""),"家具家電付き社宅")</f>
        <v>家具家電付き社宅</v>
      </c>
      <c r="T164" s="6" t="str">
        <f aca="false">IFERROR(__xludf.dummyfunction("""COMPUTED_VALUE"""),"利用しない")</f>
        <v>利用しない</v>
      </c>
      <c r="U164" s="6"/>
      <c r="V164" s="6" t="str">
        <f aca="false">IFERROR(__xludf.dummyfunction("""COMPUTED_VALUE"""),"電車")</f>
        <v>電車</v>
      </c>
      <c r="W164" s="6"/>
      <c r="X164" s="6" t="str">
        <f aca="false">IFERROR(__xludf.dummyfunction("""COMPUTED_VALUE"""),"実家")</f>
        <v>実家</v>
      </c>
      <c r="Y164" s="6"/>
      <c r="Z164" s="6" t="str">
        <f aca="false">IFERROR(__xludf.dummyfunction("""COMPUTED_VALUE"""),"希望する")</f>
        <v>希望する</v>
      </c>
      <c r="AA164" s="6" t="str">
        <f aca="false">IFERROR(__xludf.dummyfunction("""COMPUTED_VALUE"""),"単身")</f>
        <v>単身</v>
      </c>
      <c r="AB164" s="6"/>
      <c r="AC164" s="6"/>
      <c r="AD164" s="6" t="str">
        <f aca="false">IFERROR(__xludf.dummyfunction("""COMPUTED_VALUE"""),"通信環境(Wi-Fi等)がほしいです。")</f>
        <v>通信環境(Wi-Fi等)がほしいです。</v>
      </c>
      <c r="AE164" s="6" t="str">
        <f aca="false">IFERROR(__xludf.dummyfunction("""COMPUTED_VALUE"""),"確認しました。")</f>
        <v>確認しました。</v>
      </c>
      <c r="AF164" s="6" t="str">
        <f aca="false">IFERROR(__xludf.dummyfunction("""COMPUTED_VALUE"""),"社宅基準の内容について確認しました")</f>
        <v>社宅基準の内容について確認しました</v>
      </c>
      <c r="AG164" s="6" t="str">
        <f aca="false">IFERROR(__xludf.dummyfunction("""COMPUTED_VALUE"""),"入居のしおりの内容についてご確認しました")</f>
        <v>入居のしおりの内容についてご確認しました</v>
      </c>
      <c r="AH164" s="6" t="str">
        <f aca="false">IFERROR(__xludf.dummyfunction("""COMPUTED_VALUE"""),"確認しました")</f>
        <v>確認しました</v>
      </c>
      <c r="AI164" s="6"/>
      <c r="AJ164" s="6" t="str">
        <v/>
      </c>
      <c r="AK164" s="6" t="str">
        <v/>
      </c>
      <c r="AL164" s="6" t="str">
        <v/>
      </c>
      <c r="AM164" s="6" t="str">
        <v/>
      </c>
      <c r="AN164" s="6" t="n">
        <f aca="false">TRUE()</f>
        <v>1</v>
      </c>
    </row>
    <row r="165" customFormat="false" ht="52.5" hidden="false" customHeight="true" outlineLevel="0" collapsed="false">
      <c r="A165" s="6" t="str">
        <f aca="false">IFERROR(__xludf.dummyfunction("""COMPUTED_VALUE"""),"2026/02/20 14:18:34")</f>
        <v>2026/02/20 14:18:34</v>
      </c>
      <c r="B165" s="6"/>
      <c r="C165" s="6" t="str">
        <f aca="false">IFERROR(__xludf.dummyfunction("""COMPUTED_VALUE"""),"70117")</f>
        <v>70117</v>
      </c>
      <c r="D165" s="6"/>
      <c r="E165" s="6"/>
      <c r="F165" s="6"/>
      <c r="G165" s="6" t="str">
        <f aca="false">IFERROR(__xludf.dummyfunction("""COMPUTED_VALUE"""),"2026/03/21")</f>
        <v>2026/03/21</v>
      </c>
      <c r="H165" s="6" t="str">
        <f aca="false">IFERROR(__xludf.dummyfunction("""COMPUTED_VALUE"""),"不要")</f>
        <v>不要</v>
      </c>
      <c r="I165" s="6" t="str">
        <f aca="false">IFERROR(__xludf.dummyfunction("""COMPUTED_VALUE"""),"男性")</f>
        <v>男性</v>
      </c>
      <c r="J165" s="6" t="str">
        <f aca="false">IFERROR(__xludf.dummyfunction("""COMPUTED_VALUE"""),"日本")</f>
        <v>日本</v>
      </c>
      <c r="K165" s="6"/>
      <c r="L165" s="6"/>
      <c r="M165" s="6"/>
      <c r="N165" s="6"/>
      <c r="O165" s="6" t="str">
        <f aca="false">IFERROR(__xludf.dummyfunction("""COMPUTED_VALUE"""),"不要")</f>
        <v>不要</v>
      </c>
      <c r="P165" s="6"/>
      <c r="Q165" s="6"/>
      <c r="R165" s="6"/>
      <c r="S165" s="6" t="str">
        <f aca="false">IFERROR(__xludf.dummyfunction("""COMPUTED_VALUE"""),"家具家電付き社宅")</f>
        <v>家具家電付き社宅</v>
      </c>
      <c r="T165" s="6" t="str">
        <f aca="false">IFERROR(__xludf.dummyfunction("""COMPUTED_VALUE"""),"利用しない")</f>
        <v>利用しない</v>
      </c>
      <c r="U165" s="6"/>
      <c r="V165" s="6" t="str">
        <f aca="false">IFERROR(__xludf.dummyfunction("""COMPUTED_VALUE"""),"自動車")</f>
        <v>自動車</v>
      </c>
      <c r="W165" s="6"/>
      <c r="X165" s="6" t="str">
        <f aca="false">IFERROR(__xludf.dummyfunction("""COMPUTED_VALUE"""),"実家")</f>
        <v>実家</v>
      </c>
      <c r="Y165" s="6"/>
      <c r="Z165" s="6" t="str">
        <f aca="false">IFERROR(__xludf.dummyfunction("""COMPUTED_VALUE"""),"希望する")</f>
        <v>希望する</v>
      </c>
      <c r="AA165" s="6" t="str">
        <f aca="false">IFERROR(__xludf.dummyfunction("""COMPUTED_VALUE"""),"単身")</f>
        <v>単身</v>
      </c>
      <c r="AB165" s="6"/>
      <c r="AC165" s="6"/>
      <c r="AD165" s="6"/>
      <c r="AE165" s="6" t="str">
        <f aca="false">IFERROR(__xludf.dummyfunction("""COMPUTED_VALUE"""),"確認しました。")</f>
        <v>確認しました。</v>
      </c>
      <c r="AF165" s="6" t="str">
        <f aca="false">IFERROR(__xludf.dummyfunction("""COMPUTED_VALUE"""),"社宅基準の内容について確認しました")</f>
        <v>社宅基準の内容について確認しました</v>
      </c>
      <c r="AG165" s="6" t="str">
        <f aca="false">IFERROR(__xludf.dummyfunction("""COMPUTED_VALUE"""),"入居のしおりの内容についてご確認しました")</f>
        <v>入居のしおりの内容についてご確認しました</v>
      </c>
      <c r="AH165" s="6" t="str">
        <f aca="false">IFERROR(__xludf.dummyfunction("""COMPUTED_VALUE"""),"確認しました")</f>
        <v>確認しました</v>
      </c>
      <c r="AI165" s="6"/>
      <c r="AJ165" s="6" t="str">
        <v/>
      </c>
      <c r="AK165" s="6" t="str">
        <v/>
      </c>
      <c r="AL165" s="6" t="str">
        <v/>
      </c>
      <c r="AM165" s="6" t="str">
        <v/>
      </c>
      <c r="AN165" s="6" t="n">
        <f aca="false">TRUE()</f>
        <v>1</v>
      </c>
    </row>
    <row r="166" customFormat="false" ht="52.5" hidden="false" customHeight="true" outlineLevel="0" collapsed="false">
      <c r="A166" s="6" t="str">
        <f aca="false">IFERROR(__xludf.dummyfunction("""COMPUTED_VALUE"""),"2026/02/20 14:42:37")</f>
        <v>2026/02/20 14:42:37</v>
      </c>
      <c r="B166" s="6"/>
      <c r="C166" s="6" t="str">
        <f aca="false">IFERROR(__xludf.dummyfunction("""COMPUTED_VALUE"""),"70182")</f>
        <v>70182</v>
      </c>
      <c r="D166" s="6"/>
      <c r="E166" s="6"/>
      <c r="F166" s="6"/>
      <c r="G166" s="6" t="str">
        <f aca="false">IFERROR(__xludf.dummyfunction("""COMPUTED_VALUE"""),"2026/03/15")</f>
        <v>2026/03/15</v>
      </c>
      <c r="H166" s="6" t="str">
        <f aca="false">IFERROR(__xludf.dummyfunction("""COMPUTED_VALUE"""),"必要")</f>
        <v>必要</v>
      </c>
      <c r="I166" s="6" t="str">
        <f aca="false">IFERROR(__xludf.dummyfunction("""COMPUTED_VALUE"""),"男性")</f>
        <v>男性</v>
      </c>
      <c r="J166" s="6" t="str">
        <f aca="false">IFERROR(__xludf.dummyfunction("""COMPUTED_VALUE"""),"日本")</f>
        <v>日本</v>
      </c>
      <c r="K166" s="6" t="str">
        <f aca="false">IFERROR(__xludf.dummyfunction("""COMPUTED_VALUE"""),"6")</f>
        <v>6</v>
      </c>
      <c r="L166" s="6" t="str">
        <f aca="false">IFERROR(__xludf.dummyfunction("""COMPUTED_VALUE"""),"特になし")</f>
        <v>特になし</v>
      </c>
      <c r="M166" s="6" t="str">
        <f aca="false">IFERROR(__xludf.dummyfunction("""COMPUTED_VALUE"""),"特になし")</f>
        <v>特になし</v>
      </c>
      <c r="N166" s="6"/>
      <c r="O166" s="6" t="str">
        <f aca="false">IFERROR(__xludf.dummyfunction("""COMPUTED_VALUE"""),"不要")</f>
        <v>不要</v>
      </c>
      <c r="P166" s="6"/>
      <c r="Q166" s="6"/>
      <c r="R166" s="6"/>
      <c r="S166" s="6" t="str">
        <f aca="false">IFERROR(__xludf.dummyfunction("""COMPUTED_VALUE"""),"家具家電なし社宅")</f>
        <v>家具家電なし社宅</v>
      </c>
      <c r="T166" s="6" t="str">
        <f aca="false">IFERROR(__xludf.dummyfunction("""COMPUTED_VALUE"""),"利用しない")</f>
        <v>利用しない</v>
      </c>
      <c r="U166" s="6"/>
      <c r="V166" s="6" t="str">
        <f aca="false">IFERROR(__xludf.dummyfunction("""COMPUTED_VALUE"""),"徒歩, 電車, バス")</f>
        <v>徒歩, 電車, バス</v>
      </c>
      <c r="W166" s="6"/>
      <c r="X166" s="6" t="str">
        <f aca="false">IFERROR(__xludf.dummyfunction("""COMPUTED_VALUE"""),"実家")</f>
        <v>実家</v>
      </c>
      <c r="Y166" s="6"/>
      <c r="Z166" s="6" t="str">
        <f aca="false">IFERROR(__xludf.dummyfunction("""COMPUTED_VALUE"""),"希望する")</f>
        <v>希望する</v>
      </c>
      <c r="AA166" s="6" t="str">
        <f aca="false">IFERROR(__xludf.dummyfunction("""COMPUTED_VALUE"""),"単身")</f>
        <v>単身</v>
      </c>
      <c r="AB166" s="6"/>
      <c r="AC166" s="6"/>
      <c r="AD166" s="6"/>
      <c r="AE166" s="6" t="str">
        <f aca="false">IFERROR(__xludf.dummyfunction("""COMPUTED_VALUE"""),"確認しました。")</f>
        <v>確認しました。</v>
      </c>
      <c r="AF166" s="6" t="str">
        <f aca="false">IFERROR(__xludf.dummyfunction("""COMPUTED_VALUE"""),"社宅基準の内容について確認しました")</f>
        <v>社宅基準の内容について確認しました</v>
      </c>
      <c r="AG166" s="6" t="str">
        <f aca="false">IFERROR(__xludf.dummyfunction("""COMPUTED_VALUE"""),"入居のしおりの内容についてご確認しました")</f>
        <v>入居のしおりの内容についてご確認しました</v>
      </c>
      <c r="AH166" s="6" t="str">
        <f aca="false">IFERROR(__xludf.dummyfunction("""COMPUTED_VALUE"""),"確認しました")</f>
        <v>確認しました</v>
      </c>
      <c r="AI166" s="6"/>
      <c r="AJ166" s="6" t="str">
        <v/>
      </c>
      <c r="AK166" s="6" t="str">
        <v/>
      </c>
      <c r="AL166" s="6" t="str">
        <v/>
      </c>
      <c r="AM166" s="6" t="str">
        <v/>
      </c>
      <c r="AN166" s="6" t="n">
        <f aca="false">TRUE()</f>
        <v>1</v>
      </c>
    </row>
    <row r="167" customFormat="false" ht="52.5" hidden="false" customHeight="true" outlineLevel="0" collapsed="false">
      <c r="A167" s="6" t="str">
        <f aca="false">IFERROR(__xludf.dummyfunction("""COMPUTED_VALUE"""),"2026/02/20 15:51:20")</f>
        <v>2026/02/20 15:51:20</v>
      </c>
      <c r="B167" s="6"/>
      <c r="C167" s="6" t="str">
        <f aca="false">IFERROR(__xludf.dummyfunction("""COMPUTED_VALUE"""),"70131")</f>
        <v>70131</v>
      </c>
      <c r="D167" s="6"/>
      <c r="E167" s="6"/>
      <c r="F167" s="6"/>
      <c r="G167" s="6" t="str">
        <f aca="false">IFERROR(__xludf.dummyfunction("""COMPUTED_VALUE"""),"2026/03/22")</f>
        <v>2026/03/22</v>
      </c>
      <c r="H167" s="6" t="str">
        <f aca="false">IFERROR(__xludf.dummyfunction("""COMPUTED_VALUE"""),"必要")</f>
        <v>必要</v>
      </c>
      <c r="I167" s="6" t="str">
        <f aca="false">IFERROR(__xludf.dummyfunction("""COMPUTED_VALUE"""),"男性")</f>
        <v>男性</v>
      </c>
      <c r="J167" s="6" t="str">
        <f aca="false">IFERROR(__xludf.dummyfunction("""COMPUTED_VALUE"""),"日本")</f>
        <v>日本</v>
      </c>
      <c r="K167" s="6" t="str">
        <f aca="false">IFERROR(__xludf.dummyfunction("""COMPUTED_VALUE"""),"10")</f>
        <v>10</v>
      </c>
      <c r="L167" s="6" t="str">
        <f aca="false">IFERROR(__xludf.dummyfunction("""COMPUTED_VALUE"""),"テレビ、衣類乾燥機、冷蔵庫(単身用)、電子レンジ、スポットクーラー、洗濯機")</f>
        <v>テレビ、衣類乾燥機、冷蔵庫(単身用)、電子レンジ、スポットクーラー、洗濯機</v>
      </c>
      <c r="M167" s="6" t="str">
        <f aca="false">IFERROR(__xludf.dummyfunction("""COMPUTED_VALUE"""),"テーブル、テレビ台、")</f>
        <v>テーブル、テレビ台、</v>
      </c>
      <c r="N167" s="6"/>
      <c r="O167" s="6" t="str">
        <f aca="false">IFERROR(__xludf.dummyfunction("""COMPUTED_VALUE"""),"必要")</f>
        <v>必要</v>
      </c>
      <c r="P167" s="6" t="str">
        <f aca="false">IFERROR(__xludf.dummyfunction("""COMPUTED_VALUE"""),"未定")</f>
        <v>未定</v>
      </c>
      <c r="Q167" s="6" t="str">
        <f aca="false">IFERROR(__xludf.dummyfunction("""COMPUTED_VALUE"""),"未定")</f>
        <v>未定</v>
      </c>
      <c r="R167" s="6" t="str">
        <f aca="false">IFERROR(__xludf.dummyfunction("""COMPUTED_VALUE"""),"未定")</f>
        <v>未定</v>
      </c>
      <c r="S167" s="6" t="str">
        <f aca="false">IFERROR(__xludf.dummyfunction("""COMPUTED_VALUE"""),"家具家電なし社宅")</f>
        <v>家具家電なし社宅</v>
      </c>
      <c r="T167" s="6" t="str">
        <f aca="false">IFERROR(__xludf.dummyfunction("""COMPUTED_VALUE"""),"利用しない")</f>
        <v>利用しない</v>
      </c>
      <c r="U167" s="6"/>
      <c r="V167" s="6" t="str">
        <f aca="false">IFERROR(__xludf.dummyfunction("""COMPUTED_VALUE"""),"徒歩, 自動車, 自転車, 電車, バス, 社用バス")</f>
        <v>徒歩, 自動車, 自転車, 電車, バス, 社用バス</v>
      </c>
      <c r="W167" s="6"/>
      <c r="X167" s="6" t="str">
        <f aca="false">IFERROR(__xludf.dummyfunction("""COMPUTED_VALUE"""),"ご自身で契約中の物件")</f>
        <v>ご自身で契約中の物件</v>
      </c>
      <c r="Y167" s="6"/>
      <c r="Z167" s="6" t="str">
        <f aca="false">IFERROR(__xludf.dummyfunction("""COMPUTED_VALUE"""),"希望する")</f>
        <v>希望する</v>
      </c>
      <c r="AA167" s="6" t="str">
        <f aca="false">IFERROR(__xludf.dummyfunction("""COMPUTED_VALUE"""),"単身")</f>
        <v>単身</v>
      </c>
      <c r="AB167" s="6"/>
      <c r="AC167" s="6"/>
      <c r="AD167" s="6"/>
      <c r="AE167" s="6" t="str">
        <f aca="false">IFERROR(__xludf.dummyfunction("""COMPUTED_VALUE"""),"確認しました。")</f>
        <v>確認しました。</v>
      </c>
      <c r="AF167" s="6" t="str">
        <f aca="false">IFERROR(__xludf.dummyfunction("""COMPUTED_VALUE"""),"社宅基準の内容について確認しました")</f>
        <v>社宅基準の内容について確認しました</v>
      </c>
      <c r="AG167" s="6" t="str">
        <f aca="false">IFERROR(__xludf.dummyfunction("""COMPUTED_VALUE"""),"入居のしおりの内容についてご確認しました")</f>
        <v>入居のしおりの内容についてご確認しました</v>
      </c>
      <c r="AH167" s="6" t="str">
        <f aca="false">IFERROR(__xludf.dummyfunction("""COMPUTED_VALUE"""),"確認しました")</f>
        <v>確認しました</v>
      </c>
      <c r="AI167" s="6"/>
      <c r="AJ167" s="6" t="str">
        <v/>
      </c>
      <c r="AK167" s="6" t="str">
        <v/>
      </c>
      <c r="AL167" s="6" t="str">
        <v/>
      </c>
      <c r="AM167" s="6" t="str">
        <v/>
      </c>
      <c r="AN167" s="6" t="n">
        <f aca="false">FALSE()</f>
        <v>0</v>
      </c>
    </row>
    <row r="168" customFormat="false" ht="52.5" hidden="false" customHeight="true" outlineLevel="0" collapsed="false">
      <c r="A168" s="6" t="str">
        <f aca="false">IFERROR(__xludf.dummyfunction("""COMPUTED_VALUE"""),"2026/02/20 16:35:34")</f>
        <v>2026/02/20 16:35:34</v>
      </c>
      <c r="B168" s="6"/>
      <c r="C168" s="6" t="str">
        <f aca="false">IFERROR(__xludf.dummyfunction("""COMPUTED_VALUE"""),"70277")</f>
        <v>70277</v>
      </c>
      <c r="D168" s="6"/>
      <c r="E168" s="6"/>
      <c r="F168" s="6"/>
      <c r="G168" s="6" t="str">
        <f aca="false">IFERROR(__xludf.dummyfunction("""COMPUTED_VALUE"""),"2026/03/14")</f>
        <v>2026/03/14</v>
      </c>
      <c r="H168" s="6" t="str">
        <f aca="false">IFERROR(__xludf.dummyfunction("""COMPUTED_VALUE"""),"必要")</f>
        <v>必要</v>
      </c>
      <c r="I168" s="6" t="str">
        <f aca="false">IFERROR(__xludf.dummyfunction("""COMPUTED_VALUE"""),"男性")</f>
        <v>男性</v>
      </c>
      <c r="J168" s="6" t="str">
        <f aca="false">IFERROR(__xludf.dummyfunction("""COMPUTED_VALUE"""),"日本")</f>
        <v>日本</v>
      </c>
      <c r="K168" s="6" t="str">
        <f aca="false">IFERROR(__xludf.dummyfunction("""COMPUTED_VALUE"""),"10")</f>
        <v>10</v>
      </c>
      <c r="L168" s="6" t="str">
        <f aca="false">IFERROR(__xludf.dummyfunction("""COMPUTED_VALUE"""),"冷蔵庫単身用、洗濯機単身用、電子レンジ、炊飯器、体重計、ウォーターサーバー（30・30・135）")</f>
        <v>冷蔵庫単身用、洗濯機単身用、電子レンジ、炊飯器、体重計、ウォーターサーバー（30・30・135）</v>
      </c>
      <c r="M168" s="6" t="str">
        <f aca="false">IFERROR(__xludf.dummyfunction("""COMPUTED_VALUE"""),"デスク（110・60・70）、折り畳みテーブル、カラーボックス（30・40・90）")</f>
        <v>デスク（110・60・70）、折り畳みテーブル、カラーボックス（30・40・90）</v>
      </c>
      <c r="N168" s="6"/>
      <c r="O168" s="6" t="str">
        <f aca="false">IFERROR(__xludf.dummyfunction("""COMPUTED_VALUE"""),"不要")</f>
        <v>不要</v>
      </c>
      <c r="P168" s="6"/>
      <c r="Q168" s="6"/>
      <c r="R168" s="6"/>
      <c r="S168" s="6" t="str">
        <f aca="false">IFERROR(__xludf.dummyfunction("""COMPUTED_VALUE"""),"家具家電なし社宅")</f>
        <v>家具家電なし社宅</v>
      </c>
      <c r="T168" s="6" t="str">
        <f aca="false">IFERROR(__xludf.dummyfunction("""COMPUTED_VALUE"""),"利用しない")</f>
        <v>利用しない</v>
      </c>
      <c r="U168" s="6"/>
      <c r="V168" s="6" t="str">
        <f aca="false">IFERROR(__xludf.dummyfunction("""COMPUTED_VALUE"""),"徒歩, 電車")</f>
        <v>徒歩, 電車</v>
      </c>
      <c r="W168" s="6"/>
      <c r="X168" s="6" t="str">
        <f aca="false">IFERROR(__xludf.dummyfunction("""COMPUTED_VALUE"""),"ご自身で契約中の物件")</f>
        <v>ご自身で契約中の物件</v>
      </c>
      <c r="Y168" s="6"/>
      <c r="Z168" s="6" t="str">
        <f aca="false">IFERROR(__xludf.dummyfunction("""COMPUTED_VALUE"""),"希望しない")</f>
        <v>希望しない</v>
      </c>
      <c r="AA168" s="6" t="str">
        <f aca="false">IFERROR(__xludf.dummyfunction("""COMPUTED_VALUE"""),"単身")</f>
        <v>単身</v>
      </c>
      <c r="AB168" s="6"/>
      <c r="AC168" s="6"/>
      <c r="AD168" s="6"/>
      <c r="AE168" s="6" t="str">
        <f aca="false">IFERROR(__xludf.dummyfunction("""COMPUTED_VALUE"""),"確認しました。")</f>
        <v>確認しました。</v>
      </c>
      <c r="AF168" s="6" t="str">
        <f aca="false">IFERROR(__xludf.dummyfunction("""COMPUTED_VALUE"""),"社宅基準の内容について確認しました")</f>
        <v>社宅基準の内容について確認しました</v>
      </c>
      <c r="AG168" s="6" t="str">
        <f aca="false">IFERROR(__xludf.dummyfunction("""COMPUTED_VALUE"""),"入居のしおりの内容についてご確認しました")</f>
        <v>入居のしおりの内容についてご確認しました</v>
      </c>
      <c r="AH168" s="6" t="str">
        <f aca="false">IFERROR(__xludf.dummyfunction("""COMPUTED_VALUE"""),"確認しました")</f>
        <v>確認しました</v>
      </c>
      <c r="AI168" s="6"/>
      <c r="AJ168" s="6" t="str">
        <v/>
      </c>
      <c r="AK168" s="6" t="str">
        <v/>
      </c>
      <c r="AL168" s="6" t="str">
        <v/>
      </c>
      <c r="AM168" s="6" t="str">
        <v/>
      </c>
      <c r="AN168" s="6" t="n">
        <f aca="false">TRUE()</f>
        <v>1</v>
      </c>
    </row>
    <row r="169" customFormat="false" ht="52.5" hidden="false" customHeight="true" outlineLevel="0" collapsed="false">
      <c r="A169" s="6" t="str">
        <f aca="false">IFERROR(__xludf.dummyfunction("""COMPUTED_VALUE"""),"2026/02/20 17:11:16")</f>
        <v>2026/02/20 17:11:16</v>
      </c>
      <c r="B169" s="6"/>
      <c r="C169" s="6" t="str">
        <f aca="false">IFERROR(__xludf.dummyfunction("""COMPUTED_VALUE"""),"70229")</f>
        <v>70229</v>
      </c>
      <c r="D169" s="6"/>
      <c r="E169" s="6"/>
      <c r="F169" s="6"/>
      <c r="G169" s="6" t="str">
        <f aca="false">IFERROR(__xludf.dummyfunction("""COMPUTED_VALUE"""),"2026/03/11")</f>
        <v>2026/03/11</v>
      </c>
      <c r="H169" s="6" t="str">
        <f aca="false">IFERROR(__xludf.dummyfunction("""COMPUTED_VALUE"""),"不要")</f>
        <v>不要</v>
      </c>
      <c r="I169" s="6" t="str">
        <f aca="false">IFERROR(__xludf.dummyfunction("""COMPUTED_VALUE"""),"男性")</f>
        <v>男性</v>
      </c>
      <c r="J169" s="6" t="str">
        <f aca="false">IFERROR(__xludf.dummyfunction("""COMPUTED_VALUE"""),"日本")</f>
        <v>日本</v>
      </c>
      <c r="K169" s="6"/>
      <c r="L169" s="6"/>
      <c r="M169" s="6"/>
      <c r="N169" s="6"/>
      <c r="O169" s="6" t="str">
        <f aca="false">IFERROR(__xludf.dummyfunction("""COMPUTED_VALUE"""),"不要")</f>
        <v>不要</v>
      </c>
      <c r="P169" s="6"/>
      <c r="Q169" s="6"/>
      <c r="R169" s="6"/>
      <c r="S169" s="6" t="str">
        <f aca="false">IFERROR(__xludf.dummyfunction("""COMPUTED_VALUE"""),"家具家電なし社宅")</f>
        <v>家具家電なし社宅</v>
      </c>
      <c r="T169" s="6" t="str">
        <f aca="false">IFERROR(__xludf.dummyfunction("""COMPUTED_VALUE"""),"利用しない")</f>
        <v>利用しない</v>
      </c>
      <c r="U169" s="6"/>
      <c r="V169" s="6" t="str">
        <f aca="false">IFERROR(__xludf.dummyfunction("""COMPUTED_VALUE"""),"徒歩, 自転車")</f>
        <v>徒歩, 自転車</v>
      </c>
      <c r="W169" s="6"/>
      <c r="X169" s="6" t="str">
        <f aca="false">IFERROR(__xludf.dummyfunction("""COMPUTED_VALUE"""),"実家")</f>
        <v>実家</v>
      </c>
      <c r="Y169" s="6"/>
      <c r="Z169" s="6" t="str">
        <f aca="false">IFERROR(__xludf.dummyfunction("""COMPUTED_VALUE"""),"希望する")</f>
        <v>希望する</v>
      </c>
      <c r="AA169" s="6" t="str">
        <f aca="false">IFERROR(__xludf.dummyfunction("""COMPUTED_VALUE"""),"単身")</f>
        <v>単身</v>
      </c>
      <c r="AB169" s="6"/>
      <c r="AC169" s="6"/>
      <c r="AD169" s="6"/>
      <c r="AE169" s="6" t="str">
        <f aca="false">IFERROR(__xludf.dummyfunction("""COMPUTED_VALUE"""),"確認しました。")</f>
        <v>確認しました。</v>
      </c>
      <c r="AF169" s="6" t="str">
        <f aca="false">IFERROR(__xludf.dummyfunction("""COMPUTED_VALUE"""),"社宅基準の内容について確認しました")</f>
        <v>社宅基準の内容について確認しました</v>
      </c>
      <c r="AG169" s="6" t="str">
        <f aca="false">IFERROR(__xludf.dummyfunction("""COMPUTED_VALUE"""),"入居のしおりの内容についてご確認しました")</f>
        <v>入居のしおりの内容についてご確認しました</v>
      </c>
      <c r="AH169" s="6" t="str">
        <f aca="false">IFERROR(__xludf.dummyfunction("""COMPUTED_VALUE"""),"確認しました")</f>
        <v>確認しました</v>
      </c>
      <c r="AI169" s="6"/>
      <c r="AJ169" s="6" t="str">
        <v/>
      </c>
      <c r="AK169" s="6" t="str">
        <v/>
      </c>
      <c r="AL169" s="6" t="str">
        <v/>
      </c>
      <c r="AM169" s="6" t="str">
        <v/>
      </c>
      <c r="AN169" s="6" t="n">
        <f aca="false">FALSE()</f>
        <v>0</v>
      </c>
    </row>
    <row r="170" customFormat="false" ht="52.5" hidden="false" customHeight="true" outlineLevel="0" collapsed="false">
      <c r="A170" s="6" t="str">
        <f aca="false">IFERROR(__xludf.dummyfunction("""COMPUTED_VALUE"""),"2026/02/20 18:44:33")</f>
        <v>2026/02/20 18:44:33</v>
      </c>
      <c r="B170" s="6"/>
      <c r="C170" s="6" t="str">
        <f aca="false">IFERROR(__xludf.dummyfunction("""COMPUTED_VALUE"""),"70261")</f>
        <v>70261</v>
      </c>
      <c r="D170" s="6"/>
      <c r="E170" s="6"/>
      <c r="F170" s="6"/>
      <c r="G170" s="6" t="str">
        <f aca="false">IFERROR(__xludf.dummyfunction("""COMPUTED_VALUE"""),"2026/03/15")</f>
        <v>2026/03/15</v>
      </c>
      <c r="H170" s="6" t="str">
        <f aca="false">IFERROR(__xludf.dummyfunction("""COMPUTED_VALUE"""),"不要")</f>
        <v>不要</v>
      </c>
      <c r="I170" s="6" t="str">
        <f aca="false">IFERROR(__xludf.dummyfunction("""COMPUTED_VALUE"""),"女性")</f>
        <v>女性</v>
      </c>
      <c r="J170" s="6" t="str">
        <f aca="false">IFERROR(__xludf.dummyfunction("""COMPUTED_VALUE"""),"日本")</f>
        <v>日本</v>
      </c>
      <c r="K170" s="6"/>
      <c r="L170" s="6"/>
      <c r="M170" s="6"/>
      <c r="N170" s="6"/>
      <c r="O170" s="6" t="str">
        <f aca="false">IFERROR(__xludf.dummyfunction("""COMPUTED_VALUE"""),"必要")</f>
        <v>必要</v>
      </c>
      <c r="P170" s="6" t="str">
        <f aca="false">IFERROR(__xludf.dummyfunction("""COMPUTED_VALUE"""),"ワゴンR")</f>
        <v>ワゴンR</v>
      </c>
      <c r="Q170" s="6" t="str">
        <f aca="false">IFERROR(__xludf.dummyfunction("""COMPUTED_VALUE"""),"ね3978")</f>
        <v>ね3978</v>
      </c>
      <c r="R170" s="6" t="str">
        <f aca="false">IFERROR(__xludf.dummyfunction("""COMPUTED_VALUE"""),"黒")</f>
        <v>黒</v>
      </c>
      <c r="S170" s="6" t="str">
        <f aca="false">IFERROR(__xludf.dummyfunction("""COMPUTED_VALUE"""),"家具家電なし社宅")</f>
        <v>家具家電なし社宅</v>
      </c>
      <c r="T170" s="6" t="str">
        <f aca="false">IFERROR(__xludf.dummyfunction("""COMPUTED_VALUE"""),"利用する")</f>
        <v>利用する</v>
      </c>
      <c r="U170" s="6" t="str">
        <f aca="false">IFERROR(__xludf.dummyfunction("""COMPUTED_VALUE"""),"掃除機、ローテーブル、炊飯器、電子レンジ、ガスコンロ(安全装置2つ付き)、照明器具、全自動洗濯機、冷凍冷蔵庫(170L)、地デジ液晶テレビ(19インチ)、テレビ台、カーテン(購入)、エアコン")</f>
        <v>掃除機、ローテーブル、炊飯器、電子レンジ、ガスコンロ(安全装置2つ付き)、照明器具、全自動洗濯機、冷凍冷蔵庫(170L)、地デジ液晶テレビ(19インチ)、テレビ台、カーテン(購入)、エアコン</v>
      </c>
      <c r="V170" s="6" t="str">
        <f aca="false">IFERROR(__xludf.dummyfunction("""COMPUTED_VALUE"""),"自動車")</f>
        <v>自動車</v>
      </c>
      <c r="W170" s="6"/>
      <c r="X170" s="6" t="str">
        <f aca="false">IFERROR(__xludf.dummyfunction("""COMPUTED_VALUE"""),"実家")</f>
        <v>実家</v>
      </c>
      <c r="Y170" s="6"/>
      <c r="Z170" s="6" t="str">
        <f aca="false">IFERROR(__xludf.dummyfunction("""COMPUTED_VALUE"""),"希望する")</f>
        <v>希望する</v>
      </c>
      <c r="AA170" s="6" t="str">
        <f aca="false">IFERROR(__xludf.dummyfunction("""COMPUTED_VALUE"""),"単身")</f>
        <v>単身</v>
      </c>
      <c r="AB170" s="6"/>
      <c r="AC170" s="6"/>
      <c r="AD170" s="6"/>
      <c r="AE170" s="6" t="str">
        <f aca="false">IFERROR(__xludf.dummyfunction("""COMPUTED_VALUE"""),"確認しました。")</f>
        <v>確認しました。</v>
      </c>
      <c r="AF170" s="6" t="str">
        <f aca="false">IFERROR(__xludf.dummyfunction("""COMPUTED_VALUE"""),"社宅基準の内容について確認しました")</f>
        <v>社宅基準の内容について確認しました</v>
      </c>
      <c r="AG170" s="6" t="str">
        <f aca="false">IFERROR(__xludf.dummyfunction("""COMPUTED_VALUE"""),"入居のしおりの内容についてご確認しました")</f>
        <v>入居のしおりの内容についてご確認しました</v>
      </c>
      <c r="AH170" s="6" t="str">
        <f aca="false">IFERROR(__xludf.dummyfunction("""COMPUTED_VALUE"""),"確認しました")</f>
        <v>確認しました</v>
      </c>
      <c r="AI170" s="6"/>
      <c r="AJ170" s="6" t="str">
        <v/>
      </c>
      <c r="AK170" s="6" t="str">
        <v/>
      </c>
      <c r="AL170" s="6" t="str">
        <v/>
      </c>
      <c r="AM170" s="6" t="str">
        <v/>
      </c>
      <c r="AN170" s="6" t="n">
        <f aca="false">TRUE()</f>
        <v>1</v>
      </c>
    </row>
    <row r="171" customFormat="false" ht="52.5" hidden="false" customHeight="true" outlineLevel="0" collapsed="false">
      <c r="A171" s="6" t="str">
        <f aca="false">IFERROR(__xludf.dummyfunction("""COMPUTED_VALUE"""),"2026/02/20 19:36:37")</f>
        <v>2026/02/20 19:36:37</v>
      </c>
      <c r="B171" s="6"/>
      <c r="C171" s="6" t="str">
        <f aca="false">IFERROR(__xludf.dummyfunction("""COMPUTED_VALUE"""),"70173")</f>
        <v>70173</v>
      </c>
      <c r="D171" s="6"/>
      <c r="E171" s="6"/>
      <c r="F171" s="6"/>
      <c r="G171" s="6" t="str">
        <f aca="false">IFERROR(__xludf.dummyfunction("""COMPUTED_VALUE"""),"2026/03/23")</f>
        <v>2026/03/23</v>
      </c>
      <c r="H171" s="6" t="str">
        <f aca="false">IFERROR(__xludf.dummyfunction("""COMPUTED_VALUE"""),"必要")</f>
        <v>必要</v>
      </c>
      <c r="I171" s="6" t="str">
        <f aca="false">IFERROR(__xludf.dummyfunction("""COMPUTED_VALUE"""),"男性")</f>
        <v>男性</v>
      </c>
      <c r="J171" s="6" t="str">
        <f aca="false">IFERROR(__xludf.dummyfunction("""COMPUTED_VALUE"""),"日本")</f>
        <v>日本</v>
      </c>
      <c r="K171" s="6" t="str">
        <f aca="false">IFERROR(__xludf.dummyfunction("""COMPUTED_VALUE"""),"5")</f>
        <v>5</v>
      </c>
      <c r="L171" s="6" t="str">
        <f aca="false">IFERROR(__xludf.dummyfunction("""COMPUTED_VALUE"""),"・冷蔵庫(単身用)
・縦型洗濯機
・電子レンジ
・炊飯器
・サーキュレーター
・テレビ(32型)
・IHコンロ(一口)
")</f>
        <v>・冷蔵庫(単身用)
・縦型洗濯機
・電子レンジ
・炊飯器
・サーキュレーター
・テレビ(32型)
・IHコンロ(一口)
</v>
      </c>
      <c r="M171" s="6" t="str">
        <f aca="false">IFERROR(__xludf.dummyfunction("""COMPUTED_VALUE"""),"・デスク(160×70×78)
・デスクチェア(70×70×110)
・洗濯物干し(68×45×105) 折りたたみ可
・マットレス(シングルサイズ)
・マットレス用スノコ(シングル対応・二つ折り可)
・フロアプロテクター(120×100)")</f>
        <v>・デスク(160×70×78)
・デスクチェア(70×70×110)
・洗濯物干し(68×45×105) 折りたたみ可
・マットレス(シングルサイズ)
・マットレス用スノコ(シングル対応・二つ折り可)
・フロアプロテクター(120×100)</v>
      </c>
      <c r="N171" s="6" t="str">
        <f aca="false">IFERROR(__xludf.dummyfunction("""COMPUTED_VALUE"""),"特になし")</f>
        <v>特になし</v>
      </c>
      <c r="O171" s="6" t="str">
        <f aca="false">IFERROR(__xludf.dummyfunction("""COMPUTED_VALUE"""),"不要")</f>
        <v>不要</v>
      </c>
      <c r="P171" s="6"/>
      <c r="Q171" s="6"/>
      <c r="R171" s="6"/>
      <c r="S171" s="6" t="str">
        <f aca="false">IFERROR(__xludf.dummyfunction("""COMPUTED_VALUE"""),"家具家電なし社宅")</f>
        <v>家具家電なし社宅</v>
      </c>
      <c r="T171" s="6" t="str">
        <f aca="false">IFERROR(__xludf.dummyfunction("""COMPUTED_VALUE"""),"利用しない")</f>
        <v>利用しない</v>
      </c>
      <c r="U171" s="6"/>
      <c r="V171" s="6" t="str">
        <f aca="false">IFERROR(__xludf.dummyfunction("""COMPUTED_VALUE"""),"徒歩, 電車, バス")</f>
        <v>徒歩, 電車, バス</v>
      </c>
      <c r="W171" s="6"/>
      <c r="X171" s="6" t="str">
        <f aca="false">IFERROR(__xludf.dummyfunction("""COMPUTED_VALUE"""),"ご自身で契約中の物件")</f>
        <v>ご自身で契約中の物件</v>
      </c>
      <c r="Y171" s="6"/>
      <c r="Z171" s="6" t="str">
        <f aca="false">IFERROR(__xludf.dummyfunction("""COMPUTED_VALUE"""),"希望しない")</f>
        <v>希望しない</v>
      </c>
      <c r="AA171" s="6" t="str">
        <f aca="false">IFERROR(__xludf.dummyfunction("""COMPUTED_VALUE"""),"単身")</f>
        <v>単身</v>
      </c>
      <c r="AB171" s="6"/>
      <c r="AC171" s="6"/>
      <c r="AD171" s="6"/>
      <c r="AE171" s="6" t="str">
        <f aca="false">IFERROR(__xludf.dummyfunction("""COMPUTED_VALUE"""),"確認しました。")</f>
        <v>確認しました。</v>
      </c>
      <c r="AF171" s="6" t="str">
        <f aca="false">IFERROR(__xludf.dummyfunction("""COMPUTED_VALUE"""),"社宅基準の内容について確認しました")</f>
        <v>社宅基準の内容について確認しました</v>
      </c>
      <c r="AG171" s="6" t="str">
        <f aca="false">IFERROR(__xludf.dummyfunction("""COMPUTED_VALUE"""),"入居のしおりの内容についてご確認しました")</f>
        <v>入居のしおりの内容についてご確認しました</v>
      </c>
      <c r="AH171" s="6" t="str">
        <f aca="false">IFERROR(__xludf.dummyfunction("""COMPUTED_VALUE"""),"確認しました")</f>
        <v>確認しました</v>
      </c>
      <c r="AI171" s="6"/>
      <c r="AJ171" s="6" t="str">
        <v/>
      </c>
      <c r="AK171" s="6" t="str">
        <v/>
      </c>
      <c r="AL171" s="6" t="str">
        <v/>
      </c>
      <c r="AM171" s="6" t="str">
        <v/>
      </c>
      <c r="AN171" s="6" t="n">
        <f aca="false">TRUE()</f>
        <v>1</v>
      </c>
    </row>
    <row r="172" customFormat="false" ht="52.5" hidden="false" customHeight="true" outlineLevel="0" collapsed="false">
      <c r="A172" s="6" t="str">
        <f aca="false">IFERROR(__xludf.dummyfunction("""COMPUTED_VALUE"""),"2026/02/20 22:16:07")</f>
        <v>2026/02/20 22:16:07</v>
      </c>
      <c r="B172" s="6"/>
      <c r="C172" s="6" t="str">
        <f aca="false">IFERROR(__xludf.dummyfunction("""COMPUTED_VALUE"""),"70076")</f>
        <v>70076</v>
      </c>
      <c r="D172" s="6"/>
      <c r="E172" s="6"/>
      <c r="F172" s="6"/>
      <c r="G172" s="6" t="str">
        <f aca="false">IFERROR(__xludf.dummyfunction("""COMPUTED_VALUE"""),"2026/03/14")</f>
        <v>2026/03/14</v>
      </c>
      <c r="H172" s="6" t="str">
        <f aca="false">IFERROR(__xludf.dummyfunction("""COMPUTED_VALUE"""),"必要")</f>
        <v>必要</v>
      </c>
      <c r="I172" s="6" t="str">
        <f aca="false">IFERROR(__xludf.dummyfunction("""COMPUTED_VALUE"""),"男性")</f>
        <v>男性</v>
      </c>
      <c r="J172" s="6" t="str">
        <f aca="false">IFERROR(__xludf.dummyfunction("""COMPUTED_VALUE"""),"日本")</f>
        <v>日本</v>
      </c>
      <c r="K172" s="6" t="str">
        <f aca="false">IFERROR(__xludf.dummyfunction("""COMPUTED_VALUE"""),"5")</f>
        <v>5</v>
      </c>
      <c r="L172" s="6" t="str">
        <f aca="false">IFERROR(__xludf.dummyfunction("""COMPUTED_VALUE"""),"テレビ")</f>
        <v>テレビ</v>
      </c>
      <c r="M172" s="6" t="str">
        <f aca="false">IFERROR(__xludf.dummyfunction("""COMPUTED_VALUE"""),"敷布団")</f>
        <v>敷布団</v>
      </c>
      <c r="N172" s="6"/>
      <c r="O172" s="6" t="str">
        <f aca="false">IFERROR(__xludf.dummyfunction("""COMPUTED_VALUE"""),"不要")</f>
        <v>不要</v>
      </c>
      <c r="P172" s="6"/>
      <c r="Q172" s="6"/>
      <c r="R172" s="6"/>
      <c r="S172" s="6" t="str">
        <f aca="false">IFERROR(__xludf.dummyfunction("""COMPUTED_VALUE"""),"家具家電付き社宅")</f>
        <v>家具家電付き社宅</v>
      </c>
      <c r="T172" s="6" t="str">
        <f aca="false">IFERROR(__xludf.dummyfunction("""COMPUTED_VALUE"""),"利用しない")</f>
        <v>利用しない</v>
      </c>
      <c r="U172" s="6"/>
      <c r="V172" s="6" t="str">
        <f aca="false">IFERROR(__xludf.dummyfunction("""COMPUTED_VALUE"""),"徒歩, 自転車")</f>
        <v>徒歩, 自転車</v>
      </c>
      <c r="W172" s="6"/>
      <c r="X172" s="6" t="str">
        <f aca="false">IFERROR(__xludf.dummyfunction("""COMPUTED_VALUE"""),"実家")</f>
        <v>実家</v>
      </c>
      <c r="Y172" s="6"/>
      <c r="Z172" s="6" t="str">
        <f aca="false">IFERROR(__xludf.dummyfunction("""COMPUTED_VALUE"""),"希望する")</f>
        <v>希望する</v>
      </c>
      <c r="AA172" s="6" t="str">
        <f aca="false">IFERROR(__xludf.dummyfunction("""COMPUTED_VALUE"""),"単身")</f>
        <v>単身</v>
      </c>
      <c r="AB172" s="6"/>
      <c r="AC172" s="6"/>
      <c r="AD172" s="6"/>
      <c r="AE172" s="6" t="str">
        <f aca="false">IFERROR(__xludf.dummyfunction("""COMPUTED_VALUE"""),"確認しました。")</f>
        <v>確認しました。</v>
      </c>
      <c r="AF172" s="6" t="str">
        <f aca="false">IFERROR(__xludf.dummyfunction("""COMPUTED_VALUE"""),"社宅基準の内容について確認しました")</f>
        <v>社宅基準の内容について確認しました</v>
      </c>
      <c r="AG172" s="6" t="str">
        <f aca="false">IFERROR(__xludf.dummyfunction("""COMPUTED_VALUE"""),"入居のしおりの内容についてご確認しました")</f>
        <v>入居のしおりの内容についてご確認しました</v>
      </c>
      <c r="AH172" s="6" t="str">
        <f aca="false">IFERROR(__xludf.dummyfunction("""COMPUTED_VALUE"""),"確認しました")</f>
        <v>確認しました</v>
      </c>
      <c r="AI172" s="6"/>
      <c r="AJ172" s="6" t="str">
        <v/>
      </c>
      <c r="AK172" s="6" t="str">
        <v/>
      </c>
      <c r="AL172" s="6" t="str">
        <v/>
      </c>
      <c r="AM172" s="6" t="str">
        <v/>
      </c>
      <c r="AN172" s="6" t="n">
        <f aca="false">FALSE()</f>
        <v>0</v>
      </c>
    </row>
    <row r="173" customFormat="false" ht="52.5" hidden="false" customHeight="true" outlineLevel="0" collapsed="false">
      <c r="A173" s="6" t="str">
        <f aca="false">IFERROR(__xludf.dummyfunction("""COMPUTED_VALUE"""),"2026/02/20 23:37:48")</f>
        <v>2026/02/20 23:37:48</v>
      </c>
      <c r="B173" s="6"/>
      <c r="C173" s="6" t="str">
        <f aca="false">IFERROR(__xludf.dummyfunction("""COMPUTED_VALUE"""),"70116")</f>
        <v>70116</v>
      </c>
      <c r="D173" s="6"/>
      <c r="E173" s="6"/>
      <c r="F173" s="6"/>
      <c r="G173" s="6" t="str">
        <f aca="false">IFERROR(__xludf.dummyfunction("""COMPUTED_VALUE"""),"2026/03/12")</f>
        <v>2026/03/12</v>
      </c>
      <c r="H173" s="6" t="str">
        <f aca="false">IFERROR(__xludf.dummyfunction("""COMPUTED_VALUE"""),"必要")</f>
        <v>必要</v>
      </c>
      <c r="I173" s="6" t="str">
        <f aca="false">IFERROR(__xludf.dummyfunction("""COMPUTED_VALUE"""),"女性")</f>
        <v>女性</v>
      </c>
      <c r="J173" s="6" t="str">
        <f aca="false">IFERROR(__xludf.dummyfunction("""COMPUTED_VALUE"""),"日本")</f>
        <v>日本</v>
      </c>
      <c r="K173" s="6" t="str">
        <f aca="false">IFERROR(__xludf.dummyfunction("""COMPUTED_VALUE"""),"8")</f>
        <v>8</v>
      </c>
      <c r="L173" s="6" t="str">
        <f aca="false">IFERROR(__xludf.dummyfunction("""COMPUTED_VALUE"""),"なし")</f>
        <v>なし</v>
      </c>
      <c r="M173" s="6" t="str">
        <f aca="false">IFERROR(__xludf.dummyfunction("""COMPUTED_VALUE"""),"キャスター付き棚75×20×65")</f>
        <v>キャスター付き棚75×20×65</v>
      </c>
      <c r="N173" s="6"/>
      <c r="O173" s="6" t="str">
        <f aca="false">IFERROR(__xludf.dummyfunction("""COMPUTED_VALUE"""),"不要")</f>
        <v>不要</v>
      </c>
      <c r="P173" s="6"/>
      <c r="Q173" s="6"/>
      <c r="R173" s="6"/>
      <c r="S173" s="6" t="str">
        <f aca="false">IFERROR(__xludf.dummyfunction("""COMPUTED_VALUE"""),"家具家電なし社宅")</f>
        <v>家具家電なし社宅</v>
      </c>
      <c r="T173" s="6" t="str">
        <f aca="false">IFERROR(__xludf.dummyfunction("""COMPUTED_VALUE"""),"利用しない")</f>
        <v>利用しない</v>
      </c>
      <c r="U173" s="6"/>
      <c r="V173" s="6" t="str">
        <f aca="false">IFERROR(__xludf.dummyfunction("""COMPUTED_VALUE"""),"徒歩, 電車")</f>
        <v>徒歩, 電車</v>
      </c>
      <c r="W173" s="6"/>
      <c r="X173" s="6" t="str">
        <f aca="false">IFERROR(__xludf.dummyfunction("""COMPUTED_VALUE"""),"実家")</f>
        <v>実家</v>
      </c>
      <c r="Y173" s="6"/>
      <c r="Z173" s="6" t="str">
        <f aca="false">IFERROR(__xludf.dummyfunction("""COMPUTED_VALUE"""),"希望する")</f>
        <v>希望する</v>
      </c>
      <c r="AA173" s="6" t="str">
        <f aca="false">IFERROR(__xludf.dummyfunction("""COMPUTED_VALUE"""),"単身")</f>
        <v>単身</v>
      </c>
      <c r="AB173" s="6"/>
      <c r="AC173" s="6"/>
      <c r="AD173" s="6"/>
      <c r="AE173" s="6" t="str">
        <f aca="false">IFERROR(__xludf.dummyfunction("""COMPUTED_VALUE"""),"確認しました。")</f>
        <v>確認しました。</v>
      </c>
      <c r="AF173" s="6" t="str">
        <f aca="false">IFERROR(__xludf.dummyfunction("""COMPUTED_VALUE"""),"社宅基準の内容について確認しました")</f>
        <v>社宅基準の内容について確認しました</v>
      </c>
      <c r="AG173" s="6" t="str">
        <f aca="false">IFERROR(__xludf.dummyfunction("""COMPUTED_VALUE"""),"入居のしおりの内容についてご確認しました")</f>
        <v>入居のしおりの内容についてご確認しました</v>
      </c>
      <c r="AH173" s="6" t="str">
        <f aca="false">IFERROR(__xludf.dummyfunction("""COMPUTED_VALUE"""),"確認しました")</f>
        <v>確認しました</v>
      </c>
      <c r="AI173" s="6"/>
      <c r="AJ173" s="6" t="str">
        <v/>
      </c>
      <c r="AK173" s="6" t="str">
        <v/>
      </c>
      <c r="AL173" s="6" t="str">
        <v/>
      </c>
      <c r="AM173" s="6" t="str">
        <v/>
      </c>
      <c r="AN173" s="6" t="n">
        <f aca="false">FALSE()</f>
        <v>0</v>
      </c>
    </row>
    <row r="174" customFormat="false" ht="52.5" hidden="false" customHeight="true" outlineLevel="0" collapsed="false">
      <c r="A174" s="6" t="str">
        <f aca="false">IFERROR(__xludf.dummyfunction("""COMPUTED_VALUE"""),"2026/02/21 1:20:27")</f>
        <v>2026/02/21 1:20:27</v>
      </c>
      <c r="B174" s="6"/>
      <c r="C174" s="6" t="str">
        <f aca="false">IFERROR(__xludf.dummyfunction("""COMPUTED_VALUE"""),"70222")</f>
        <v>70222</v>
      </c>
      <c r="D174" s="6"/>
      <c r="E174" s="6"/>
      <c r="F174" s="6"/>
      <c r="G174" s="6" t="str">
        <f aca="false">IFERROR(__xludf.dummyfunction("""COMPUTED_VALUE"""),"2026/03/25")</f>
        <v>2026/03/25</v>
      </c>
      <c r="H174" s="6" t="str">
        <f aca="false">IFERROR(__xludf.dummyfunction("""COMPUTED_VALUE"""),"必要")</f>
        <v>必要</v>
      </c>
      <c r="I174" s="6" t="str">
        <f aca="false">IFERROR(__xludf.dummyfunction("""COMPUTED_VALUE"""),"男性")</f>
        <v>男性</v>
      </c>
      <c r="J174" s="6" t="str">
        <f aca="false">IFERROR(__xludf.dummyfunction("""COMPUTED_VALUE"""),"日本")</f>
        <v>日本</v>
      </c>
      <c r="K174" s="6" t="str">
        <f aca="false">IFERROR(__xludf.dummyfunction("""COMPUTED_VALUE"""),"10")</f>
        <v>10</v>
      </c>
      <c r="L174" s="6" t="str">
        <f aca="false">IFERROR(__xludf.dummyfunction("""COMPUTED_VALUE"""),"今のところない")</f>
        <v>今のところない</v>
      </c>
      <c r="M174" s="6" t="str">
        <f aca="false">IFERROR(__xludf.dummyfunction("""COMPUTED_VALUE"""),"ベッド(シングル)")</f>
        <v>ベッド(シングル)</v>
      </c>
      <c r="N174" s="6" t="str">
        <f aca="false">IFERROR(__xludf.dummyfunction("""COMPUTED_VALUE"""),"自転車")</f>
        <v>自転車</v>
      </c>
      <c r="O174" s="6" t="str">
        <f aca="false">IFERROR(__xludf.dummyfunction("""COMPUTED_VALUE"""),"不要")</f>
        <v>不要</v>
      </c>
      <c r="P174" s="6"/>
      <c r="Q174" s="6"/>
      <c r="R174" s="6"/>
      <c r="S174" s="6" t="str">
        <f aca="false">IFERROR(__xludf.dummyfunction("""COMPUTED_VALUE"""),"家具家電付き社宅")</f>
        <v>家具家電付き社宅</v>
      </c>
      <c r="T174" s="6" t="str">
        <f aca="false">IFERROR(__xludf.dummyfunction("""COMPUTED_VALUE"""),"利用しない")</f>
        <v>利用しない</v>
      </c>
      <c r="U174" s="6"/>
      <c r="V174" s="6" t="str">
        <f aca="false">IFERROR(__xludf.dummyfunction("""COMPUTED_VALUE"""),"自転車")</f>
        <v>自転車</v>
      </c>
      <c r="W174" s="6"/>
      <c r="X174" s="6" t="str">
        <f aca="false">IFERROR(__xludf.dummyfunction("""COMPUTED_VALUE"""),"実家")</f>
        <v>実家</v>
      </c>
      <c r="Y174" s="6"/>
      <c r="Z174" s="6" t="str">
        <f aca="false">IFERROR(__xludf.dummyfunction("""COMPUTED_VALUE"""),"希望する")</f>
        <v>希望する</v>
      </c>
      <c r="AA174" s="6" t="str">
        <f aca="false">IFERROR(__xludf.dummyfunction("""COMPUTED_VALUE"""),"単身")</f>
        <v>単身</v>
      </c>
      <c r="AB174" s="6"/>
      <c r="AC174" s="6"/>
      <c r="AD174" s="6"/>
      <c r="AE174" s="6" t="str">
        <f aca="false">IFERROR(__xludf.dummyfunction("""COMPUTED_VALUE"""),"確認しました。")</f>
        <v>確認しました。</v>
      </c>
      <c r="AF174" s="6" t="str">
        <f aca="false">IFERROR(__xludf.dummyfunction("""COMPUTED_VALUE"""),"社宅基準の内容について確認しました")</f>
        <v>社宅基準の内容について確認しました</v>
      </c>
      <c r="AG174" s="6" t="str">
        <f aca="false">IFERROR(__xludf.dummyfunction("""COMPUTED_VALUE"""),"入居のしおりの内容についてご確認しました")</f>
        <v>入居のしおりの内容についてご確認しました</v>
      </c>
      <c r="AH174" s="6" t="str">
        <f aca="false">IFERROR(__xludf.dummyfunction("""COMPUTED_VALUE"""),"確認しました")</f>
        <v>確認しました</v>
      </c>
      <c r="AI174" s="6"/>
      <c r="AJ174" s="6" t="str">
        <v/>
      </c>
      <c r="AK174" s="6" t="str">
        <v/>
      </c>
      <c r="AL174" s="6" t="str">
        <v/>
      </c>
      <c r="AM174" s="6" t="str">
        <v/>
      </c>
      <c r="AN174" s="6" t="n">
        <f aca="false">TRUE()</f>
        <v>1</v>
      </c>
    </row>
    <row r="175" customFormat="false" ht="52.5" hidden="false" customHeight="true" outlineLevel="0" collapsed="false">
      <c r="A175" s="6" t="str">
        <f aca="false">IFERROR(__xludf.dummyfunction("""COMPUTED_VALUE"""),"2026/02/21 10:25:23")</f>
        <v>2026/02/21 10:25:23</v>
      </c>
      <c r="B175" s="6"/>
      <c r="C175" s="6" t="str">
        <f aca="false">IFERROR(__xludf.dummyfunction("""COMPUTED_VALUE"""),"70127")</f>
        <v>70127</v>
      </c>
      <c r="D175" s="6"/>
      <c r="E175" s="6"/>
      <c r="F175" s="6"/>
      <c r="G175" s="6" t="str">
        <f aca="false">IFERROR(__xludf.dummyfunction("""COMPUTED_VALUE"""),"2026/03/30")</f>
        <v>2026/03/30</v>
      </c>
      <c r="H175" s="6" t="str">
        <f aca="false">IFERROR(__xludf.dummyfunction("""COMPUTED_VALUE"""),"必要")</f>
        <v>必要</v>
      </c>
      <c r="I175" s="6" t="str">
        <f aca="false">IFERROR(__xludf.dummyfunction("""COMPUTED_VALUE"""),"男性")</f>
        <v>男性</v>
      </c>
      <c r="J175" s="6" t="str">
        <f aca="false">IFERROR(__xludf.dummyfunction("""COMPUTED_VALUE"""),"日本")</f>
        <v>日本</v>
      </c>
      <c r="K175" s="6" t="str">
        <f aca="false">IFERROR(__xludf.dummyfunction("""COMPUTED_VALUE"""),"3")</f>
        <v>3</v>
      </c>
      <c r="L175" s="6" t="str">
        <f aca="false">IFERROR(__xludf.dummyfunction("""COMPUTED_VALUE"""),"なし")</f>
        <v>なし</v>
      </c>
      <c r="M175" s="6" t="str">
        <f aca="false">IFERROR(__xludf.dummyfunction("""COMPUTED_VALUE"""),"寝具一式(掛布団、敷布団、毛布、マットレス、枕)
サイズ：シングル")</f>
        <v>寝具一式(掛布団、敷布団、毛布、マットレス、枕)
サイズ：シングル</v>
      </c>
      <c r="N175" s="6" t="str">
        <f aca="false">IFERROR(__xludf.dummyfunction("""COMPUTED_VALUE"""),"なし")</f>
        <v>なし</v>
      </c>
      <c r="O175" s="6" t="str">
        <f aca="false">IFERROR(__xludf.dummyfunction("""COMPUTED_VALUE"""),"不要")</f>
        <v>不要</v>
      </c>
      <c r="P175" s="6"/>
      <c r="Q175" s="6"/>
      <c r="R175" s="6"/>
      <c r="S175" s="6" t="str">
        <f aca="false">IFERROR(__xludf.dummyfunction("""COMPUTED_VALUE"""),"家具家電付き社宅")</f>
        <v>家具家電付き社宅</v>
      </c>
      <c r="T175" s="6" t="str">
        <f aca="false">IFERROR(__xludf.dummyfunction("""COMPUTED_VALUE"""),"利用しない")</f>
        <v>利用しない</v>
      </c>
      <c r="U175" s="6"/>
      <c r="V175" s="6" t="str">
        <f aca="false">IFERROR(__xludf.dummyfunction("""COMPUTED_VALUE"""),"徒歩, 電車, バス, 社用バス")</f>
        <v>徒歩, 電車, バス, 社用バス</v>
      </c>
      <c r="W175" s="6"/>
      <c r="X175" s="6" t="str">
        <f aca="false">IFERROR(__xludf.dummyfunction("""COMPUTED_VALUE"""),"実家")</f>
        <v>実家</v>
      </c>
      <c r="Y175" s="6"/>
      <c r="Z175" s="6" t="str">
        <f aca="false">IFERROR(__xludf.dummyfunction("""COMPUTED_VALUE"""),"希望する")</f>
        <v>希望する</v>
      </c>
      <c r="AA175" s="6" t="str">
        <f aca="false">IFERROR(__xludf.dummyfunction("""COMPUTED_VALUE"""),"単身")</f>
        <v>単身</v>
      </c>
      <c r="AB175" s="6"/>
      <c r="AC175" s="6"/>
      <c r="AD175" s="6"/>
      <c r="AE175" s="6" t="str">
        <f aca="false">IFERROR(__xludf.dummyfunction("""COMPUTED_VALUE"""),"確認しました。")</f>
        <v>確認しました。</v>
      </c>
      <c r="AF175" s="6" t="str">
        <f aca="false">IFERROR(__xludf.dummyfunction("""COMPUTED_VALUE"""),"社宅基準の内容について確認しました")</f>
        <v>社宅基準の内容について確認しました</v>
      </c>
      <c r="AG175" s="6" t="str">
        <f aca="false">IFERROR(__xludf.dummyfunction("""COMPUTED_VALUE"""),"入居のしおりの内容についてご確認しました")</f>
        <v>入居のしおりの内容についてご確認しました</v>
      </c>
      <c r="AH175" s="6" t="str">
        <f aca="false">IFERROR(__xludf.dummyfunction("""COMPUTED_VALUE"""),"確認しました")</f>
        <v>確認しました</v>
      </c>
      <c r="AI175" s="6"/>
      <c r="AJ175" s="6" t="str">
        <v/>
      </c>
      <c r="AK175" s="6" t="str">
        <v/>
      </c>
      <c r="AL175" s="6" t="str">
        <v/>
      </c>
      <c r="AM175" s="6" t="str">
        <v/>
      </c>
      <c r="AN175" s="6" t="n">
        <f aca="false">TRUE()</f>
        <v>1</v>
      </c>
    </row>
    <row r="176" customFormat="false" ht="52.5" hidden="false" customHeight="true" outlineLevel="0" collapsed="false">
      <c r="A176" s="6" t="str">
        <f aca="false">IFERROR(__xludf.dummyfunction("""COMPUTED_VALUE"""),"2026/02/21 11:48:48")</f>
        <v>2026/02/21 11:48:48</v>
      </c>
      <c r="B176" s="6"/>
      <c r="C176" s="6" t="str">
        <f aca="false">IFERROR(__xludf.dummyfunction("""COMPUTED_VALUE"""),"70246")</f>
        <v>70246</v>
      </c>
      <c r="D176" s="6"/>
      <c r="E176" s="6"/>
      <c r="F176" s="6"/>
      <c r="G176" s="6" t="str">
        <f aca="false">IFERROR(__xludf.dummyfunction("""COMPUTED_VALUE"""),"2026/03/30")</f>
        <v>2026/03/30</v>
      </c>
      <c r="H176" s="6" t="str">
        <f aca="false">IFERROR(__xludf.dummyfunction("""COMPUTED_VALUE"""),"必要")</f>
        <v>必要</v>
      </c>
      <c r="I176" s="6" t="str">
        <f aca="false">IFERROR(__xludf.dummyfunction("""COMPUTED_VALUE"""),"男性")</f>
        <v>男性</v>
      </c>
      <c r="J176" s="6" t="str">
        <f aca="false">IFERROR(__xludf.dummyfunction("""COMPUTED_VALUE"""),"日本")</f>
        <v>日本</v>
      </c>
      <c r="K176" s="6" t="str">
        <f aca="false">IFERROR(__xludf.dummyfunction("""COMPUTED_VALUE"""),"60")</f>
        <v>60</v>
      </c>
      <c r="L176" s="6" t="str">
        <f aca="false">IFERROR(__xludf.dummyfunction("""COMPUTED_VALUE"""),"冷蔵庫（家庭用３ドア３６５L）、洗濯機、電子レンジ、液晶テレビ32inch　")</f>
        <v>冷蔵庫（家庭用３ドア３６５L）、洗濯機、電子レンジ、液晶テレビ32inch　</v>
      </c>
      <c r="M176" s="6" t="str">
        <f aca="false">IFERROR(__xludf.dummyfunction("""COMPUTED_VALUE"""),"洋服ダンス、整理ダンス(2)、水屋、レンジ棚、テレビ台、収納棚(4)、サイドボート3(H:100cm)、本棚(H:155cm)、机、サイドワゴン、椅子、座卓、小テーブル１")</f>
        <v>洋服ダンス、整理ダンス(2)、水屋、レンジ棚、テレビ台、収納棚(4)、サイドボート3(H:100cm)、本棚(H:155cm)、机、サイドワゴン、椅子、座卓、小テーブル１</v>
      </c>
      <c r="N176" s="6" t="str">
        <f aca="false">IFERROR(__xludf.dummyfunction("""COMPUTED_VALUE"""),"２台")</f>
        <v>２台</v>
      </c>
      <c r="O176" s="6" t="str">
        <f aca="false">IFERROR(__xludf.dummyfunction("""COMPUTED_VALUE"""),"必要")</f>
        <v>必要</v>
      </c>
      <c r="P176" s="6" t="str">
        <f aca="false">IFERROR(__xludf.dummyfunction("""COMPUTED_VALUE"""),"オーラ")</f>
        <v>オーラ</v>
      </c>
      <c r="Q176" s="6" t="str">
        <f aca="false">IFERROR(__xludf.dummyfunction("""COMPUTED_VALUE"""),"ゆ１－２３")</f>
        <v>ゆ１－２３</v>
      </c>
      <c r="R176" s="6" t="str">
        <f aca="false">IFERROR(__xludf.dummyfunction("""COMPUTED_VALUE"""),"メタリックブルー")</f>
        <v>メタリックブルー</v>
      </c>
      <c r="S176" s="6" t="str">
        <f aca="false">IFERROR(__xludf.dummyfunction("""COMPUTED_VALUE"""),"家具家電なし社宅")</f>
        <v>家具家電なし社宅</v>
      </c>
      <c r="T176" s="6" t="str">
        <f aca="false">IFERROR(__xludf.dummyfunction("""COMPUTED_VALUE"""),"利用しない")</f>
        <v>利用しない</v>
      </c>
      <c r="U176" s="6"/>
      <c r="V176" s="6" t="str">
        <f aca="false">IFERROR(__xludf.dummyfunction("""COMPUTED_VALUE"""),"徒歩, 自転車, 電車, バス")</f>
        <v>徒歩, 自転車, 電車, バス</v>
      </c>
      <c r="W176" s="6"/>
      <c r="X176" s="6" t="str">
        <f aca="false">IFERROR(__xludf.dummyfunction("""COMPUTED_VALUE"""),"ご自身で契約中の物件")</f>
        <v>ご自身で契約中の物件</v>
      </c>
      <c r="Y176" s="6"/>
      <c r="Z176" s="6" t="str">
        <f aca="false">IFERROR(__xludf.dummyfunction("""COMPUTED_VALUE"""),"希望する")</f>
        <v>希望する</v>
      </c>
      <c r="AA176" s="6" t="str">
        <f aca="false">IFERROR(__xludf.dummyfunction("""COMPUTED_VALUE"""),"家族")</f>
        <v>家族</v>
      </c>
      <c r="AB176" s="6" t="str">
        <f aca="false">IFERROR(__xludf.dummyfunction("""COMPUTED_VALUE"""),"氏名：安井 一子
フリガナ：ヤスイ イチコ
生年月日：1956年3月25日
携帯番号：07054693292
続柄：配偶者")</f>
        <v>氏名：安井 一子
フリガナ：ヤスイ イチコ
生年月日：1956年3月25日
携帯番号：07054693292
続柄：配偶者</v>
      </c>
      <c r="AC176" s="6"/>
      <c r="AD176" s="6" t="str">
        <f aca="false">IFERROR(__xludf.dummyfunction("""COMPUTED_VALUE"""),"ケーブルテレビ、ネット環境JCOMであれば引越し契約可のはずです
間取りは２LDK希望")</f>
        <v>ケーブルテレビ、ネット環境JCOMであれば引越し契約可のはずです
間取りは２LDK希望</v>
      </c>
      <c r="AE176" s="6" t="str">
        <f aca="false">IFERROR(__xludf.dummyfunction("""COMPUTED_VALUE"""),"確認しました。")</f>
        <v>確認しました。</v>
      </c>
      <c r="AF176" s="6" t="str">
        <f aca="false">IFERROR(__xludf.dummyfunction("""COMPUTED_VALUE"""),"社宅基準の内容について確認しました")</f>
        <v>社宅基準の内容について確認しました</v>
      </c>
      <c r="AG176" s="6" t="str">
        <f aca="false">IFERROR(__xludf.dummyfunction("""COMPUTED_VALUE"""),"入居のしおりの内容についてご確認しました")</f>
        <v>入居のしおりの内容についてご確認しました</v>
      </c>
      <c r="AH176" s="6" t="str">
        <f aca="false">IFERROR(__xludf.dummyfunction("""COMPUTED_VALUE"""),"確認しました")</f>
        <v>確認しました</v>
      </c>
      <c r="AI176" s="6"/>
      <c r="AJ176" s="6" t="str">
        <v/>
      </c>
      <c r="AK176" s="6" t="str">
        <v/>
      </c>
      <c r="AL176" s="6" t="str">
        <v/>
      </c>
      <c r="AM176" s="6" t="str">
        <v/>
      </c>
      <c r="AN176" s="6" t="n">
        <f aca="false">TRUE()</f>
        <v>1</v>
      </c>
    </row>
    <row r="177" customFormat="false" ht="52.5" hidden="false" customHeight="true" outlineLevel="0" collapsed="false">
      <c r="A177" s="6" t="str">
        <f aca="false">IFERROR(__xludf.dummyfunction("""COMPUTED_VALUE"""),"2026/02/21 12:30:10")</f>
        <v>2026/02/21 12:30:10</v>
      </c>
      <c r="B177" s="6"/>
      <c r="C177" s="6" t="str">
        <f aca="false">IFERROR(__xludf.dummyfunction("""COMPUTED_VALUE"""),"70197")</f>
        <v>70197</v>
      </c>
      <c r="D177" s="6"/>
      <c r="E177" s="6"/>
      <c r="F177" s="6"/>
      <c r="G177" s="6" t="str">
        <f aca="false">IFERROR(__xludf.dummyfunction("""COMPUTED_VALUE"""),"2026/03/29")</f>
        <v>2026/03/29</v>
      </c>
      <c r="H177" s="6" t="str">
        <f aca="false">IFERROR(__xludf.dummyfunction("""COMPUTED_VALUE"""),"必要")</f>
        <v>必要</v>
      </c>
      <c r="I177" s="6" t="str">
        <f aca="false">IFERROR(__xludf.dummyfunction("""COMPUTED_VALUE"""),"男性")</f>
        <v>男性</v>
      </c>
      <c r="J177" s="6" t="str">
        <f aca="false">IFERROR(__xludf.dummyfunction("""COMPUTED_VALUE"""),"日本")</f>
        <v>日本</v>
      </c>
      <c r="K177" s="6" t="str">
        <f aca="false">IFERROR(__xludf.dummyfunction("""COMPUTED_VALUE"""),"15")</f>
        <v>15</v>
      </c>
      <c r="L177" s="6" t="str">
        <f aca="false">IFERROR(__xludf.dummyfunction("""COMPUTED_VALUE"""),"持っていかない")</f>
        <v>持っていかない</v>
      </c>
      <c r="M177" s="6" t="str">
        <f aca="false">IFERROR(__xludf.dummyfunction("""COMPUTED_VALUE"""),"持っていかない")</f>
        <v>持っていかない</v>
      </c>
      <c r="N177" s="6"/>
      <c r="O177" s="6" t="str">
        <f aca="false">IFERROR(__xludf.dummyfunction("""COMPUTED_VALUE"""),"不要")</f>
        <v>不要</v>
      </c>
      <c r="P177" s="6"/>
      <c r="Q177" s="6"/>
      <c r="R177" s="6"/>
      <c r="S177" s="6" t="str">
        <f aca="false">IFERROR(__xludf.dummyfunction("""COMPUTED_VALUE"""),"家具家電付き社宅")</f>
        <v>家具家電付き社宅</v>
      </c>
      <c r="T177" s="6" t="str">
        <f aca="false">IFERROR(__xludf.dummyfunction("""COMPUTED_VALUE"""),"利用しない")</f>
        <v>利用しない</v>
      </c>
      <c r="U177" s="6"/>
      <c r="V177" s="6" t="str">
        <f aca="false">IFERROR(__xludf.dummyfunction("""COMPUTED_VALUE"""),"電車")</f>
        <v>電車</v>
      </c>
      <c r="W177" s="6"/>
      <c r="X177" s="6" t="str">
        <f aca="false">IFERROR(__xludf.dummyfunction("""COMPUTED_VALUE"""),"実家")</f>
        <v>実家</v>
      </c>
      <c r="Y177" s="6"/>
      <c r="Z177" s="6" t="str">
        <f aca="false">IFERROR(__xludf.dummyfunction("""COMPUTED_VALUE"""),"希望する")</f>
        <v>希望する</v>
      </c>
      <c r="AA177" s="6" t="str">
        <f aca="false">IFERROR(__xludf.dummyfunction("""COMPUTED_VALUE"""),"単身")</f>
        <v>単身</v>
      </c>
      <c r="AB177" s="6"/>
      <c r="AC177" s="6"/>
      <c r="AD177" s="6"/>
      <c r="AE177" s="6" t="str">
        <f aca="false">IFERROR(__xludf.dummyfunction("""COMPUTED_VALUE"""),"確認しました。")</f>
        <v>確認しました。</v>
      </c>
      <c r="AF177" s="6" t="str">
        <f aca="false">IFERROR(__xludf.dummyfunction("""COMPUTED_VALUE"""),"社宅基準の内容について確認しました")</f>
        <v>社宅基準の内容について確認しました</v>
      </c>
      <c r="AG177" s="6" t="str">
        <f aca="false">IFERROR(__xludf.dummyfunction("""COMPUTED_VALUE"""),"入居のしおりの内容についてご確認しました")</f>
        <v>入居のしおりの内容についてご確認しました</v>
      </c>
      <c r="AH177" s="6" t="str">
        <f aca="false">IFERROR(__xludf.dummyfunction("""COMPUTED_VALUE"""),"確認しました")</f>
        <v>確認しました</v>
      </c>
      <c r="AI177" s="6"/>
      <c r="AJ177" s="6" t="str">
        <v/>
      </c>
      <c r="AK177" s="6" t="str">
        <v/>
      </c>
      <c r="AL177" s="6" t="str">
        <v/>
      </c>
      <c r="AM177" s="6" t="str">
        <v/>
      </c>
      <c r="AN177" s="6" t="n">
        <f aca="false">FALSE()</f>
        <v>0</v>
      </c>
    </row>
    <row r="178" customFormat="false" ht="52.5" hidden="false" customHeight="true" outlineLevel="0" collapsed="false">
      <c r="A178" s="6" t="str">
        <f aca="false">IFERROR(__xludf.dummyfunction("""COMPUTED_VALUE"""),"2026/02/21 19:05:55")</f>
        <v>2026/02/21 19:05:55</v>
      </c>
      <c r="B178" s="6"/>
      <c r="C178" s="6" t="str">
        <f aca="false">IFERROR(__xludf.dummyfunction("""COMPUTED_VALUE"""),"70192")</f>
        <v>70192</v>
      </c>
      <c r="D178" s="6"/>
      <c r="E178" s="6"/>
      <c r="F178" s="6"/>
      <c r="G178" s="6" t="str">
        <f aca="false">IFERROR(__xludf.dummyfunction("""COMPUTED_VALUE"""),"2026/03/07")</f>
        <v>2026/03/07</v>
      </c>
      <c r="H178" s="6" t="str">
        <f aca="false">IFERROR(__xludf.dummyfunction("""COMPUTED_VALUE"""),"必要")</f>
        <v>必要</v>
      </c>
      <c r="I178" s="6" t="str">
        <f aca="false">IFERROR(__xludf.dummyfunction("""COMPUTED_VALUE"""),"男性")</f>
        <v>男性</v>
      </c>
      <c r="J178" s="6" t="str">
        <f aca="false">IFERROR(__xludf.dummyfunction("""COMPUTED_VALUE"""),"日本")</f>
        <v>日本</v>
      </c>
      <c r="K178" s="6" t="str">
        <f aca="false">IFERROR(__xludf.dummyfunction("""COMPUTED_VALUE"""),"7")</f>
        <v>7</v>
      </c>
      <c r="L178" s="6" t="str">
        <f aca="false">IFERROR(__xludf.dummyfunction("""COMPUTED_VALUE"""),"もってません")</f>
        <v>もってません</v>
      </c>
      <c r="M178" s="6" t="str">
        <f aca="false">IFERROR(__xludf.dummyfunction("""COMPUTED_VALUE"""),"もってません")</f>
        <v>もってません</v>
      </c>
      <c r="N178" s="6" t="str">
        <f aca="false">IFERROR(__xludf.dummyfunction("""COMPUTED_VALUE"""),"自転車")</f>
        <v>自転車</v>
      </c>
      <c r="O178" s="6" t="str">
        <f aca="false">IFERROR(__xludf.dummyfunction("""COMPUTED_VALUE"""),"不要")</f>
        <v>不要</v>
      </c>
      <c r="P178" s="6"/>
      <c r="Q178" s="6"/>
      <c r="R178" s="6"/>
      <c r="S178" s="6" t="str">
        <f aca="false">IFERROR(__xludf.dummyfunction("""COMPUTED_VALUE"""),"家具家電付き社宅")</f>
        <v>家具家電付き社宅</v>
      </c>
      <c r="T178" s="6" t="str">
        <f aca="false">IFERROR(__xludf.dummyfunction("""COMPUTED_VALUE"""),"利用しない")</f>
        <v>利用しない</v>
      </c>
      <c r="U178" s="6"/>
      <c r="V178" s="6" t="str">
        <f aca="false">IFERROR(__xludf.dummyfunction("""COMPUTED_VALUE"""),"徒歩, 自動車, 自転車")</f>
        <v>徒歩, 自動車, 自転車</v>
      </c>
      <c r="W178" s="6"/>
      <c r="X178" s="6" t="str">
        <f aca="false">IFERROR(__xludf.dummyfunction("""COMPUTED_VALUE"""),"株式会社ビーネックステクノロジーズの社宅")</f>
        <v>株式会社ビーネックステクノロジーズの社宅</v>
      </c>
      <c r="Y178" s="6" t="str">
        <f aca="false">IFERROR(__xludf.dummyfunction("""COMPUTED_VALUE"""),"利用なし")</f>
        <v>利用なし</v>
      </c>
      <c r="Z178" s="6" t="str">
        <f aca="false">IFERROR(__xludf.dummyfunction("""COMPUTED_VALUE"""),"希望する")</f>
        <v>希望する</v>
      </c>
      <c r="AA178" s="6" t="str">
        <f aca="false">IFERROR(__xludf.dummyfunction("""COMPUTED_VALUE"""),"単身")</f>
        <v>単身</v>
      </c>
      <c r="AB178" s="6"/>
      <c r="AC178" s="6"/>
      <c r="AD178" s="6" t="str">
        <f aca="false">IFERROR(__xludf.dummyfunction("""COMPUTED_VALUE"""),"住居について
・鉄骨等がいいです。
・前回前々回と衛生面が気になる部分があるので、衛生面での評価が良いところをお願い致します。
・2階がいいです。
・台所やお風呂場等が綺麗な所がいいです。
また次回のお電話の際に擦り合わせをお願い致します。")</f>
        <v>住居について
・鉄骨等がいいです。
・前回前々回と衛生面が気になる部分があるので、衛生面での評価が良いところをお願い致します。
・2階がいいです。
・台所やお風呂場等が綺麗な所がいいです。
また次回のお電話の際に擦り合わせをお願い致します。</v>
      </c>
      <c r="AE178" s="6" t="str">
        <f aca="false">IFERROR(__xludf.dummyfunction("""COMPUTED_VALUE"""),"確認しました。, ")</f>
        <v>確認しました。, </v>
      </c>
      <c r="AF178" s="6" t="str">
        <f aca="false">IFERROR(__xludf.dummyfunction("""COMPUTED_VALUE"""),"社宅基準の内容について確認しました")</f>
        <v>社宅基準の内容について確認しました</v>
      </c>
      <c r="AG178" s="6" t="str">
        <f aca="false">IFERROR(__xludf.dummyfunction("""COMPUTED_VALUE"""),"入居のしおりの内容についてご確認しました")</f>
        <v>入居のしおりの内容についてご確認しました</v>
      </c>
      <c r="AH178" s="6" t="str">
        <f aca="false">IFERROR(__xludf.dummyfunction("""COMPUTED_VALUE"""),"確認しました")</f>
        <v>確認しました</v>
      </c>
      <c r="AI178" s="6"/>
      <c r="AJ178" s="6" t="str">
        <v/>
      </c>
      <c r="AK178" s="6" t="str">
        <v/>
      </c>
      <c r="AL178" s="6" t="str">
        <v/>
      </c>
      <c r="AM178" s="6" t="str">
        <v/>
      </c>
      <c r="AN178" s="6" t="n">
        <f aca="false">FALSE()</f>
        <v>0</v>
      </c>
    </row>
    <row r="179" customFormat="false" ht="52.5" hidden="false" customHeight="true" outlineLevel="0" collapsed="false">
      <c r="A179" s="6" t="str">
        <f aca="false">IFERROR(__xludf.dummyfunction("""COMPUTED_VALUE"""),"2026/02/21 19:20:12")</f>
        <v>2026/02/21 19:20:12</v>
      </c>
      <c r="B179" s="6"/>
      <c r="C179" s="6" t="str">
        <f aca="false">IFERROR(__xludf.dummyfunction("""COMPUTED_VALUE"""),"70204")</f>
        <v>70204</v>
      </c>
      <c r="D179" s="6"/>
      <c r="E179" s="6"/>
      <c r="F179" s="6"/>
      <c r="G179" s="6" t="str">
        <f aca="false">IFERROR(__xludf.dummyfunction("""COMPUTED_VALUE"""),"2026/03/30")</f>
        <v>2026/03/30</v>
      </c>
      <c r="H179" s="6" t="str">
        <f aca="false">IFERROR(__xludf.dummyfunction("""COMPUTED_VALUE"""),"必要")</f>
        <v>必要</v>
      </c>
      <c r="I179" s="6" t="str">
        <f aca="false">IFERROR(__xludf.dummyfunction("""COMPUTED_VALUE"""),"男性")</f>
        <v>男性</v>
      </c>
      <c r="J179" s="6" t="str">
        <f aca="false">IFERROR(__xludf.dummyfunction("""COMPUTED_VALUE"""),"日本")</f>
        <v>日本</v>
      </c>
      <c r="K179" s="6" t="str">
        <f aca="false">IFERROR(__xludf.dummyfunction("""COMPUTED_VALUE"""),"20")</f>
        <v>20</v>
      </c>
      <c r="L179" s="6" t="str">
        <f aca="false">IFERROR(__xludf.dummyfunction("""COMPUTED_VALUE"""),"家電をもってくかは未定")</f>
        <v>家電をもってくかは未定</v>
      </c>
      <c r="M179" s="6" t="str">
        <f aca="false">IFERROR(__xludf.dummyfunction("""COMPUTED_VALUE"""),"ベッド　シングル")</f>
        <v>ベッド　シングル</v>
      </c>
      <c r="N179" s="6"/>
      <c r="O179" s="6" t="str">
        <f aca="false">IFERROR(__xludf.dummyfunction("""COMPUTED_VALUE"""),"必要")</f>
        <v>必要</v>
      </c>
      <c r="P179" s="6" t="str">
        <f aca="false">IFERROR(__xludf.dummyfunction("""COMPUTED_VALUE"""),"ムーブ")</f>
        <v>ムーブ</v>
      </c>
      <c r="Q179" s="6" t="str">
        <f aca="false">IFERROR(__xludf.dummyfunction("""COMPUTED_VALUE"""),"と12-04")</f>
        <v>と12-04</v>
      </c>
      <c r="R179" s="6" t="str">
        <f aca="false">IFERROR(__xludf.dummyfunction("""COMPUTED_VALUE"""),"ワインレッド")</f>
        <v>ワインレッド</v>
      </c>
      <c r="S179" s="6" t="str">
        <f aca="false">IFERROR(__xludf.dummyfunction("""COMPUTED_VALUE"""),"家具家電付き社宅")</f>
        <v>家具家電付き社宅</v>
      </c>
      <c r="T179" s="6" t="str">
        <f aca="false">IFERROR(__xludf.dummyfunction("""COMPUTED_VALUE"""),"利用しない")</f>
        <v>利用しない</v>
      </c>
      <c r="U179" s="6"/>
      <c r="V179" s="6" t="str">
        <f aca="false">IFERROR(__xludf.dummyfunction("""COMPUTED_VALUE"""),"徒歩, 自動車, 自転車")</f>
        <v>徒歩, 自動車, 自転車</v>
      </c>
      <c r="W179" s="6"/>
      <c r="X179" s="6" t="str">
        <f aca="false">IFERROR(__xludf.dummyfunction("""COMPUTED_VALUE"""),"実家")</f>
        <v>実家</v>
      </c>
      <c r="Y179" s="6"/>
      <c r="Z179" s="6" t="str">
        <f aca="false">IFERROR(__xludf.dummyfunction("""COMPUTED_VALUE"""),"希望する")</f>
        <v>希望する</v>
      </c>
      <c r="AA179" s="6" t="str">
        <f aca="false">IFERROR(__xludf.dummyfunction("""COMPUTED_VALUE"""),"単身")</f>
        <v>単身</v>
      </c>
      <c r="AB179" s="6"/>
      <c r="AC179" s="6"/>
      <c r="AD179" s="6" t="str">
        <f aca="false">IFERROR(__xludf.dummyfunction("""COMPUTED_VALUE"""),"隣、上下階の住人の物音はしないか
お風呂、トイレは別")</f>
        <v>隣、上下階の住人の物音はしないか
お風呂、トイレは別</v>
      </c>
      <c r="AE179" s="6" t="str">
        <f aca="false">IFERROR(__xludf.dummyfunction("""COMPUTED_VALUE"""),"確認しました。")</f>
        <v>確認しました。</v>
      </c>
      <c r="AF179" s="6" t="str">
        <f aca="false">IFERROR(__xludf.dummyfunction("""COMPUTED_VALUE"""),"社宅基準の内容について確認しました")</f>
        <v>社宅基準の内容について確認しました</v>
      </c>
      <c r="AG179" s="6" t="str">
        <f aca="false">IFERROR(__xludf.dummyfunction("""COMPUTED_VALUE"""),"入居のしおりの内容についてご確認しました")</f>
        <v>入居のしおりの内容についてご確認しました</v>
      </c>
      <c r="AH179" s="6" t="str">
        <f aca="false">IFERROR(__xludf.dummyfunction("""COMPUTED_VALUE"""),"確認しました")</f>
        <v>確認しました</v>
      </c>
      <c r="AI179" s="6"/>
      <c r="AJ179" s="6" t="str">
        <v/>
      </c>
      <c r="AK179" s="6" t="str">
        <v/>
      </c>
      <c r="AL179" s="6" t="str">
        <v/>
      </c>
      <c r="AM179" s="6" t="str">
        <v/>
      </c>
      <c r="AN179" s="6" t="n">
        <f aca="false">FALSE()</f>
        <v>0</v>
      </c>
    </row>
    <row r="180" customFormat="false" ht="52.5" hidden="false" customHeight="true" outlineLevel="0" collapsed="false">
      <c r="A180" s="6" t="str">
        <f aca="false">IFERROR(__xludf.dummyfunction("""COMPUTED_VALUE"""),"2026/02/21 20:26:17")</f>
        <v>2026/02/21 20:26:17</v>
      </c>
      <c r="B180" s="6"/>
      <c r="C180" s="6" t="str">
        <f aca="false">IFERROR(__xludf.dummyfunction("""COMPUTED_VALUE"""),"70202")</f>
        <v>70202</v>
      </c>
      <c r="D180" s="6"/>
      <c r="E180" s="6"/>
      <c r="F180" s="6"/>
      <c r="G180" s="6" t="str">
        <f aca="false">IFERROR(__xludf.dummyfunction("""COMPUTED_VALUE"""),"2026/03/30")</f>
        <v>2026/03/30</v>
      </c>
      <c r="H180" s="6" t="str">
        <f aca="false">IFERROR(__xludf.dummyfunction("""COMPUTED_VALUE"""),"必要")</f>
        <v>必要</v>
      </c>
      <c r="I180" s="6" t="str">
        <f aca="false">IFERROR(__xludf.dummyfunction("""COMPUTED_VALUE"""),"男性")</f>
        <v>男性</v>
      </c>
      <c r="J180" s="6" t="str">
        <f aca="false">IFERROR(__xludf.dummyfunction("""COMPUTED_VALUE"""),"日本")</f>
        <v>日本</v>
      </c>
      <c r="K180" s="6" t="str">
        <f aca="false">IFERROR(__xludf.dummyfunction("""COMPUTED_VALUE"""),"15")</f>
        <v>15</v>
      </c>
      <c r="L180" s="6" t="str">
        <f aca="false">IFERROR(__xludf.dummyfunction("""COMPUTED_VALUE"""),"乾燥機、冷蔵庫(単身用)、縦型洗濯機")</f>
        <v>乾燥機、冷蔵庫(単身用)、縦型洗濯機</v>
      </c>
      <c r="M180" s="6" t="str">
        <f aca="false">IFERROR(__xludf.dummyfunction("""COMPUTED_VALUE"""),"無し")</f>
        <v>無し</v>
      </c>
      <c r="N180" s="6" t="str">
        <f aca="false">IFERROR(__xludf.dummyfunction("""COMPUTED_VALUE"""),"自転車")</f>
        <v>自転車</v>
      </c>
      <c r="O180" s="6" t="str">
        <f aca="false">IFERROR(__xludf.dummyfunction("""COMPUTED_VALUE"""),"必要")</f>
        <v>必要</v>
      </c>
      <c r="P180" s="6" t="str">
        <f aca="false">IFERROR(__xludf.dummyfunction("""COMPUTED_VALUE"""),"レクサス")</f>
        <v>レクサス</v>
      </c>
      <c r="Q180" s="6" t="str">
        <f aca="false">IFERROR(__xludf.dummyfunction("""COMPUTED_VALUE"""),"ろ22-22")</f>
        <v>ろ22-22</v>
      </c>
      <c r="R180" s="6" t="str">
        <f aca="false">IFERROR(__xludf.dummyfunction("""COMPUTED_VALUE"""),"黒")</f>
        <v>黒</v>
      </c>
      <c r="S180" s="6" t="str">
        <f aca="false">IFERROR(__xludf.dummyfunction("""COMPUTED_VALUE"""),"家具家電付き社宅")</f>
        <v>家具家電付き社宅</v>
      </c>
      <c r="T180" s="6" t="str">
        <f aca="false">IFERROR(__xludf.dummyfunction("""COMPUTED_VALUE"""),"利用しない")</f>
        <v>利用しない</v>
      </c>
      <c r="U180" s="6"/>
      <c r="V180" s="6" t="str">
        <f aca="false">IFERROR(__xludf.dummyfunction("""COMPUTED_VALUE"""),"自動車")</f>
        <v>自動車</v>
      </c>
      <c r="W180" s="6"/>
      <c r="X180" s="6" t="str">
        <f aca="false">IFERROR(__xludf.dummyfunction("""COMPUTED_VALUE"""),"実家")</f>
        <v>実家</v>
      </c>
      <c r="Y180" s="6"/>
      <c r="Z180" s="6" t="str">
        <f aca="false">IFERROR(__xludf.dummyfunction("""COMPUTED_VALUE"""),"希望する")</f>
        <v>希望する</v>
      </c>
      <c r="AA180" s="6" t="str">
        <f aca="false">IFERROR(__xludf.dummyfunction("""COMPUTED_VALUE"""),"単身")</f>
        <v>単身</v>
      </c>
      <c r="AB180" s="6"/>
      <c r="AC180" s="6"/>
      <c r="AD180" s="6"/>
      <c r="AE180" s="6" t="str">
        <f aca="false">IFERROR(__xludf.dummyfunction("""COMPUTED_VALUE"""),"確認しました。")</f>
        <v>確認しました。</v>
      </c>
      <c r="AF180" s="6" t="str">
        <f aca="false">IFERROR(__xludf.dummyfunction("""COMPUTED_VALUE"""),"社宅基準の内容について確認しました")</f>
        <v>社宅基準の内容について確認しました</v>
      </c>
      <c r="AG180" s="6" t="str">
        <f aca="false">IFERROR(__xludf.dummyfunction("""COMPUTED_VALUE"""),"入居のしおりの内容についてご確認しました")</f>
        <v>入居のしおりの内容についてご確認しました</v>
      </c>
      <c r="AH180" s="6" t="str">
        <f aca="false">IFERROR(__xludf.dummyfunction("""COMPUTED_VALUE"""),"確認しました")</f>
        <v>確認しました</v>
      </c>
      <c r="AI180" s="6"/>
      <c r="AJ180" s="6" t="str">
        <v/>
      </c>
      <c r="AK180" s="6" t="str">
        <v/>
      </c>
      <c r="AL180" s="6" t="str">
        <v/>
      </c>
      <c r="AM180" s="6" t="str">
        <v/>
      </c>
      <c r="AN180" s="6" t="n">
        <f aca="false">TRUE()</f>
        <v>1</v>
      </c>
    </row>
    <row r="181" customFormat="false" ht="52.5" hidden="false" customHeight="true" outlineLevel="0" collapsed="false">
      <c r="A181" s="6" t="str">
        <f aca="false">IFERROR(__xludf.dummyfunction("""COMPUTED_VALUE"""),"2026/02/21 20:57:57")</f>
        <v>2026/02/21 20:57:57</v>
      </c>
      <c r="B181" s="6"/>
      <c r="C181" s="6" t="str">
        <f aca="false">IFERROR(__xludf.dummyfunction("""COMPUTED_VALUE"""),"70244")</f>
        <v>70244</v>
      </c>
      <c r="D181" s="6"/>
      <c r="E181" s="6"/>
      <c r="F181" s="6"/>
      <c r="G181" s="6" t="str">
        <f aca="false">IFERROR(__xludf.dummyfunction("""COMPUTED_VALUE"""),"2026/03/12")</f>
        <v>2026/03/12</v>
      </c>
      <c r="H181" s="6" t="str">
        <f aca="false">IFERROR(__xludf.dummyfunction("""COMPUTED_VALUE"""),"必要")</f>
        <v>必要</v>
      </c>
      <c r="I181" s="6" t="str">
        <f aca="false">IFERROR(__xludf.dummyfunction("""COMPUTED_VALUE"""),"男性")</f>
        <v>男性</v>
      </c>
      <c r="J181" s="6" t="str">
        <f aca="false">IFERROR(__xludf.dummyfunction("""COMPUTED_VALUE"""),"日本")</f>
        <v>日本</v>
      </c>
      <c r="K181" s="6" t="str">
        <f aca="false">IFERROR(__xludf.dummyfunction("""COMPUTED_VALUE"""),"15")</f>
        <v>15</v>
      </c>
      <c r="L181" s="6" t="str">
        <f aca="false">IFERROR(__xludf.dummyfunction("""COMPUTED_VALUE"""),"電気ヒーター、電気ポット")</f>
        <v>電気ヒーター、電気ポット</v>
      </c>
      <c r="M181" s="6" t="str">
        <f aca="false">IFERROR(__xludf.dummyfunction("""COMPUTED_VALUE"""),"机（横90cm、奥行45cm、高さ30cm(折り畳み可)）、衣装棚（横55cm、奥行40cm、高さ60cm）")</f>
        <v>机（横90cm、奥行45cm、高さ30cm(折り畳み可)）、衣装棚（横55cm、奥行40cm、高さ60cm）</v>
      </c>
      <c r="N181" s="6" t="str">
        <f aca="false">IFERROR(__xludf.dummyfunction("""COMPUTED_VALUE"""),"自転車1台")</f>
        <v>自転車1台</v>
      </c>
      <c r="O181" s="6" t="str">
        <f aca="false">IFERROR(__xludf.dummyfunction("""COMPUTED_VALUE"""),"不要")</f>
        <v>不要</v>
      </c>
      <c r="P181" s="6"/>
      <c r="Q181" s="6"/>
      <c r="R181" s="6"/>
      <c r="S181" s="6" t="str">
        <f aca="false">IFERROR(__xludf.dummyfunction("""COMPUTED_VALUE"""),"家具家電付き社宅")</f>
        <v>家具家電付き社宅</v>
      </c>
      <c r="T181" s="6" t="str">
        <f aca="false">IFERROR(__xludf.dummyfunction("""COMPUTED_VALUE"""),"利用しない")</f>
        <v>利用しない</v>
      </c>
      <c r="U181" s="6"/>
      <c r="V181" s="6" t="str">
        <f aca="false">IFERROR(__xludf.dummyfunction("""COMPUTED_VALUE"""),"徒歩, 自転車")</f>
        <v>徒歩, 自転車</v>
      </c>
      <c r="W181" s="6"/>
      <c r="X181" s="6" t="str">
        <f aca="false">IFERROR(__xludf.dummyfunction("""COMPUTED_VALUE"""),"ご自身で契約中の物件")</f>
        <v>ご自身で契約中の物件</v>
      </c>
      <c r="Y181" s="6"/>
      <c r="Z181" s="6" t="str">
        <f aca="false">IFERROR(__xludf.dummyfunction("""COMPUTED_VALUE"""),"希望する")</f>
        <v>希望する</v>
      </c>
      <c r="AA181" s="6" t="str">
        <f aca="false">IFERROR(__xludf.dummyfunction("""COMPUTED_VALUE"""),"単身")</f>
        <v>単身</v>
      </c>
      <c r="AB181" s="6"/>
      <c r="AC181" s="6"/>
      <c r="AD181" s="6"/>
      <c r="AE181" s="6" t="str">
        <f aca="false">IFERROR(__xludf.dummyfunction("""COMPUTED_VALUE"""),"確認しました。")</f>
        <v>確認しました。</v>
      </c>
      <c r="AF181" s="6" t="str">
        <f aca="false">IFERROR(__xludf.dummyfunction("""COMPUTED_VALUE"""),"社宅基準の内容について確認しました")</f>
        <v>社宅基準の内容について確認しました</v>
      </c>
      <c r="AG181" s="6" t="str">
        <f aca="false">IFERROR(__xludf.dummyfunction("""COMPUTED_VALUE"""),"入居のしおりの内容についてご確認しました")</f>
        <v>入居のしおりの内容についてご確認しました</v>
      </c>
      <c r="AH181" s="6" t="str">
        <f aca="false">IFERROR(__xludf.dummyfunction("""COMPUTED_VALUE"""),"確認しました")</f>
        <v>確認しました</v>
      </c>
      <c r="AI181" s="6"/>
      <c r="AJ181" s="6" t="str">
        <v/>
      </c>
      <c r="AK181" s="6" t="str">
        <v/>
      </c>
      <c r="AL181" s="6" t="str">
        <v/>
      </c>
      <c r="AM181" s="6" t="str">
        <v/>
      </c>
      <c r="AN181" s="6" t="n">
        <f aca="false">FALSE()</f>
        <v>0</v>
      </c>
    </row>
    <row r="182" customFormat="false" ht="52.5" hidden="false" customHeight="true" outlineLevel="0" collapsed="false">
      <c r="A182" s="6" t="str">
        <f aca="false">IFERROR(__xludf.dummyfunction("""COMPUTED_VALUE"""),"2026/02/21 22:12:53")</f>
        <v>2026/02/21 22:12:53</v>
      </c>
      <c r="B182" s="6"/>
      <c r="C182" s="6" t="str">
        <f aca="false">IFERROR(__xludf.dummyfunction("""COMPUTED_VALUE"""),"70273")</f>
        <v>70273</v>
      </c>
      <c r="D182" s="6"/>
      <c r="E182" s="6"/>
      <c r="F182" s="6"/>
      <c r="G182" s="6" t="str">
        <f aca="false">IFERROR(__xludf.dummyfunction("""COMPUTED_VALUE"""),"2026/03/20")</f>
        <v>2026/03/20</v>
      </c>
      <c r="H182" s="6" t="str">
        <f aca="false">IFERROR(__xludf.dummyfunction("""COMPUTED_VALUE"""),"必要")</f>
        <v>必要</v>
      </c>
      <c r="I182" s="6" t="str">
        <f aca="false">IFERROR(__xludf.dummyfunction("""COMPUTED_VALUE"""),"男性")</f>
        <v>男性</v>
      </c>
      <c r="J182" s="6" t="str">
        <f aca="false">IFERROR(__xludf.dummyfunction("""COMPUTED_VALUE"""),"日本")</f>
        <v>日本</v>
      </c>
      <c r="K182" s="6" t="str">
        <f aca="false">IFERROR(__xludf.dummyfunction("""COMPUTED_VALUE"""),"20")</f>
        <v>20</v>
      </c>
      <c r="L182" s="6" t="str">
        <f aca="false">IFERROR(__xludf.dummyfunction("""COMPUTED_VALUE"""),"冷蔵庫家族用、洗濯機、電子レンジ")</f>
        <v>冷蔵庫家族用、洗濯機、電子レンジ</v>
      </c>
      <c r="M182" s="6" t="str">
        <f aca="false">IFERROR(__xludf.dummyfunction("""COMPUTED_VALUE"""),"ベットセミダブル")</f>
        <v>ベットセミダブル</v>
      </c>
      <c r="N182" s="6"/>
      <c r="O182" s="6" t="str">
        <f aca="false">IFERROR(__xludf.dummyfunction("""COMPUTED_VALUE"""),"不要")</f>
        <v>不要</v>
      </c>
      <c r="P182" s="6"/>
      <c r="Q182" s="6"/>
      <c r="R182" s="6"/>
      <c r="S182" s="6" t="str">
        <f aca="false">IFERROR(__xludf.dummyfunction("""COMPUTED_VALUE"""),"家具家電付き社宅")</f>
        <v>家具家電付き社宅</v>
      </c>
      <c r="T182" s="6" t="str">
        <f aca="false">IFERROR(__xludf.dummyfunction("""COMPUTED_VALUE"""),"利用しない")</f>
        <v>利用しない</v>
      </c>
      <c r="U182" s="6"/>
      <c r="V182" s="6" t="str">
        <f aca="false">IFERROR(__xludf.dummyfunction("""COMPUTED_VALUE"""),"徒歩, バス, 社用バス")</f>
        <v>徒歩, バス, 社用バス</v>
      </c>
      <c r="W182" s="6"/>
      <c r="X182" s="6" t="str">
        <f aca="false">IFERROR(__xludf.dummyfunction("""COMPUTED_VALUE"""),"実家")</f>
        <v>実家</v>
      </c>
      <c r="Y182" s="6"/>
      <c r="Z182" s="6" t="str">
        <f aca="false">IFERROR(__xludf.dummyfunction("""COMPUTED_VALUE"""),"希望する")</f>
        <v>希望する</v>
      </c>
      <c r="AA182" s="6" t="str">
        <f aca="false">IFERROR(__xludf.dummyfunction("""COMPUTED_VALUE"""),"単身")</f>
        <v>単身</v>
      </c>
      <c r="AB182" s="6"/>
      <c r="AC182" s="6"/>
      <c r="AD182" s="6"/>
      <c r="AE182" s="6" t="str">
        <f aca="false">IFERROR(__xludf.dummyfunction("""COMPUTED_VALUE"""),"確認しました。")</f>
        <v>確認しました。</v>
      </c>
      <c r="AF182" s="6" t="str">
        <f aca="false">IFERROR(__xludf.dummyfunction("""COMPUTED_VALUE"""),"社宅基準の内容について確認しました")</f>
        <v>社宅基準の内容について確認しました</v>
      </c>
      <c r="AG182" s="6" t="str">
        <f aca="false">IFERROR(__xludf.dummyfunction("""COMPUTED_VALUE"""),"入居のしおりの内容についてご確認しました")</f>
        <v>入居のしおりの内容についてご確認しました</v>
      </c>
      <c r="AH182" s="6" t="str">
        <f aca="false">IFERROR(__xludf.dummyfunction("""COMPUTED_VALUE"""),"確認しました")</f>
        <v>確認しました</v>
      </c>
      <c r="AI182" s="6"/>
      <c r="AJ182" s="6" t="str">
        <v/>
      </c>
      <c r="AK182" s="6" t="str">
        <v/>
      </c>
      <c r="AL182" s="6" t="str">
        <v/>
      </c>
      <c r="AM182" s="6" t="str">
        <v/>
      </c>
      <c r="AN182" s="6" t="n">
        <f aca="false">TRUE()</f>
        <v>1</v>
      </c>
    </row>
    <row r="183" customFormat="false" ht="52.5" hidden="false" customHeight="true" outlineLevel="0" collapsed="false">
      <c r="A183" s="6" t="str">
        <f aca="false">IFERROR(__xludf.dummyfunction("""COMPUTED_VALUE"""),"2026/02/22 16:04:34")</f>
        <v>2026/02/22 16:04:34</v>
      </c>
      <c r="B183" s="6"/>
      <c r="C183" s="6" t="str">
        <f aca="false">IFERROR(__xludf.dummyfunction("""COMPUTED_VALUE"""),"70198")</f>
        <v>70198</v>
      </c>
      <c r="D183" s="6"/>
      <c r="E183" s="6"/>
      <c r="F183" s="6"/>
      <c r="G183" s="6" t="str">
        <f aca="false">IFERROR(__xludf.dummyfunction("""COMPUTED_VALUE"""),"2026/03/28")</f>
        <v>2026/03/28</v>
      </c>
      <c r="H183" s="6" t="str">
        <f aca="false">IFERROR(__xludf.dummyfunction("""COMPUTED_VALUE"""),"不要")</f>
        <v>不要</v>
      </c>
      <c r="I183" s="6" t="str">
        <f aca="false">IFERROR(__xludf.dummyfunction("""COMPUTED_VALUE"""),"男性")</f>
        <v>男性</v>
      </c>
      <c r="J183" s="6" t="str">
        <f aca="false">IFERROR(__xludf.dummyfunction("""COMPUTED_VALUE"""),"日本")</f>
        <v>日本</v>
      </c>
      <c r="K183" s="6"/>
      <c r="L183" s="6"/>
      <c r="M183" s="6"/>
      <c r="N183" s="6"/>
      <c r="O183" s="6" t="str">
        <f aca="false">IFERROR(__xludf.dummyfunction("""COMPUTED_VALUE"""),"不要")</f>
        <v>不要</v>
      </c>
      <c r="P183" s="6"/>
      <c r="Q183" s="6"/>
      <c r="R183" s="6"/>
      <c r="S183" s="6" t="str">
        <f aca="false">IFERROR(__xludf.dummyfunction("""COMPUTED_VALUE"""),"家具家電付き社宅")</f>
        <v>家具家電付き社宅</v>
      </c>
      <c r="T183" s="6" t="str">
        <f aca="false">IFERROR(__xludf.dummyfunction("""COMPUTED_VALUE"""),"利用しない")</f>
        <v>利用しない</v>
      </c>
      <c r="U183" s="6"/>
      <c r="V183" s="6" t="str">
        <f aca="false">IFERROR(__xludf.dummyfunction("""COMPUTED_VALUE"""),"自転車")</f>
        <v>自転車</v>
      </c>
      <c r="W183" s="6"/>
      <c r="X183" s="6" t="str">
        <f aca="false">IFERROR(__xludf.dummyfunction("""COMPUTED_VALUE"""),"実家")</f>
        <v>実家</v>
      </c>
      <c r="Y183" s="6"/>
      <c r="Z183" s="6" t="str">
        <f aca="false">IFERROR(__xludf.dummyfunction("""COMPUTED_VALUE"""),"希望する")</f>
        <v>希望する</v>
      </c>
      <c r="AA183" s="6" t="str">
        <f aca="false">IFERROR(__xludf.dummyfunction("""COMPUTED_VALUE"""),"単身")</f>
        <v>単身</v>
      </c>
      <c r="AB183" s="6"/>
      <c r="AC183" s="6"/>
      <c r="AD183" s="6"/>
      <c r="AE183" s="6" t="str">
        <f aca="false">IFERROR(__xludf.dummyfunction("""COMPUTED_VALUE"""),"確認しました。")</f>
        <v>確認しました。</v>
      </c>
      <c r="AF183" s="6" t="str">
        <f aca="false">IFERROR(__xludf.dummyfunction("""COMPUTED_VALUE"""),"社宅基準の内容について確認しました")</f>
        <v>社宅基準の内容について確認しました</v>
      </c>
      <c r="AG183" s="6" t="str">
        <f aca="false">IFERROR(__xludf.dummyfunction("""COMPUTED_VALUE"""),"入居のしおりの内容についてご確認しました")</f>
        <v>入居のしおりの内容についてご確認しました</v>
      </c>
      <c r="AH183" s="6" t="str">
        <f aca="false">IFERROR(__xludf.dummyfunction("""COMPUTED_VALUE"""),"確認しました")</f>
        <v>確認しました</v>
      </c>
      <c r="AI183" s="6"/>
      <c r="AJ183" s="6" t="str">
        <v/>
      </c>
      <c r="AK183" s="6" t="str">
        <v/>
      </c>
      <c r="AL183" s="6" t="str">
        <v/>
      </c>
      <c r="AM183" s="6" t="str">
        <v/>
      </c>
      <c r="AN183" s="6" t="n">
        <f aca="false">FALSE()</f>
        <v>0</v>
      </c>
    </row>
    <row r="184" customFormat="false" ht="52.5" hidden="false" customHeight="true" outlineLevel="0" collapsed="false">
      <c r="A184" s="6" t="str">
        <f aca="false">IFERROR(__xludf.dummyfunction("""COMPUTED_VALUE"""),"2026/02/22 16:05:22")</f>
        <v>2026/02/22 16:05:22</v>
      </c>
      <c r="B184" s="6"/>
      <c r="C184" s="6" t="str">
        <f aca="false">IFERROR(__xludf.dummyfunction("""COMPUTED_VALUE"""),"70198")</f>
        <v>70198</v>
      </c>
      <c r="D184" s="6"/>
      <c r="E184" s="6"/>
      <c r="F184" s="6"/>
      <c r="G184" s="6" t="str">
        <f aca="false">IFERROR(__xludf.dummyfunction("""COMPUTED_VALUE"""),"2026/03/28")</f>
        <v>2026/03/28</v>
      </c>
      <c r="H184" s="6" t="str">
        <f aca="false">IFERROR(__xludf.dummyfunction("""COMPUTED_VALUE"""),"不要")</f>
        <v>不要</v>
      </c>
      <c r="I184" s="6" t="str">
        <f aca="false">IFERROR(__xludf.dummyfunction("""COMPUTED_VALUE"""),"男性")</f>
        <v>男性</v>
      </c>
      <c r="J184" s="6" t="str">
        <f aca="false">IFERROR(__xludf.dummyfunction("""COMPUTED_VALUE"""),"日本")</f>
        <v>日本</v>
      </c>
      <c r="K184" s="6"/>
      <c r="L184" s="6"/>
      <c r="M184" s="6"/>
      <c r="N184" s="6"/>
      <c r="O184" s="6" t="str">
        <f aca="false">IFERROR(__xludf.dummyfunction("""COMPUTED_VALUE"""),"不要")</f>
        <v>不要</v>
      </c>
      <c r="P184" s="6"/>
      <c r="Q184" s="6"/>
      <c r="R184" s="6"/>
      <c r="S184" s="6" t="str">
        <f aca="false">IFERROR(__xludf.dummyfunction("""COMPUTED_VALUE"""),"家具家電付き社宅")</f>
        <v>家具家電付き社宅</v>
      </c>
      <c r="T184" s="6" t="str">
        <f aca="false">IFERROR(__xludf.dummyfunction("""COMPUTED_VALUE"""),"利用しない")</f>
        <v>利用しない</v>
      </c>
      <c r="U184" s="6"/>
      <c r="V184" s="6" t="str">
        <f aca="false">IFERROR(__xludf.dummyfunction("""COMPUTED_VALUE"""),"自転車")</f>
        <v>自転車</v>
      </c>
      <c r="W184" s="6"/>
      <c r="X184" s="6" t="str">
        <f aca="false">IFERROR(__xludf.dummyfunction("""COMPUTED_VALUE"""),"実家")</f>
        <v>実家</v>
      </c>
      <c r="Y184" s="6"/>
      <c r="Z184" s="6" t="str">
        <f aca="false">IFERROR(__xludf.dummyfunction("""COMPUTED_VALUE"""),"希望する")</f>
        <v>希望する</v>
      </c>
      <c r="AA184" s="6" t="str">
        <f aca="false">IFERROR(__xludf.dummyfunction("""COMPUTED_VALUE"""),"単身")</f>
        <v>単身</v>
      </c>
      <c r="AB184" s="6"/>
      <c r="AC184" s="6"/>
      <c r="AD184" s="6"/>
      <c r="AE184" s="6" t="str">
        <f aca="false">IFERROR(__xludf.dummyfunction("""COMPUTED_VALUE"""),"確認しました。")</f>
        <v>確認しました。</v>
      </c>
      <c r="AF184" s="6" t="str">
        <f aca="false">IFERROR(__xludf.dummyfunction("""COMPUTED_VALUE"""),"社宅基準の内容について確認しました")</f>
        <v>社宅基準の内容について確認しました</v>
      </c>
      <c r="AG184" s="6" t="str">
        <f aca="false">IFERROR(__xludf.dummyfunction("""COMPUTED_VALUE"""),"入居のしおりの内容についてご確認しました")</f>
        <v>入居のしおりの内容についてご確認しました</v>
      </c>
      <c r="AH184" s="6" t="str">
        <f aca="false">IFERROR(__xludf.dummyfunction("""COMPUTED_VALUE"""),"確認しました")</f>
        <v>確認しました</v>
      </c>
      <c r="AI184" s="6"/>
      <c r="AJ184" s="6" t="str">
        <v/>
      </c>
      <c r="AK184" s="6" t="str">
        <v/>
      </c>
      <c r="AL184" s="6" t="str">
        <v/>
      </c>
      <c r="AM184" s="6" t="str">
        <v/>
      </c>
      <c r="AN184" s="6" t="n">
        <f aca="false">FALSE()</f>
        <v>0</v>
      </c>
    </row>
    <row r="185" customFormat="false" ht="52.5" hidden="false" customHeight="true" outlineLevel="0" collapsed="false">
      <c r="A185" s="6" t="str">
        <f aca="false">IFERROR(__xludf.dummyfunction("""COMPUTED_VALUE"""),"2026/02/22 16:08:20")</f>
        <v>2026/02/22 16:08:20</v>
      </c>
      <c r="B185" s="6"/>
      <c r="C185" s="6" t="str">
        <f aca="false">IFERROR(__xludf.dummyfunction("""COMPUTED_VALUE"""),"70198")</f>
        <v>70198</v>
      </c>
      <c r="D185" s="6"/>
      <c r="E185" s="6"/>
      <c r="F185" s="6"/>
      <c r="G185" s="6" t="str">
        <f aca="false">IFERROR(__xludf.dummyfunction("""COMPUTED_VALUE"""),"2026/03/28")</f>
        <v>2026/03/28</v>
      </c>
      <c r="H185" s="6" t="str">
        <f aca="false">IFERROR(__xludf.dummyfunction("""COMPUTED_VALUE"""),"不要")</f>
        <v>不要</v>
      </c>
      <c r="I185" s="6" t="str">
        <f aca="false">IFERROR(__xludf.dummyfunction("""COMPUTED_VALUE"""),"男性")</f>
        <v>男性</v>
      </c>
      <c r="J185" s="6" t="str">
        <f aca="false">IFERROR(__xludf.dummyfunction("""COMPUTED_VALUE"""),"日本")</f>
        <v>日本</v>
      </c>
      <c r="K185" s="6"/>
      <c r="L185" s="6"/>
      <c r="M185" s="6"/>
      <c r="N185" s="6"/>
      <c r="O185" s="6" t="str">
        <f aca="false">IFERROR(__xludf.dummyfunction("""COMPUTED_VALUE"""),"不要")</f>
        <v>不要</v>
      </c>
      <c r="P185" s="6"/>
      <c r="Q185" s="6"/>
      <c r="R185" s="6"/>
      <c r="S185" s="6" t="str">
        <f aca="false">IFERROR(__xludf.dummyfunction("""COMPUTED_VALUE"""),"家具家電付き社宅")</f>
        <v>家具家電付き社宅</v>
      </c>
      <c r="T185" s="6" t="str">
        <f aca="false">IFERROR(__xludf.dummyfunction("""COMPUTED_VALUE"""),"利用しない")</f>
        <v>利用しない</v>
      </c>
      <c r="U185" s="6"/>
      <c r="V185" s="6" t="str">
        <f aca="false">IFERROR(__xludf.dummyfunction("""COMPUTED_VALUE"""),"自転車")</f>
        <v>自転車</v>
      </c>
      <c r="W185" s="6"/>
      <c r="X185" s="6" t="str">
        <f aca="false">IFERROR(__xludf.dummyfunction("""COMPUTED_VALUE"""),"実家")</f>
        <v>実家</v>
      </c>
      <c r="Y185" s="6"/>
      <c r="Z185" s="6" t="str">
        <f aca="false">IFERROR(__xludf.dummyfunction("""COMPUTED_VALUE"""),"希望する")</f>
        <v>希望する</v>
      </c>
      <c r="AA185" s="6" t="str">
        <f aca="false">IFERROR(__xludf.dummyfunction("""COMPUTED_VALUE"""),"単身")</f>
        <v>単身</v>
      </c>
      <c r="AB185" s="6"/>
      <c r="AC185" s="6"/>
      <c r="AD185" s="6"/>
      <c r="AE185" s="6" t="str">
        <f aca="false">IFERROR(__xludf.dummyfunction("""COMPUTED_VALUE"""),"確認しました。")</f>
        <v>確認しました。</v>
      </c>
      <c r="AF185" s="6" t="str">
        <f aca="false">IFERROR(__xludf.dummyfunction("""COMPUTED_VALUE"""),"社宅基準の内容について確認しました")</f>
        <v>社宅基準の内容について確認しました</v>
      </c>
      <c r="AG185" s="6" t="str">
        <f aca="false">IFERROR(__xludf.dummyfunction("""COMPUTED_VALUE"""),"入居のしおりの内容についてご確認しました")</f>
        <v>入居のしおりの内容についてご確認しました</v>
      </c>
      <c r="AH185" s="6" t="str">
        <f aca="false">IFERROR(__xludf.dummyfunction("""COMPUTED_VALUE"""),"確認しました")</f>
        <v>確認しました</v>
      </c>
      <c r="AI185" s="6"/>
      <c r="AJ185" s="6" t="str">
        <v/>
      </c>
      <c r="AK185" s="6" t="str">
        <v/>
      </c>
      <c r="AL185" s="6" t="str">
        <v/>
      </c>
      <c r="AM185" s="6" t="str">
        <v/>
      </c>
      <c r="AN185" s="6" t="n">
        <f aca="false">FALSE()</f>
        <v>0</v>
      </c>
    </row>
    <row r="186" customFormat="false" ht="52.5" hidden="false" customHeight="true" outlineLevel="0" collapsed="false">
      <c r="A186" s="6" t="str">
        <f aca="false">IFERROR(__xludf.dummyfunction("""COMPUTED_VALUE"""),"2026/02/22 17:07:53")</f>
        <v>2026/02/22 17:07:53</v>
      </c>
      <c r="B186" s="6"/>
      <c r="C186" s="6" t="str">
        <f aca="false">IFERROR(__xludf.dummyfunction("""COMPUTED_VALUE"""),"70258")</f>
        <v>70258</v>
      </c>
      <c r="D186" s="6"/>
      <c r="E186" s="6"/>
      <c r="F186" s="6"/>
      <c r="G186" s="6" t="str">
        <f aca="false">IFERROR(__xludf.dummyfunction("""COMPUTED_VALUE"""),"2026/03/28")</f>
        <v>2026/03/28</v>
      </c>
      <c r="H186" s="6" t="str">
        <f aca="false">IFERROR(__xludf.dummyfunction("""COMPUTED_VALUE"""),"必要")</f>
        <v>必要</v>
      </c>
      <c r="I186" s="6" t="str">
        <f aca="false">IFERROR(__xludf.dummyfunction("""COMPUTED_VALUE"""),"男性")</f>
        <v>男性</v>
      </c>
      <c r="J186" s="6" t="str">
        <f aca="false">IFERROR(__xludf.dummyfunction("""COMPUTED_VALUE"""),"日本")</f>
        <v>日本</v>
      </c>
      <c r="K186" s="6" t="str">
        <f aca="false">IFERROR(__xludf.dummyfunction("""COMPUTED_VALUE"""),"9")</f>
        <v>9</v>
      </c>
      <c r="L186" s="6" t="str">
        <f aca="false">IFERROR(__xludf.dummyfunction("""COMPUTED_VALUE"""),"冷蔵庫(単身用.2ドア)、洗濯機、テレビ、炊飯器、電子レンジ、トースター、掃除機、ウォーターサーバー")</f>
        <v>冷蔵庫(単身用.2ドア)、洗濯機、テレビ、炊飯器、電子レンジ、トースター、掃除機、ウォーターサーバー</v>
      </c>
      <c r="M186" s="6" t="str">
        <f aca="false">IFERROR(__xludf.dummyfunction("""COMPUTED_VALUE"""),"ベッド(シングル)、ミニテーブル、テレビ台、リビングチェスト4段(縦83.5、横54、奥行40)、リビングチェスト3段(縦60、横48、奥行40)、机(縦100、横80奥行、50)、シングル椅子×2")</f>
        <v>ベッド(シングル)、ミニテーブル、テレビ台、リビングチェスト4段(縦83.5、横54、奥行40)、リビングチェスト3段(縦60、横48、奥行40)、机(縦100、横80奥行、50)、シングル椅子×2</v>
      </c>
      <c r="N186" s="6" t="str">
        <f aca="false">IFERROR(__xludf.dummyfunction("""COMPUTED_VALUE"""),"自転車")</f>
        <v>自転車</v>
      </c>
      <c r="O186" s="6" t="str">
        <f aca="false">IFERROR(__xludf.dummyfunction("""COMPUTED_VALUE"""),"必要")</f>
        <v>必要</v>
      </c>
      <c r="P186" s="6" t="str">
        <f aca="false">IFERROR(__xludf.dummyfunction("""COMPUTED_VALUE"""),"NBOX")</f>
        <v>NBOX</v>
      </c>
      <c r="Q186" s="6" t="str">
        <f aca="false">IFERROR(__xludf.dummyfunction("""COMPUTED_VALUE"""),"よ14-54")</f>
        <v>よ14-54</v>
      </c>
      <c r="R186" s="6" t="str">
        <f aca="false">IFERROR(__xludf.dummyfunction("""COMPUTED_VALUE"""),"白")</f>
        <v>白</v>
      </c>
      <c r="S186" s="6" t="str">
        <f aca="false">IFERROR(__xludf.dummyfunction("""COMPUTED_VALUE"""),"家具家電なし社宅")</f>
        <v>家具家電なし社宅</v>
      </c>
      <c r="T186" s="6" t="str">
        <f aca="false">IFERROR(__xludf.dummyfunction("""COMPUTED_VALUE"""),"利用しない")</f>
        <v>利用しない</v>
      </c>
      <c r="U186" s="6"/>
      <c r="V186" s="6" t="str">
        <f aca="false">IFERROR(__xludf.dummyfunction("""COMPUTED_VALUE"""),"徒歩, 自動車, 自転車")</f>
        <v>徒歩, 自動車, 自転車</v>
      </c>
      <c r="W186" s="6"/>
      <c r="X186" s="6" t="str">
        <f aca="false">IFERROR(__xludf.dummyfunction("""COMPUTED_VALUE"""),"ご自身で契約中の物件")</f>
        <v>ご自身で契約中の物件</v>
      </c>
      <c r="Y186" s="6"/>
      <c r="Z186" s="6" t="str">
        <f aca="false">IFERROR(__xludf.dummyfunction("""COMPUTED_VALUE"""),"希望する")</f>
        <v>希望する</v>
      </c>
      <c r="AA186" s="6" t="str">
        <f aca="false">IFERROR(__xludf.dummyfunction("""COMPUTED_VALUE"""),"単身")</f>
        <v>単身</v>
      </c>
      <c r="AB186" s="6"/>
      <c r="AC186" s="6"/>
      <c r="AD186" s="6"/>
      <c r="AE186" s="6" t="str">
        <f aca="false">IFERROR(__xludf.dummyfunction("""COMPUTED_VALUE"""),"確認しました。")</f>
        <v>確認しました。</v>
      </c>
      <c r="AF186" s="6" t="str">
        <f aca="false">IFERROR(__xludf.dummyfunction("""COMPUTED_VALUE"""),"社宅基準の内容について確認しました")</f>
        <v>社宅基準の内容について確認しました</v>
      </c>
      <c r="AG186" s="6" t="str">
        <f aca="false">IFERROR(__xludf.dummyfunction("""COMPUTED_VALUE"""),"入居のしおりの内容についてご確認しました")</f>
        <v>入居のしおりの内容についてご確認しました</v>
      </c>
      <c r="AH186" s="6" t="str">
        <f aca="false">IFERROR(__xludf.dummyfunction("""COMPUTED_VALUE"""),"確認しました")</f>
        <v>確認しました</v>
      </c>
      <c r="AI186" s="6"/>
      <c r="AJ186" s="6" t="str">
        <v/>
      </c>
      <c r="AK186" s="6" t="str">
        <v/>
      </c>
      <c r="AL186" s="6" t="str">
        <v/>
      </c>
      <c r="AM186" s="6" t="str">
        <v/>
      </c>
      <c r="AN186" s="6" t="n">
        <f aca="false">FALSE()</f>
        <v>0</v>
      </c>
    </row>
    <row r="187" customFormat="false" ht="52.5" hidden="false" customHeight="true" outlineLevel="0" collapsed="false">
      <c r="A187" s="6" t="str">
        <f aca="false">IFERROR(__xludf.dummyfunction("""COMPUTED_VALUE"""),"2026/02/22 19:00:33")</f>
        <v>2026/02/22 19:00:33</v>
      </c>
      <c r="B187" s="6"/>
      <c r="C187" s="6" t="str">
        <f aca="false">IFERROR(__xludf.dummyfunction("""COMPUTED_VALUE"""),"70108")</f>
        <v>70108</v>
      </c>
      <c r="D187" s="6"/>
      <c r="E187" s="6"/>
      <c r="F187" s="6"/>
      <c r="G187" s="6" t="str">
        <f aca="false">IFERROR(__xludf.dummyfunction("""COMPUTED_VALUE"""),"2026/03/28")</f>
        <v>2026/03/28</v>
      </c>
      <c r="H187" s="6" t="str">
        <f aca="false">IFERROR(__xludf.dummyfunction("""COMPUTED_VALUE"""),"必要")</f>
        <v>必要</v>
      </c>
      <c r="I187" s="6" t="str">
        <f aca="false">IFERROR(__xludf.dummyfunction("""COMPUTED_VALUE"""),"男性")</f>
        <v>男性</v>
      </c>
      <c r="J187" s="6" t="str">
        <f aca="false">IFERROR(__xludf.dummyfunction("""COMPUTED_VALUE"""),"日本")</f>
        <v>日本</v>
      </c>
      <c r="K187" s="6" t="str">
        <f aca="false">IFERROR(__xludf.dummyfunction("""COMPUTED_VALUE"""),"10")</f>
        <v>10</v>
      </c>
      <c r="L187" s="6" t="str">
        <f aca="false">IFERROR(__xludf.dummyfunction("""COMPUTED_VALUE"""),"パソコン")</f>
        <v>パソコン</v>
      </c>
      <c r="M187" s="6" t="str">
        <f aca="false">IFERROR(__xludf.dummyfunction("""COMPUTED_VALUE"""),"机（180×60)、机（140×60）、キャビネット１つ、ベッド（シングル）")</f>
        <v>机（180×60)、机（140×60）、キャビネット１つ、ベッド（シングル）</v>
      </c>
      <c r="N187" s="6"/>
      <c r="O187" s="6" t="str">
        <f aca="false">IFERROR(__xludf.dummyfunction("""COMPUTED_VALUE"""),"必要")</f>
        <v>必要</v>
      </c>
      <c r="P187" s="6" t="str">
        <f aca="false">IFERROR(__xludf.dummyfunction("""COMPUTED_VALUE"""),"マークX")</f>
        <v>マークX</v>
      </c>
      <c r="Q187" s="6" t="str">
        <f aca="false">IFERROR(__xludf.dummyfunction("""COMPUTED_VALUE"""),"〇-1527(納車待ちのためわかりません）")</f>
        <v>〇-1527(納車待ちのためわかりません）</v>
      </c>
      <c r="R187" s="6" t="str">
        <f aca="false">IFERROR(__xludf.dummyfunction("""COMPUTED_VALUE"""),"白")</f>
        <v>白</v>
      </c>
      <c r="S187" s="6" t="str">
        <f aca="false">IFERROR(__xludf.dummyfunction("""COMPUTED_VALUE"""),"家具家電なし社宅")</f>
        <v>家具家電なし社宅</v>
      </c>
      <c r="T187" s="6" t="str">
        <f aca="false">IFERROR(__xludf.dummyfunction("""COMPUTED_VALUE"""),"利用しない")</f>
        <v>利用しない</v>
      </c>
      <c r="U187" s="6"/>
      <c r="V187" s="6" t="str">
        <f aca="false">IFERROR(__xludf.dummyfunction("""COMPUTED_VALUE"""),"自動車")</f>
        <v>自動車</v>
      </c>
      <c r="W187" s="6"/>
      <c r="X187" s="6" t="str">
        <f aca="false">IFERROR(__xludf.dummyfunction("""COMPUTED_VALUE"""),"実家")</f>
        <v>実家</v>
      </c>
      <c r="Y187" s="6"/>
      <c r="Z187" s="6" t="str">
        <f aca="false">IFERROR(__xludf.dummyfunction("""COMPUTED_VALUE"""),"希望する")</f>
        <v>希望する</v>
      </c>
      <c r="AA187" s="6" t="str">
        <f aca="false">IFERROR(__xludf.dummyfunction("""COMPUTED_VALUE"""),"単身")</f>
        <v>単身</v>
      </c>
      <c r="AB187" s="6"/>
      <c r="AC187" s="6"/>
      <c r="AD187" s="6"/>
      <c r="AE187" s="6" t="str">
        <f aca="false">IFERROR(__xludf.dummyfunction("""COMPUTED_VALUE"""),"確認しました。")</f>
        <v>確認しました。</v>
      </c>
      <c r="AF187" s="6" t="str">
        <f aca="false">IFERROR(__xludf.dummyfunction("""COMPUTED_VALUE"""),"社宅基準の内容について確認しました")</f>
        <v>社宅基準の内容について確認しました</v>
      </c>
      <c r="AG187" s="6" t="str">
        <f aca="false">IFERROR(__xludf.dummyfunction("""COMPUTED_VALUE"""),"入居のしおりの内容についてご確認しました")</f>
        <v>入居のしおりの内容についてご確認しました</v>
      </c>
      <c r="AH187" s="6" t="str">
        <f aca="false">IFERROR(__xludf.dummyfunction("""COMPUTED_VALUE"""),"確認しました")</f>
        <v>確認しました</v>
      </c>
      <c r="AI187" s="6"/>
      <c r="AJ187" s="6" t="str">
        <v/>
      </c>
      <c r="AK187" s="6" t="str">
        <v/>
      </c>
      <c r="AL187" s="6" t="str">
        <v/>
      </c>
      <c r="AM187" s="6" t="str">
        <v/>
      </c>
      <c r="AN187" s="6" t="n">
        <f aca="false">FALSE()</f>
        <v>0</v>
      </c>
    </row>
    <row r="188" customFormat="false" ht="52.5" hidden="false" customHeight="true" outlineLevel="0" collapsed="false">
      <c r="A188" s="6" t="str">
        <f aca="false">IFERROR(__xludf.dummyfunction("""COMPUTED_VALUE"""),"2026/02/22 21:31:15")</f>
        <v>2026/02/22 21:31:15</v>
      </c>
      <c r="B188" s="6"/>
      <c r="C188" s="6" t="str">
        <f aca="false">IFERROR(__xludf.dummyfunction("""COMPUTED_VALUE"""),"70276")</f>
        <v>70276</v>
      </c>
      <c r="D188" s="6"/>
      <c r="E188" s="6"/>
      <c r="F188" s="6"/>
      <c r="G188" s="6" t="str">
        <f aca="false">IFERROR(__xludf.dummyfunction("""COMPUTED_VALUE"""),"2026/03/22")</f>
        <v>2026/03/22</v>
      </c>
      <c r="H188" s="6" t="str">
        <f aca="false">IFERROR(__xludf.dummyfunction("""COMPUTED_VALUE"""),"必要")</f>
        <v>必要</v>
      </c>
      <c r="I188" s="6" t="str">
        <f aca="false">IFERROR(__xludf.dummyfunction("""COMPUTED_VALUE"""),"女性")</f>
        <v>女性</v>
      </c>
      <c r="J188" s="6" t="str">
        <f aca="false">IFERROR(__xludf.dummyfunction("""COMPUTED_VALUE"""),"日本")</f>
        <v>日本</v>
      </c>
      <c r="K188" s="6" t="str">
        <f aca="false">IFERROR(__xludf.dummyfunction("""COMPUTED_VALUE"""),"5")</f>
        <v>5</v>
      </c>
      <c r="L188" s="6" t="str">
        <f aca="false">IFERROR(__xludf.dummyfunction("""COMPUTED_VALUE"""),"なし")</f>
        <v>なし</v>
      </c>
      <c r="M188" s="6" t="str">
        <f aca="false">IFERROR(__xludf.dummyfunction("""COMPUTED_VALUE"""),"クッションソファ1人掛け")</f>
        <v>クッションソファ1人掛け</v>
      </c>
      <c r="N188" s="6" t="str">
        <f aca="false">IFERROR(__xludf.dummyfunction("""COMPUTED_VALUE"""),"服、スーツケース、靴、生活用品、クッション、布団")</f>
        <v>服、スーツケース、靴、生活用品、クッション、布団</v>
      </c>
      <c r="O188" s="6" t="str">
        <f aca="false">IFERROR(__xludf.dummyfunction("""COMPUTED_VALUE"""),"不要")</f>
        <v>不要</v>
      </c>
      <c r="P188" s="6"/>
      <c r="Q188" s="6"/>
      <c r="R188" s="6"/>
      <c r="S188" s="6" t="str">
        <f aca="false">IFERROR(__xludf.dummyfunction("""COMPUTED_VALUE"""),"家具家電なし社宅")</f>
        <v>家具家電なし社宅</v>
      </c>
      <c r="T188" s="6" t="str">
        <f aca="false">IFERROR(__xludf.dummyfunction("""COMPUTED_VALUE"""),"利用する")</f>
        <v>利用する</v>
      </c>
      <c r="U188" s="6" t="str">
        <f aca="false">IFERROR(__xludf.dummyfunction("""COMPUTED_VALUE"""),"ガスコンロ2口、エアコン")</f>
        <v>ガスコンロ2口、エアコン</v>
      </c>
      <c r="V188" s="6" t="str">
        <f aca="false">IFERROR(__xludf.dummyfunction("""COMPUTED_VALUE"""),"電車")</f>
        <v>電車</v>
      </c>
      <c r="W188" s="6"/>
      <c r="X188" s="6" t="str">
        <f aca="false">IFERROR(__xludf.dummyfunction("""COMPUTED_VALUE"""),"実家")</f>
        <v>実家</v>
      </c>
      <c r="Y188" s="6"/>
      <c r="Z188" s="6" t="str">
        <f aca="false">IFERROR(__xludf.dummyfunction("""COMPUTED_VALUE"""),"希望する")</f>
        <v>希望する</v>
      </c>
      <c r="AA188" s="6" t="str">
        <f aca="false">IFERROR(__xludf.dummyfunction("""COMPUTED_VALUE"""),"単身")</f>
        <v>単身</v>
      </c>
      <c r="AB188" s="6"/>
      <c r="AC188" s="6"/>
      <c r="AD188" s="6" t="str">
        <f aca="false">IFERROR(__xludf.dummyfunction("""COMPUTED_VALUE"""),"2階以上、バス・トイレ別、室内洗濯機、ロフトなし")</f>
        <v>2階以上、バス・トイレ別、室内洗濯機、ロフトなし</v>
      </c>
      <c r="AE188" s="6" t="str">
        <f aca="false">IFERROR(__xludf.dummyfunction("""COMPUTED_VALUE"""),"確認しました。")</f>
        <v>確認しました。</v>
      </c>
      <c r="AF188" s="6" t="str">
        <f aca="false">IFERROR(__xludf.dummyfunction("""COMPUTED_VALUE"""),"社宅基準の内容について確認しました")</f>
        <v>社宅基準の内容について確認しました</v>
      </c>
      <c r="AG188" s="6" t="str">
        <f aca="false">IFERROR(__xludf.dummyfunction("""COMPUTED_VALUE"""),"入居のしおりの内容についてご確認しました")</f>
        <v>入居のしおりの内容についてご確認しました</v>
      </c>
      <c r="AH188" s="6" t="str">
        <f aca="false">IFERROR(__xludf.dummyfunction("""COMPUTED_VALUE"""),"確認しました")</f>
        <v>確認しました</v>
      </c>
      <c r="AI188" s="6"/>
      <c r="AJ188" s="6" t="str">
        <v/>
      </c>
      <c r="AK188" s="6" t="str">
        <v/>
      </c>
      <c r="AL188" s="6" t="str">
        <v/>
      </c>
      <c r="AM188" s="6" t="str">
        <v/>
      </c>
      <c r="AN188" s="6" t="n">
        <f aca="false">TRUE()</f>
        <v>1</v>
      </c>
    </row>
    <row r="189" customFormat="false" ht="52.5" hidden="false" customHeight="true" outlineLevel="0" collapsed="false">
      <c r="A189" s="6" t="str">
        <f aca="false">IFERROR(__xludf.dummyfunction("""COMPUTED_VALUE"""),"2026/02/23 10:31:52")</f>
        <v>2026/02/23 10:31:52</v>
      </c>
      <c r="B189" s="6"/>
      <c r="C189" s="6" t="str">
        <f aca="false">IFERROR(__xludf.dummyfunction("""COMPUTED_VALUE"""),"69802")</f>
        <v>69802</v>
      </c>
      <c r="D189" s="6"/>
      <c r="E189" s="6"/>
      <c r="F189" s="6"/>
      <c r="G189" s="6" t="str">
        <f aca="false">IFERROR(__xludf.dummyfunction("""COMPUTED_VALUE"""),"2026/03/25")</f>
        <v>2026/03/25</v>
      </c>
      <c r="H189" s="6" t="str">
        <f aca="false">IFERROR(__xludf.dummyfunction("""COMPUTED_VALUE"""),"不要")</f>
        <v>不要</v>
      </c>
      <c r="I189" s="6" t="str">
        <f aca="false">IFERROR(__xludf.dummyfunction("""COMPUTED_VALUE"""),"女性")</f>
        <v>女性</v>
      </c>
      <c r="J189" s="6" t="str">
        <f aca="false">IFERROR(__xludf.dummyfunction("""COMPUTED_VALUE"""),"日本")</f>
        <v>日本</v>
      </c>
      <c r="K189" s="6"/>
      <c r="L189" s="6"/>
      <c r="M189" s="6"/>
      <c r="N189" s="6"/>
      <c r="O189" s="6" t="str">
        <f aca="false">IFERROR(__xludf.dummyfunction("""COMPUTED_VALUE"""),"不要")</f>
        <v>不要</v>
      </c>
      <c r="P189" s="6"/>
      <c r="Q189" s="6"/>
      <c r="R189" s="6"/>
      <c r="S189" s="6" t="str">
        <f aca="false">IFERROR(__xludf.dummyfunction("""COMPUTED_VALUE"""),"家具家電なし社宅")</f>
        <v>家具家電なし社宅</v>
      </c>
      <c r="T189" s="6" t="str">
        <f aca="false">IFERROR(__xludf.dummyfunction("""COMPUTED_VALUE"""),"利用しない")</f>
        <v>利用しない</v>
      </c>
      <c r="U189" s="6"/>
      <c r="V189" s="6" t="str">
        <f aca="false">IFERROR(__xludf.dummyfunction("""COMPUTED_VALUE"""),"徒歩, 電車, バス, 社用バス")</f>
        <v>徒歩, 電車, バス, 社用バス</v>
      </c>
      <c r="W189" s="6"/>
      <c r="X189" s="6" t="str">
        <f aca="false">IFERROR(__xludf.dummyfunction("""COMPUTED_VALUE"""),"ご自身で契約中の物件")</f>
        <v>ご自身で契約中の物件</v>
      </c>
      <c r="Y189" s="6"/>
      <c r="Z189" s="6" t="str">
        <f aca="false">IFERROR(__xludf.dummyfunction("""COMPUTED_VALUE"""),"希望する")</f>
        <v>希望する</v>
      </c>
      <c r="AA189" s="6" t="str">
        <f aca="false">IFERROR(__xludf.dummyfunction("""COMPUTED_VALUE"""),"単身")</f>
        <v>単身</v>
      </c>
      <c r="AB189" s="6"/>
      <c r="AC189" s="6"/>
      <c r="AD189" s="6"/>
      <c r="AE189" s="6" t="str">
        <f aca="false">IFERROR(__xludf.dummyfunction("""COMPUTED_VALUE"""),"確認しました。")</f>
        <v>確認しました。</v>
      </c>
      <c r="AF189" s="6" t="str">
        <f aca="false">IFERROR(__xludf.dummyfunction("""COMPUTED_VALUE"""),"社宅基準の内容について確認しました")</f>
        <v>社宅基準の内容について確認しました</v>
      </c>
      <c r="AG189" s="6" t="str">
        <f aca="false">IFERROR(__xludf.dummyfunction("""COMPUTED_VALUE"""),"入居のしおりの内容についてご確認しました")</f>
        <v>入居のしおりの内容についてご確認しました</v>
      </c>
      <c r="AH189" s="6" t="str">
        <f aca="false">IFERROR(__xludf.dummyfunction("""COMPUTED_VALUE"""),"確認しました")</f>
        <v>確認しました</v>
      </c>
      <c r="AI189" s="6"/>
      <c r="AJ189" s="6" t="str">
        <v/>
      </c>
      <c r="AK189" s="6" t="str">
        <v/>
      </c>
      <c r="AL189" s="6" t="str">
        <v/>
      </c>
      <c r="AM189" s="6" t="str">
        <v/>
      </c>
      <c r="AN189" s="6" t="n">
        <f aca="false">FALSE()</f>
        <v>0</v>
      </c>
    </row>
    <row r="190" customFormat="false" ht="52.5" hidden="false" customHeight="true" outlineLevel="0" collapsed="false">
      <c r="A190" s="6" t="str">
        <f aca="false">IFERROR(__xludf.dummyfunction("""COMPUTED_VALUE"""),"2026/02/23 17:02:22")</f>
        <v>2026/02/23 17:02:22</v>
      </c>
      <c r="B190" s="6"/>
      <c r="C190" s="6" t="str">
        <f aca="false">IFERROR(__xludf.dummyfunction("""COMPUTED_VALUE"""),"70725")</f>
        <v>70725</v>
      </c>
      <c r="D190" s="6"/>
      <c r="E190" s="6"/>
      <c r="F190" s="6"/>
      <c r="G190" s="6" t="str">
        <f aca="false">IFERROR(__xludf.dummyfunction("""COMPUTED_VALUE"""),"2026/03/20")</f>
        <v>2026/03/20</v>
      </c>
      <c r="H190" s="6" t="str">
        <f aca="false">IFERROR(__xludf.dummyfunction("""COMPUTED_VALUE"""),"必要")</f>
        <v>必要</v>
      </c>
      <c r="I190" s="6" t="str">
        <f aca="false">IFERROR(__xludf.dummyfunction("""COMPUTED_VALUE"""),"男性")</f>
        <v>男性</v>
      </c>
      <c r="J190" s="6" t="str">
        <f aca="false">IFERROR(__xludf.dummyfunction("""COMPUTED_VALUE"""),"韓国")</f>
        <v>韓国</v>
      </c>
      <c r="K190" s="6" t="str">
        <f aca="false">IFERROR(__xludf.dummyfunction("""COMPUTED_VALUE"""),"10")</f>
        <v>10</v>
      </c>
      <c r="L190" s="6" t="str">
        <f aca="false">IFERROR(__xludf.dummyfunction("""COMPUTED_VALUE"""),"単身用冷蔵庫")</f>
        <v>単身用冷蔵庫</v>
      </c>
      <c r="M190" s="6" t="str">
        <f aca="false">IFERROR(__xludf.dummyfunction("""COMPUTED_VALUE"""),"現時点ではなし")</f>
        <v>現時点ではなし</v>
      </c>
      <c r="N190" s="6" t="str">
        <f aca="false">IFERROR(__xludf.dummyfunction("""COMPUTED_VALUE"""),"現段階ではないが、不明点を確認後変更の可能性あり")</f>
        <v>現段階ではないが、不明点を確認後変更の可能性あり</v>
      </c>
      <c r="O190" s="6" t="str">
        <f aca="false">IFERROR(__xludf.dummyfunction("""COMPUTED_VALUE"""),"不要")</f>
        <v>不要</v>
      </c>
      <c r="P190" s="6"/>
      <c r="Q190" s="6"/>
      <c r="R190" s="6"/>
      <c r="S190" s="6" t="str">
        <f aca="false">IFERROR(__xludf.dummyfunction("""COMPUTED_VALUE"""),"家具家電付き社宅")</f>
        <v>家具家電付き社宅</v>
      </c>
      <c r="T190" s="6" t="str">
        <f aca="false">IFERROR(__xludf.dummyfunction("""COMPUTED_VALUE"""),"利用しない")</f>
        <v>利用しない</v>
      </c>
      <c r="U190" s="6"/>
      <c r="V190" s="6" t="str">
        <f aca="false">IFERROR(__xludf.dummyfunction("""COMPUTED_VALUE"""),"徒歩, バス")</f>
        <v>徒歩, バス</v>
      </c>
      <c r="W190" s="6"/>
      <c r="X190" s="6" t="str">
        <f aca="false">IFERROR(__xludf.dummyfunction("""COMPUTED_VALUE"""),"実家")</f>
        <v>実家</v>
      </c>
      <c r="Y190" s="6"/>
      <c r="Z190" s="6" t="str">
        <f aca="false">IFERROR(__xludf.dummyfunction("""COMPUTED_VALUE"""),"希望する")</f>
        <v>希望する</v>
      </c>
      <c r="AA190" s="6" t="str">
        <f aca="false">IFERROR(__xludf.dummyfunction("""COMPUTED_VALUE"""),"単身")</f>
        <v>単身</v>
      </c>
      <c r="AB190" s="6"/>
      <c r="AC190" s="6"/>
      <c r="AD190" s="6"/>
      <c r="AE190" s="6" t="str">
        <f aca="false">IFERROR(__xludf.dummyfunction("""COMPUTED_VALUE"""),"確認しました。")</f>
        <v>確認しました。</v>
      </c>
      <c r="AF190" s="6" t="str">
        <f aca="false">IFERROR(__xludf.dummyfunction("""COMPUTED_VALUE"""),"社宅基準の内容について確認しました")</f>
        <v>社宅基準の内容について確認しました</v>
      </c>
      <c r="AG190" s="6" t="str">
        <f aca="false">IFERROR(__xludf.dummyfunction("""COMPUTED_VALUE"""),"入居のしおりの内容についてご確認しました")</f>
        <v>入居のしおりの内容についてご確認しました</v>
      </c>
      <c r="AH190" s="6" t="str">
        <f aca="false">IFERROR(__xludf.dummyfunction("""COMPUTED_VALUE"""),"確認しました")</f>
        <v>確認しました</v>
      </c>
      <c r="AI190" s="6"/>
      <c r="AJ190" s="6" t="str">
        <v/>
      </c>
      <c r="AK190" s="6" t="str">
        <v/>
      </c>
      <c r="AL190" s="6" t="str">
        <v/>
      </c>
      <c r="AM190" s="6" t="str">
        <v/>
      </c>
      <c r="AN190" s="6" t="n">
        <f aca="false">TRUE()</f>
        <v>1</v>
      </c>
    </row>
    <row r="191" customFormat="false" ht="52.5" hidden="false" customHeight="true" outlineLevel="0" collapsed="false">
      <c r="A191" s="6" t="str">
        <f aca="false">IFERROR(__xludf.dummyfunction("""COMPUTED_VALUE"""),"2026/02/24 16:05:30")</f>
        <v>2026/02/24 16:05:30</v>
      </c>
      <c r="B191" s="6"/>
      <c r="C191" s="6" t="str">
        <f aca="false">IFERROR(__xludf.dummyfunction("""COMPUTED_VALUE"""),"70267")</f>
        <v>70267</v>
      </c>
      <c r="D191" s="6"/>
      <c r="E191" s="6"/>
      <c r="F191" s="6"/>
      <c r="G191" s="6" t="str">
        <f aca="false">IFERROR(__xludf.dummyfunction("""COMPUTED_VALUE"""),"2026/03/28")</f>
        <v>2026/03/28</v>
      </c>
      <c r="H191" s="6" t="str">
        <f aca="false">IFERROR(__xludf.dummyfunction("""COMPUTED_VALUE"""),"必要")</f>
        <v>必要</v>
      </c>
      <c r="I191" s="6" t="str">
        <f aca="false">IFERROR(__xludf.dummyfunction("""COMPUTED_VALUE"""),"男性")</f>
        <v>男性</v>
      </c>
      <c r="J191" s="6" t="str">
        <f aca="false">IFERROR(__xludf.dummyfunction("""COMPUTED_VALUE"""),"日本")</f>
        <v>日本</v>
      </c>
      <c r="K191" s="6" t="str">
        <f aca="false">IFERROR(__xludf.dummyfunction("""COMPUTED_VALUE"""),"3")</f>
        <v>3</v>
      </c>
      <c r="L191" s="6" t="str">
        <f aca="false">IFERROR(__xludf.dummyfunction("""COMPUTED_VALUE"""),"パソコン用のモニター、パソコン")</f>
        <v>パソコン用のモニター、パソコン</v>
      </c>
      <c r="M191" s="6" t="str">
        <f aca="false">IFERROR(__xludf.dummyfunction("""COMPUTED_VALUE"""),"ベッド(シングル)×1、ベッド(セミダブル)×2")</f>
        <v>ベッド(シングル)×1、ベッド(セミダブル)×2</v>
      </c>
      <c r="N191" s="6"/>
      <c r="O191" s="6" t="str">
        <f aca="false">IFERROR(__xludf.dummyfunction("""COMPUTED_VALUE"""),"不要")</f>
        <v>不要</v>
      </c>
      <c r="P191" s="6"/>
      <c r="Q191" s="6"/>
      <c r="R191" s="6"/>
      <c r="S191" s="6" t="str">
        <f aca="false">IFERROR(__xludf.dummyfunction("""COMPUTED_VALUE"""),"家具家電なし社宅")</f>
        <v>家具家電なし社宅</v>
      </c>
      <c r="T191" s="6" t="str">
        <f aca="false">IFERROR(__xludf.dummyfunction("""COMPUTED_VALUE"""),"利用する")</f>
        <v>利用する</v>
      </c>
      <c r="U191" s="6" t="str">
        <f aca="false">IFERROR(__xludf.dummyfunction("""COMPUTED_VALUE"""),"エアコン、冷凍冷蔵車(220リットル)、ガスコンロ(二口)、全自動洗濯機")</f>
        <v>エアコン、冷凍冷蔵車(220リットル)、ガスコンロ(二口)、全自動洗濯機</v>
      </c>
      <c r="V191" s="6" t="str">
        <f aca="false">IFERROR(__xludf.dummyfunction("""COMPUTED_VALUE"""),"電車, バス")</f>
        <v>電車, バス</v>
      </c>
      <c r="W191" s="6"/>
      <c r="X191" s="6" t="str">
        <f aca="false">IFERROR(__xludf.dummyfunction("""COMPUTED_VALUE"""),"株式会社ビーネックステクノロジーズの社宅")</f>
        <v>株式会社ビーネックステクノロジーズの社宅</v>
      </c>
      <c r="Y191" s="6" t="str">
        <f aca="false">IFERROR(__xludf.dummyfunction("""COMPUTED_VALUE"""),"利用なし")</f>
        <v>利用なし</v>
      </c>
      <c r="Z191" s="6" t="str">
        <f aca="false">IFERROR(__xludf.dummyfunction("""COMPUTED_VALUE"""),"希望する")</f>
        <v>希望する</v>
      </c>
      <c r="AA191" s="6" t="str">
        <f aca="false">IFERROR(__xludf.dummyfunction("""COMPUTED_VALUE"""),"単身")</f>
        <v>単身</v>
      </c>
      <c r="AB191" s="6"/>
      <c r="AC191" s="6"/>
      <c r="AD191" s="6" t="str">
        <f aca="false">IFERROR(__xludf.dummyfunction("""COMPUTED_VALUE"""),"住みたい場所としては京王線沿線、もしくは横浜線沿線の住居を強く希望します。")</f>
        <v>住みたい場所としては京王線沿線、もしくは横浜線沿線の住居を強く希望します。</v>
      </c>
      <c r="AE191" s="6" t="str">
        <f aca="false">IFERROR(__xludf.dummyfunction("""COMPUTED_VALUE"""),"確認しました。")</f>
        <v>確認しました。</v>
      </c>
      <c r="AF191" s="6" t="str">
        <f aca="false">IFERROR(__xludf.dummyfunction("""COMPUTED_VALUE"""),"社宅基準の内容について確認しました")</f>
        <v>社宅基準の内容について確認しました</v>
      </c>
      <c r="AG191" s="6" t="str">
        <f aca="false">IFERROR(__xludf.dummyfunction("""COMPUTED_VALUE"""),"入居のしおりの内容についてご確認しました")</f>
        <v>入居のしおりの内容についてご確認しました</v>
      </c>
      <c r="AH191" s="6" t="str">
        <f aca="false">IFERROR(__xludf.dummyfunction("""COMPUTED_VALUE"""),"確認しました")</f>
        <v>確認しました</v>
      </c>
      <c r="AI191" s="6"/>
      <c r="AJ191" s="6" t="str">
        <v/>
      </c>
      <c r="AK191" s="6" t="str">
        <v/>
      </c>
      <c r="AL191" s="6" t="str">
        <v/>
      </c>
      <c r="AM191" s="6" t="str">
        <v/>
      </c>
      <c r="AN191" s="6" t="n">
        <f aca="false">FALSE()</f>
        <v>0</v>
      </c>
    </row>
    <row r="192" customFormat="false" ht="52.5" hidden="false" customHeight="true" outlineLevel="0" collapsed="false">
      <c r="A192" s="6" t="str">
        <f aca="false">IFERROR(__xludf.dummyfunction("""COMPUTED_VALUE"""),"2026/02/24 22:44:03")</f>
        <v>2026/02/24 22:44:03</v>
      </c>
      <c r="B192" s="6"/>
      <c r="C192" s="6" t="str">
        <f aca="false">IFERROR(__xludf.dummyfunction("""COMPUTED_VALUE"""),"70213")</f>
        <v>70213</v>
      </c>
      <c r="D192" s="6"/>
      <c r="E192" s="6"/>
      <c r="F192" s="6"/>
      <c r="G192" s="6" t="str">
        <f aca="false">IFERROR(__xludf.dummyfunction("""COMPUTED_VALUE"""),"2026/03/09")</f>
        <v>2026/03/09</v>
      </c>
      <c r="H192" s="6" t="str">
        <f aca="false">IFERROR(__xludf.dummyfunction("""COMPUTED_VALUE"""),"必要")</f>
        <v>必要</v>
      </c>
      <c r="I192" s="6" t="str">
        <f aca="false">IFERROR(__xludf.dummyfunction("""COMPUTED_VALUE"""),"男性")</f>
        <v>男性</v>
      </c>
      <c r="J192" s="6" t="str">
        <f aca="false">IFERROR(__xludf.dummyfunction("""COMPUTED_VALUE"""),"日本")</f>
        <v>日本</v>
      </c>
      <c r="K192" s="6" t="str">
        <f aca="false">IFERROR(__xludf.dummyfunction("""COMPUTED_VALUE"""),"15")</f>
        <v>15</v>
      </c>
      <c r="L192" s="6" t="str">
        <f aca="false">IFERROR(__xludf.dummyfunction("""COMPUTED_VALUE"""),"電子レンジ、炊飯器")</f>
        <v>電子レンジ、炊飯器</v>
      </c>
      <c r="M192" s="6" t="str">
        <f aca="false">IFERROR(__xludf.dummyfunction("""COMPUTED_VALUE"""),"ベットシングル")</f>
        <v>ベットシングル</v>
      </c>
      <c r="N192" s="6" t="str">
        <f aca="false">IFERROR(__xludf.dummyfunction("""COMPUTED_VALUE"""),"自転車")</f>
        <v>自転車</v>
      </c>
      <c r="O192" s="6" t="str">
        <f aca="false">IFERROR(__xludf.dummyfunction("""COMPUTED_VALUE"""),"必要")</f>
        <v>必要</v>
      </c>
      <c r="P192" s="6" t="str">
        <f aca="false">IFERROR(__xludf.dummyfunction("""COMPUTED_VALUE"""),"未定")</f>
        <v>未定</v>
      </c>
      <c r="Q192" s="6" t="str">
        <f aca="false">IFERROR(__xludf.dummyfunction("""COMPUTED_VALUE"""),"未定")</f>
        <v>未定</v>
      </c>
      <c r="R192" s="6" t="str">
        <f aca="false">IFERROR(__xludf.dummyfunction("""COMPUTED_VALUE"""),"未定")</f>
        <v>未定</v>
      </c>
      <c r="S192" s="6" t="str">
        <f aca="false">IFERROR(__xludf.dummyfunction("""COMPUTED_VALUE"""),"家具家電なし社宅")</f>
        <v>家具家電なし社宅</v>
      </c>
      <c r="T192" s="6" t="str">
        <f aca="false">IFERROR(__xludf.dummyfunction("""COMPUTED_VALUE"""),"利用しない")</f>
        <v>利用しない</v>
      </c>
      <c r="U192" s="6"/>
      <c r="V192" s="6" t="str">
        <f aca="false">IFERROR(__xludf.dummyfunction("""COMPUTED_VALUE"""),"未定")</f>
        <v>未定</v>
      </c>
      <c r="W192" s="6"/>
      <c r="X192" s="6" t="str">
        <f aca="false">IFERROR(__xludf.dummyfunction("""COMPUTED_VALUE"""),"実家")</f>
        <v>実家</v>
      </c>
      <c r="Y192" s="6"/>
      <c r="Z192" s="6" t="str">
        <f aca="false">IFERROR(__xludf.dummyfunction("""COMPUTED_VALUE"""),"希望する")</f>
        <v>希望する</v>
      </c>
      <c r="AA192" s="6" t="str">
        <f aca="false">IFERROR(__xludf.dummyfunction("""COMPUTED_VALUE"""),"単身")</f>
        <v>単身</v>
      </c>
      <c r="AB192" s="6"/>
      <c r="AC192" s="6"/>
      <c r="AD192" s="6"/>
      <c r="AE192" s="6" t="str">
        <f aca="false">IFERROR(__xludf.dummyfunction("""COMPUTED_VALUE"""),"確認しました。")</f>
        <v>確認しました。</v>
      </c>
      <c r="AF192" s="6" t="str">
        <f aca="false">IFERROR(__xludf.dummyfunction("""COMPUTED_VALUE"""),"社宅基準の内容について確認しました")</f>
        <v>社宅基準の内容について確認しました</v>
      </c>
      <c r="AG192" s="6" t="str">
        <f aca="false">IFERROR(__xludf.dummyfunction("""COMPUTED_VALUE"""),"入居のしおりの内容についてご確認しました")</f>
        <v>入居のしおりの内容についてご確認しました</v>
      </c>
      <c r="AH192" s="6" t="str">
        <f aca="false">IFERROR(__xludf.dummyfunction("""COMPUTED_VALUE"""),"確認しました")</f>
        <v>確認しました</v>
      </c>
      <c r="AI192" s="6"/>
      <c r="AJ192" s="6" t="str">
        <v/>
      </c>
      <c r="AK192" s="6" t="str">
        <v/>
      </c>
      <c r="AL192" s="6" t="str">
        <v/>
      </c>
      <c r="AM192" s="6" t="str">
        <v/>
      </c>
      <c r="AN192" s="6" t="n">
        <f aca="false">TRUE()</f>
        <v>1</v>
      </c>
    </row>
    <row r="193" customFormat="false" ht="52.5" hidden="false" customHeight="true" outlineLevel="0" collapsed="false">
      <c r="A193" s="6" t="str">
        <f aca="false">IFERROR(__xludf.dummyfunction("""COMPUTED_VALUE"""),"2026/02/24 22:52:35")</f>
        <v>2026/02/24 22:52:35</v>
      </c>
      <c r="B193" s="6"/>
      <c r="C193" s="6" t="str">
        <f aca="false">IFERROR(__xludf.dummyfunction("""COMPUTED_VALUE"""),"70180")</f>
        <v>70180</v>
      </c>
      <c r="D193" s="6"/>
      <c r="E193" s="6"/>
      <c r="F193" s="6"/>
      <c r="G193" s="6" t="str">
        <f aca="false">IFERROR(__xludf.dummyfunction("""COMPUTED_VALUE"""),"2026/03/28")</f>
        <v>2026/03/28</v>
      </c>
      <c r="H193" s="6" t="str">
        <f aca="false">IFERROR(__xludf.dummyfunction("""COMPUTED_VALUE"""),"必要")</f>
        <v>必要</v>
      </c>
      <c r="I193" s="6" t="str">
        <f aca="false">IFERROR(__xludf.dummyfunction("""COMPUTED_VALUE"""),"男性")</f>
        <v>男性</v>
      </c>
      <c r="J193" s="6" t="str">
        <f aca="false">IFERROR(__xludf.dummyfunction("""COMPUTED_VALUE"""),"中国")</f>
        <v>中国</v>
      </c>
      <c r="K193" s="6" t="str">
        <f aca="false">IFERROR(__xludf.dummyfunction("""COMPUTED_VALUE"""),"20")</f>
        <v>20</v>
      </c>
      <c r="L193" s="6" t="str">
        <f aca="false">IFERROR(__xludf.dummyfunction("""COMPUTED_VALUE"""),"冷蔵庫2ドア（35x35x163）、洗濯機(50x50x80)、ウォーターサーバー（28X30X100）、空気清浄機（35x16x60）")</f>
        <v>冷蔵庫2ドア（35x35x163）、洗濯機(50x50x80)、ウォーターサーバー（28X30X100）、空気清浄機（35x16x60）</v>
      </c>
      <c r="M193" s="6" t="str">
        <f aca="false">IFERROR(__xludf.dummyfunction("""COMPUTED_VALUE"""),"ベッド（シングル）、収納ボックス（55x40x100）、机（100x60x75）、鏡(27x2x155)、物干し竿（89x10x155）")</f>
        <v>ベッド（シングル）、収納ボックス（55x40x100）、机（100x60x75）、鏡(27x2x155)、物干し竿（89x10x155）</v>
      </c>
      <c r="N193" s="6" t="str">
        <f aca="false">IFERROR(__xludf.dummyfunction("""COMPUTED_VALUE"""),"自転車1つ")</f>
        <v>自転車1つ</v>
      </c>
      <c r="O193" s="6" t="str">
        <f aca="false">IFERROR(__xludf.dummyfunction("""COMPUTED_VALUE"""),"不要")</f>
        <v>不要</v>
      </c>
      <c r="P193" s="6"/>
      <c r="Q193" s="6"/>
      <c r="R193" s="6"/>
      <c r="S193" s="6" t="str">
        <f aca="false">IFERROR(__xludf.dummyfunction("""COMPUTED_VALUE"""),"家具家電なし社宅")</f>
        <v>家具家電なし社宅</v>
      </c>
      <c r="T193" s="6" t="str">
        <f aca="false">IFERROR(__xludf.dummyfunction("""COMPUTED_VALUE"""),"利用する")</f>
        <v>利用する</v>
      </c>
      <c r="U193" s="6" t="str">
        <f aca="false">IFERROR(__xludf.dummyfunction("""COMPUTED_VALUE"""),"ガスコンロ（1口）")</f>
        <v>ガスコンロ（1口）</v>
      </c>
      <c r="V193" s="6" t="str">
        <f aca="false">IFERROR(__xludf.dummyfunction("""COMPUTED_VALUE"""),"電車, バス")</f>
        <v>電車, バス</v>
      </c>
      <c r="W193" s="6"/>
      <c r="X193" s="6" t="str">
        <f aca="false">IFERROR(__xludf.dummyfunction("""COMPUTED_VALUE"""),"株式会社ビーネックステクノロジーズの社宅")</f>
        <v>株式会社ビーネックステクノロジーズの社宅</v>
      </c>
      <c r="Y193" s="6" t="str">
        <f aca="false">IFERROR(__xludf.dummyfunction("""COMPUTED_VALUE"""),"テレビ、ガスコンロ、電子レンジ（回収希望）")</f>
        <v>テレビ、ガスコンロ、電子レンジ（回収希望）</v>
      </c>
      <c r="Z193" s="6" t="str">
        <f aca="false">IFERROR(__xludf.dummyfunction("""COMPUTED_VALUE"""),"希望しない")</f>
        <v>希望しない</v>
      </c>
      <c r="AA193" s="6" t="str">
        <f aca="false">IFERROR(__xludf.dummyfunction("""COMPUTED_VALUE"""),"単身")</f>
        <v>単身</v>
      </c>
      <c r="AB193" s="6"/>
      <c r="AC193" s="6"/>
      <c r="AD193" s="6"/>
      <c r="AE193" s="6" t="str">
        <f aca="false">IFERROR(__xludf.dummyfunction("""COMPUTED_VALUE"""),"確認しました。")</f>
        <v>確認しました。</v>
      </c>
      <c r="AF193" s="6" t="str">
        <f aca="false">IFERROR(__xludf.dummyfunction("""COMPUTED_VALUE"""),"社宅基準の内容について確認しました")</f>
        <v>社宅基準の内容について確認しました</v>
      </c>
      <c r="AG193" s="6" t="str">
        <f aca="false">IFERROR(__xludf.dummyfunction("""COMPUTED_VALUE"""),"入居のしおりの内容についてご確認しました")</f>
        <v>入居のしおりの内容についてご確認しました</v>
      </c>
      <c r="AH193" s="6" t="str">
        <f aca="false">IFERROR(__xludf.dummyfunction("""COMPUTED_VALUE"""),"確認しました")</f>
        <v>確認しました</v>
      </c>
      <c r="AI193" s="6"/>
      <c r="AJ193" s="6" t="str">
        <v/>
      </c>
      <c r="AK193" s="6" t="str">
        <v/>
      </c>
      <c r="AL193" s="6" t="str">
        <v/>
      </c>
      <c r="AM193" s="6" t="str">
        <v/>
      </c>
      <c r="AN193" s="6" t="n">
        <f aca="false">TRUE()</f>
        <v>1</v>
      </c>
    </row>
    <row r="194" customFormat="false" ht="52.5" hidden="false" customHeight="true" outlineLevel="0" collapsed="false">
      <c r="A194" s="6" t="str">
        <f aca="false">IFERROR(__xludf.dummyfunction("""COMPUTED_VALUE"""),"2026/02/25 0:34:19")</f>
        <v>2026/02/25 0:34:19</v>
      </c>
      <c r="B194" s="6"/>
      <c r="C194" s="6" t="str">
        <f aca="false">IFERROR(__xludf.dummyfunction("""COMPUTED_VALUE"""),"70274")</f>
        <v>70274</v>
      </c>
      <c r="D194" s="6"/>
      <c r="E194" s="6"/>
      <c r="F194" s="6"/>
      <c r="G194" s="6" t="str">
        <f aca="false">IFERROR(__xludf.dummyfunction("""COMPUTED_VALUE"""),"2026/03/21")</f>
        <v>2026/03/21</v>
      </c>
      <c r="H194" s="6" t="str">
        <f aca="false">IFERROR(__xludf.dummyfunction("""COMPUTED_VALUE"""),"必要")</f>
        <v>必要</v>
      </c>
      <c r="I194" s="6" t="str">
        <f aca="false">IFERROR(__xludf.dummyfunction("""COMPUTED_VALUE"""),"男性")</f>
        <v>男性</v>
      </c>
      <c r="J194" s="6" t="str">
        <f aca="false">IFERROR(__xludf.dummyfunction("""COMPUTED_VALUE"""),"日本")</f>
        <v>日本</v>
      </c>
      <c r="K194" s="6" t="str">
        <f aca="false">IFERROR(__xludf.dummyfunction("""COMPUTED_VALUE"""),"6")</f>
        <v>6</v>
      </c>
      <c r="L194" s="6" t="str">
        <f aca="false">IFERROR(__xludf.dummyfunction("""COMPUTED_VALUE"""),"冷蔵庫（単身用）、電子レンジ、炊飯器、掃除機、洗濯機")</f>
        <v>冷蔵庫（単身用）、電子レンジ、炊飯器、掃除機、洗濯機</v>
      </c>
      <c r="M194" s="6" t="str">
        <f aca="false">IFERROR(__xludf.dummyfunction("""COMPUTED_VALUE"""),"ゲーミングチェア、シングルベッド")</f>
        <v>ゲーミングチェア、シングルベッド</v>
      </c>
      <c r="N194" s="6"/>
      <c r="O194" s="6" t="str">
        <f aca="false">IFERROR(__xludf.dummyfunction("""COMPUTED_VALUE"""),"不要")</f>
        <v>不要</v>
      </c>
      <c r="P194" s="6"/>
      <c r="Q194" s="6"/>
      <c r="R194" s="6"/>
      <c r="S194" s="6" t="str">
        <f aca="false">IFERROR(__xludf.dummyfunction("""COMPUTED_VALUE"""),"家具家電なし社宅")</f>
        <v>家具家電なし社宅</v>
      </c>
      <c r="T194" s="6" t="str">
        <f aca="false">IFERROR(__xludf.dummyfunction("""COMPUTED_VALUE"""),"利用しない")</f>
        <v>利用しない</v>
      </c>
      <c r="U194" s="6"/>
      <c r="V194" s="6" t="str">
        <f aca="false">IFERROR(__xludf.dummyfunction("""COMPUTED_VALUE"""),"バス")</f>
        <v>バス</v>
      </c>
      <c r="W194" s="6"/>
      <c r="X194" s="6" t="str">
        <f aca="false">IFERROR(__xludf.dummyfunction("""COMPUTED_VALUE"""),"実家")</f>
        <v>実家</v>
      </c>
      <c r="Y194" s="6"/>
      <c r="Z194" s="6" t="str">
        <f aca="false">IFERROR(__xludf.dummyfunction("""COMPUTED_VALUE"""),"希望しない")</f>
        <v>希望しない</v>
      </c>
      <c r="AA194" s="6" t="str">
        <f aca="false">IFERROR(__xludf.dummyfunction("""COMPUTED_VALUE"""),"単身")</f>
        <v>単身</v>
      </c>
      <c r="AB194" s="6"/>
      <c r="AC194" s="6"/>
      <c r="AD194" s="6"/>
      <c r="AE194" s="6" t="str">
        <f aca="false">IFERROR(__xludf.dummyfunction("""COMPUTED_VALUE"""),"確認しました。")</f>
        <v>確認しました。</v>
      </c>
      <c r="AF194" s="6" t="str">
        <f aca="false">IFERROR(__xludf.dummyfunction("""COMPUTED_VALUE"""),"社宅基準の内容について確認しました")</f>
        <v>社宅基準の内容について確認しました</v>
      </c>
      <c r="AG194" s="6" t="str">
        <f aca="false">IFERROR(__xludf.dummyfunction("""COMPUTED_VALUE"""),"入居のしおりの内容についてご確認しました")</f>
        <v>入居のしおりの内容についてご確認しました</v>
      </c>
      <c r="AH194" s="6" t="str">
        <f aca="false">IFERROR(__xludf.dummyfunction("""COMPUTED_VALUE"""),"確認しました")</f>
        <v>確認しました</v>
      </c>
      <c r="AI194" s="6"/>
      <c r="AJ194" s="6" t="str">
        <v/>
      </c>
      <c r="AK194" s="6" t="str">
        <v/>
      </c>
      <c r="AL194" s="6" t="str">
        <v/>
      </c>
      <c r="AM194" s="6" t="str">
        <v/>
      </c>
      <c r="AN194" s="6" t="n">
        <f aca="false">FALSE()</f>
        <v>0</v>
      </c>
    </row>
    <row r="195" customFormat="false" ht="52.5" hidden="false" customHeight="true" outlineLevel="0" collapsed="false">
      <c r="A195" s="6" t="str">
        <f aca="false">IFERROR(__xludf.dummyfunction("""COMPUTED_VALUE"""),"2026/02/25 5:56:35")</f>
        <v>2026/02/25 5:56:35</v>
      </c>
      <c r="B195" s="6"/>
      <c r="C195" s="6" t="str">
        <f aca="false">IFERROR(__xludf.dummyfunction("""COMPUTED_VALUE"""),"70241")</f>
        <v>70241</v>
      </c>
      <c r="D195" s="6"/>
      <c r="E195" s="6"/>
      <c r="F195" s="6"/>
      <c r="G195" s="6" t="str">
        <f aca="false">IFERROR(__xludf.dummyfunction("""COMPUTED_VALUE"""),"2026/03/20")</f>
        <v>2026/03/20</v>
      </c>
      <c r="H195" s="6" t="str">
        <f aca="false">IFERROR(__xludf.dummyfunction("""COMPUTED_VALUE"""),"必要")</f>
        <v>必要</v>
      </c>
      <c r="I195" s="6" t="str">
        <f aca="false">IFERROR(__xludf.dummyfunction("""COMPUTED_VALUE"""),"男性")</f>
        <v>男性</v>
      </c>
      <c r="J195" s="6" t="str">
        <f aca="false">IFERROR(__xludf.dummyfunction("""COMPUTED_VALUE"""),"日本")</f>
        <v>日本</v>
      </c>
      <c r="K195" s="6" t="str">
        <f aca="false">IFERROR(__xludf.dummyfunction("""COMPUTED_VALUE"""),"15")</f>
        <v>15</v>
      </c>
      <c r="L195" s="6" t="str">
        <f aca="false">IFERROR(__xludf.dummyfunction("""COMPUTED_VALUE"""),"冷蔵庫（単身）洗濯機　電子レンジ　トースター　掃除機　テレビ　モニター　パソコン　炊飯器　空気清浄機")</f>
        <v>冷蔵庫（単身）洗濯機　電子レンジ　トースター　掃除機　テレビ　モニター　パソコン　炊飯器　空気清浄機</v>
      </c>
      <c r="M195" s="6" t="str">
        <f aca="false">IFERROR(__xludf.dummyfunction("""COMPUTED_VALUE"""),"本棚（1メートル　30センチ　1メートル）棚（40センチ　30センチ　1メートル）机（80センチ　60センチ　40センチ）")</f>
        <v>本棚（1メートル　30センチ　1メートル）棚（40センチ　30センチ　1メートル）机（80センチ　60センチ　40センチ）</v>
      </c>
      <c r="N195" s="6" t="str">
        <f aca="false">IFERROR(__xludf.dummyfunction("""COMPUTED_VALUE"""),"自転車　")</f>
        <v>自転車　</v>
      </c>
      <c r="O195" s="6" t="str">
        <f aca="false">IFERROR(__xludf.dummyfunction("""COMPUTED_VALUE"""),"不要")</f>
        <v>不要</v>
      </c>
      <c r="P195" s="6"/>
      <c r="Q195" s="6"/>
      <c r="R195" s="6"/>
      <c r="S195" s="6" t="str">
        <f aca="false">IFERROR(__xludf.dummyfunction("""COMPUTED_VALUE"""),"家具家電なし社宅")</f>
        <v>家具家電なし社宅</v>
      </c>
      <c r="T195" s="6" t="str">
        <f aca="false">IFERROR(__xludf.dummyfunction("""COMPUTED_VALUE"""),"利用する")</f>
        <v>利用する</v>
      </c>
      <c r="U195" s="6" t="str">
        <f aca="false">IFERROR(__xludf.dummyfunction("""COMPUTED_VALUE"""),"エアコン")</f>
        <v>エアコン</v>
      </c>
      <c r="V195" s="6" t="str">
        <f aca="false">IFERROR(__xludf.dummyfunction("""COMPUTED_VALUE"""),"徒歩, 自転車, 電車, バス, 社用バス")</f>
        <v>徒歩, 自転車, 電車, バス, 社用バス</v>
      </c>
      <c r="W195" s="6"/>
      <c r="X195" s="6" t="str">
        <f aca="false">IFERROR(__xludf.dummyfunction("""COMPUTED_VALUE"""),"ご自身で契約中の物件")</f>
        <v>ご自身で契約中の物件</v>
      </c>
      <c r="Y195" s="6"/>
      <c r="Z195" s="6" t="str">
        <f aca="false">IFERROR(__xludf.dummyfunction("""COMPUTED_VALUE"""),"希望する")</f>
        <v>希望する</v>
      </c>
      <c r="AA195" s="6" t="str">
        <f aca="false">IFERROR(__xludf.dummyfunction("""COMPUTED_VALUE"""),"単身")</f>
        <v>単身</v>
      </c>
      <c r="AB195" s="6"/>
      <c r="AC195" s="6"/>
      <c r="AD195" s="6" t="str">
        <f aca="false">IFERROR(__xludf.dummyfunction("""COMPUTED_VALUE"""),"駐車場あると嬉しいです。多分これから車を買うかもしれないので。")</f>
        <v>駐車場あると嬉しいです。多分これから車を買うかもしれないので。</v>
      </c>
      <c r="AE195" s="6" t="str">
        <f aca="false">IFERROR(__xludf.dummyfunction("""COMPUTED_VALUE"""),"確認しました。")</f>
        <v>確認しました。</v>
      </c>
      <c r="AF195" s="6" t="str">
        <f aca="false">IFERROR(__xludf.dummyfunction("""COMPUTED_VALUE"""),"社宅基準の内容について確認しました")</f>
        <v>社宅基準の内容について確認しました</v>
      </c>
      <c r="AG195" s="6" t="str">
        <f aca="false">IFERROR(__xludf.dummyfunction("""COMPUTED_VALUE"""),"入居のしおりの内容についてご確認しました")</f>
        <v>入居のしおりの内容についてご確認しました</v>
      </c>
      <c r="AH195" s="6" t="str">
        <f aca="false">IFERROR(__xludf.dummyfunction("""COMPUTED_VALUE"""),"確認しました")</f>
        <v>確認しました</v>
      </c>
      <c r="AI195" s="6"/>
      <c r="AJ195" s="6" t="str">
        <v/>
      </c>
      <c r="AK195" s="6" t="str">
        <v/>
      </c>
      <c r="AL195" s="6" t="str">
        <v/>
      </c>
      <c r="AM195" s="6" t="str">
        <v/>
      </c>
      <c r="AN195" s="6" t="n">
        <f aca="false">FALSE()</f>
        <v>0</v>
      </c>
    </row>
    <row r="196" customFormat="false" ht="52.5" hidden="false" customHeight="true" outlineLevel="0" collapsed="false">
      <c r="A196" s="6" t="str">
        <f aca="false">IFERROR(__xludf.dummyfunction("""COMPUTED_VALUE"""),"2026/02/25 11:02:24")</f>
        <v>2026/02/25 11:02:24</v>
      </c>
      <c r="B196" s="6"/>
      <c r="C196" s="6" t="str">
        <f aca="false">IFERROR(__xludf.dummyfunction("""COMPUTED_VALUE"""),"70467")</f>
        <v>70467</v>
      </c>
      <c r="D196" s="6"/>
      <c r="E196" s="6"/>
      <c r="F196" s="6"/>
      <c r="G196" s="6" t="str">
        <f aca="false">IFERROR(__xludf.dummyfunction("""COMPUTED_VALUE"""),"2026/03/28")</f>
        <v>2026/03/28</v>
      </c>
      <c r="H196" s="6" t="str">
        <f aca="false">IFERROR(__xludf.dummyfunction("""COMPUTED_VALUE"""),"不要")</f>
        <v>不要</v>
      </c>
      <c r="I196" s="6" t="str">
        <f aca="false">IFERROR(__xludf.dummyfunction("""COMPUTED_VALUE"""),"女性")</f>
        <v>女性</v>
      </c>
      <c r="J196" s="6" t="str">
        <f aca="false">IFERROR(__xludf.dummyfunction("""COMPUTED_VALUE"""),"日本")</f>
        <v>日本</v>
      </c>
      <c r="K196" s="6"/>
      <c r="L196" s="6"/>
      <c r="M196" s="6"/>
      <c r="N196" s="6"/>
      <c r="O196" s="6" t="str">
        <f aca="false">IFERROR(__xludf.dummyfunction("""COMPUTED_VALUE"""),"必要")</f>
        <v>必要</v>
      </c>
      <c r="P196" s="6" t="str">
        <f aca="false">IFERROR(__xludf.dummyfunction("""COMPUTED_VALUE"""),"フィット")</f>
        <v>フィット</v>
      </c>
      <c r="Q196" s="6" t="str">
        <f aca="false">IFERROR(__xludf.dummyfunction("""COMPUTED_VALUE"""),"ち10-13")</f>
        <v>ち10-13</v>
      </c>
      <c r="R196" s="6" t="str">
        <f aca="false">IFERROR(__xludf.dummyfunction("""COMPUTED_VALUE"""),"白")</f>
        <v>白</v>
      </c>
      <c r="S196" s="6" t="str">
        <f aca="false">IFERROR(__xludf.dummyfunction("""COMPUTED_VALUE"""),"家具家電付き社宅")</f>
        <v>家具家電付き社宅</v>
      </c>
      <c r="T196" s="6" t="str">
        <f aca="false">IFERROR(__xludf.dummyfunction("""COMPUTED_VALUE"""),"利用しない")</f>
        <v>利用しない</v>
      </c>
      <c r="U196" s="6"/>
      <c r="V196" s="6" t="str">
        <f aca="false">IFERROR(__xludf.dummyfunction("""COMPUTED_VALUE"""),"徒歩, 自動車")</f>
        <v>徒歩, 自動車</v>
      </c>
      <c r="W196" s="6"/>
      <c r="X196" s="6" t="str">
        <f aca="false">IFERROR(__xludf.dummyfunction("""COMPUTED_VALUE"""),"株式会社ビーネックステクノロジーズの社宅")</f>
        <v>株式会社ビーネックステクノロジーズの社宅</v>
      </c>
      <c r="Y196" s="6" t="str">
        <f aca="false">IFERROR(__xludf.dummyfunction("""COMPUTED_VALUE"""),"電子レンジ、冷蔵庫、洗濯機、掃除機、コタツ、こたつ布団
回収希望")</f>
        <v>電子レンジ、冷蔵庫、洗濯機、掃除機、コタツ、こたつ布団
回収希望</v>
      </c>
      <c r="Z196" s="6" t="str">
        <f aca="false">IFERROR(__xludf.dummyfunction("""COMPUTED_VALUE"""),"希望する")</f>
        <v>希望する</v>
      </c>
      <c r="AA196" s="6" t="str">
        <f aca="false">IFERROR(__xludf.dummyfunction("""COMPUTED_VALUE"""),"単身")</f>
        <v>単身</v>
      </c>
      <c r="AB196" s="6"/>
      <c r="AC196" s="6"/>
      <c r="AD196" s="6" t="str">
        <f aca="false">IFERROR(__xludf.dummyfunction("""COMPUTED_VALUE"""),"出来れば角部屋がいいです。")</f>
        <v>出来れば角部屋がいいです。</v>
      </c>
      <c r="AE196" s="6" t="str">
        <f aca="false">IFERROR(__xludf.dummyfunction("""COMPUTED_VALUE"""),"確認しました。")</f>
        <v>確認しました。</v>
      </c>
      <c r="AF196" s="6" t="str">
        <f aca="false">IFERROR(__xludf.dummyfunction("""COMPUTED_VALUE"""),"社宅基準の内容について確認しました")</f>
        <v>社宅基準の内容について確認しました</v>
      </c>
      <c r="AG196" s="6" t="str">
        <f aca="false">IFERROR(__xludf.dummyfunction("""COMPUTED_VALUE"""),"入居のしおりの内容についてご確認しました")</f>
        <v>入居のしおりの内容についてご確認しました</v>
      </c>
      <c r="AH196" s="6" t="str">
        <f aca="false">IFERROR(__xludf.dummyfunction("""COMPUTED_VALUE"""),"確認しました")</f>
        <v>確認しました</v>
      </c>
      <c r="AI196" s="6"/>
      <c r="AJ196" s="6" t="str">
        <v/>
      </c>
      <c r="AK196" s="6" t="str">
        <v/>
      </c>
      <c r="AL196" s="6" t="str">
        <v/>
      </c>
      <c r="AM196" s="6" t="str">
        <v/>
      </c>
      <c r="AN196" s="6" t="n">
        <f aca="false">FALSE()</f>
        <v>0</v>
      </c>
    </row>
    <row r="197" customFormat="false" ht="52.5" hidden="false" customHeight="true" outlineLevel="0" collapsed="false">
      <c r="A197" s="6" t="str">
        <f aca="false">IFERROR(__xludf.dummyfunction("""COMPUTED_VALUE"""),"2026/02/25 12:12:04")</f>
        <v>2026/02/25 12:12:04</v>
      </c>
      <c r="B197" s="6"/>
      <c r="C197" s="6" t="str">
        <f aca="false">IFERROR(__xludf.dummyfunction("""COMPUTED_VALUE"""),"70455")</f>
        <v>70455</v>
      </c>
      <c r="D197" s="6"/>
      <c r="E197" s="6"/>
      <c r="F197" s="6"/>
      <c r="G197" s="6" t="str">
        <f aca="false">IFERROR(__xludf.dummyfunction("""COMPUTED_VALUE"""),"2026/03/03")</f>
        <v>2026/03/03</v>
      </c>
      <c r="H197" s="6" t="str">
        <f aca="false">IFERROR(__xludf.dummyfunction("""COMPUTED_VALUE"""),"不要")</f>
        <v>不要</v>
      </c>
      <c r="I197" s="6" t="str">
        <f aca="false">IFERROR(__xludf.dummyfunction("""COMPUTED_VALUE"""),"男性")</f>
        <v>男性</v>
      </c>
      <c r="J197" s="6" t="str">
        <f aca="false">IFERROR(__xludf.dummyfunction("""COMPUTED_VALUE"""),"日本")</f>
        <v>日本</v>
      </c>
      <c r="K197" s="6"/>
      <c r="L197" s="6"/>
      <c r="M197" s="6"/>
      <c r="N197" s="6"/>
      <c r="O197" s="6" t="str">
        <f aca="false">IFERROR(__xludf.dummyfunction("""COMPUTED_VALUE"""),"必要")</f>
        <v>必要</v>
      </c>
      <c r="P197" s="6" t="str">
        <f aca="false">IFERROR(__xludf.dummyfunction("""COMPUTED_VALUE"""),"ソリオ")</f>
        <v>ソリオ</v>
      </c>
      <c r="Q197" s="6" t="str">
        <f aca="false">IFERROR(__xludf.dummyfunction("""COMPUTED_VALUE"""),"す29-12")</f>
        <v>す29-12</v>
      </c>
      <c r="R197" s="6" t="str">
        <f aca="false">IFERROR(__xludf.dummyfunction("""COMPUTED_VALUE"""),"ブラック")</f>
        <v>ブラック</v>
      </c>
      <c r="S197" s="6" t="str">
        <f aca="false">IFERROR(__xludf.dummyfunction("""COMPUTED_VALUE"""),"家具家電なし社宅")</f>
        <v>家具家電なし社宅</v>
      </c>
      <c r="T197" s="6" t="str">
        <f aca="false">IFERROR(__xludf.dummyfunction("""COMPUTED_VALUE"""),"利用しない")</f>
        <v>利用しない</v>
      </c>
      <c r="U197" s="6"/>
      <c r="V197" s="6" t="str">
        <f aca="false">IFERROR(__xludf.dummyfunction("""COMPUTED_VALUE"""),"徒歩, 自動車")</f>
        <v>徒歩, 自動車</v>
      </c>
      <c r="W197" s="6"/>
      <c r="X197" s="6" t="str">
        <f aca="false">IFERROR(__xludf.dummyfunction("""COMPUTED_VALUE"""),"株式会社ビーネックステクノロジーズの社宅")</f>
        <v>株式会社ビーネックステクノロジーズの社宅</v>
      </c>
      <c r="Y197" s="6" t="str">
        <f aca="false">IFERROR(__xludf.dummyfunction("""COMPUTED_VALUE"""),"冷蔵庫、洗濯機　新社宅へ引き継ぎ希望")</f>
        <v>冷蔵庫、洗濯機　新社宅へ引き継ぎ希望</v>
      </c>
      <c r="Z197" s="6" t="str">
        <f aca="false">IFERROR(__xludf.dummyfunction("""COMPUTED_VALUE"""),"希望する")</f>
        <v>希望する</v>
      </c>
      <c r="AA197" s="6" t="str">
        <f aca="false">IFERROR(__xludf.dummyfunction("""COMPUTED_VALUE"""),"単身")</f>
        <v>単身</v>
      </c>
      <c r="AB197" s="6"/>
      <c r="AC197" s="6"/>
      <c r="AD197" s="6" t="str">
        <f aca="false">IFERROR(__xludf.dummyfunction("""COMPUTED_VALUE"""),"できるだけ新築がいいです
築5年以内")</f>
        <v>できるだけ新築がいいです
築5年以内</v>
      </c>
      <c r="AE197" s="6" t="str">
        <f aca="false">IFERROR(__xludf.dummyfunction("""COMPUTED_VALUE"""),"確認しました。")</f>
        <v>確認しました。</v>
      </c>
      <c r="AF197" s="6" t="str">
        <f aca="false">IFERROR(__xludf.dummyfunction("""COMPUTED_VALUE"""),"社宅基準の内容について確認しました")</f>
        <v>社宅基準の内容について確認しました</v>
      </c>
      <c r="AG197" s="6" t="str">
        <f aca="false">IFERROR(__xludf.dummyfunction("""COMPUTED_VALUE"""),"入居のしおりの内容についてご確認しました")</f>
        <v>入居のしおりの内容についてご確認しました</v>
      </c>
      <c r="AH197" s="6" t="str">
        <f aca="false">IFERROR(__xludf.dummyfunction("""COMPUTED_VALUE"""),"確認しました")</f>
        <v>確認しました</v>
      </c>
      <c r="AI197" s="6"/>
      <c r="AJ197" s="6" t="str">
        <v/>
      </c>
      <c r="AK197" s="6" t="str">
        <v/>
      </c>
      <c r="AL197" s="6" t="str">
        <v/>
      </c>
      <c r="AM197" s="6" t="str">
        <v/>
      </c>
      <c r="AN197" s="6" t="n">
        <f aca="false">FALSE()</f>
        <v>0</v>
      </c>
    </row>
    <row r="198" customFormat="false" ht="52.5" hidden="false" customHeight="true" outlineLevel="0" collapsed="false">
      <c r="A198" s="6" t="str">
        <f aca="false">IFERROR(__xludf.dummyfunction("""COMPUTED_VALUE"""),"2026/02/25 13:07:44")</f>
        <v>2026/02/25 13:07:44</v>
      </c>
      <c r="B198" s="6"/>
      <c r="C198" s="6" t="str">
        <f aca="false">IFERROR(__xludf.dummyfunction("""COMPUTED_VALUE"""),"70456")</f>
        <v>70456</v>
      </c>
      <c r="D198" s="6"/>
      <c r="E198" s="6"/>
      <c r="F198" s="6"/>
      <c r="G198" s="6" t="str">
        <f aca="false">IFERROR(__xludf.dummyfunction("""COMPUTED_VALUE"""),"2026/04/04")</f>
        <v>2026/04/04</v>
      </c>
      <c r="H198" s="6" t="str">
        <f aca="false">IFERROR(__xludf.dummyfunction("""COMPUTED_VALUE"""),"不要")</f>
        <v>不要</v>
      </c>
      <c r="I198" s="6" t="str">
        <f aca="false">IFERROR(__xludf.dummyfunction("""COMPUTED_VALUE"""),"女性")</f>
        <v>女性</v>
      </c>
      <c r="J198" s="6" t="str">
        <f aca="false">IFERROR(__xludf.dummyfunction("""COMPUTED_VALUE"""),"Myanmar ")</f>
        <v>Myanmar </v>
      </c>
      <c r="K198" s="6"/>
      <c r="L198" s="6"/>
      <c r="M198" s="6"/>
      <c r="N198" s="6"/>
      <c r="O198" s="6" t="str">
        <f aca="false">IFERROR(__xludf.dummyfunction("""COMPUTED_VALUE"""),"不要")</f>
        <v>不要</v>
      </c>
      <c r="P198" s="6"/>
      <c r="Q198" s="6"/>
      <c r="R198" s="6"/>
      <c r="S198" s="6" t="str">
        <f aca="false">IFERROR(__xludf.dummyfunction("""COMPUTED_VALUE"""),"家具家電なし社宅")</f>
        <v>家具家電なし社宅</v>
      </c>
      <c r="T198" s="6" t="str">
        <f aca="false">IFERROR(__xludf.dummyfunction("""COMPUTED_VALUE"""),"利用しない")</f>
        <v>利用しない</v>
      </c>
      <c r="U198" s="6"/>
      <c r="V198" s="6" t="str">
        <f aca="false">IFERROR(__xludf.dummyfunction("""COMPUTED_VALUE"""),"電車")</f>
        <v>電車</v>
      </c>
      <c r="W198" s="6"/>
      <c r="X198" s="6" t="str">
        <f aca="false">IFERROR(__xludf.dummyfunction("""COMPUTED_VALUE"""),"株式会社ビーネックステクノロジーズの社宅")</f>
        <v>株式会社ビーネックステクノロジーズの社宅</v>
      </c>
      <c r="Y198" s="6" t="str">
        <f aca="false">IFERROR(__xludf.dummyfunction("""COMPUTED_VALUE"""),"利用なし")</f>
        <v>利用なし</v>
      </c>
      <c r="Z198" s="6" t="str">
        <f aca="false">IFERROR(__xludf.dummyfunction("""COMPUTED_VALUE"""),"希望しない")</f>
        <v>希望しない</v>
      </c>
      <c r="AA198" s="6" t="str">
        <f aca="false">IFERROR(__xludf.dummyfunction("""COMPUTED_VALUE"""),"家族")</f>
        <v>家族</v>
      </c>
      <c r="AB198" s="6" t="str">
        <f aca="false">IFERROR(__xludf.dummyfunction("""COMPUTED_VALUE"""),"氏名：AUNG KHAING PHYO
フリガナ：アウンカインピョー
生年月日：1991/07/07
携帯番号：0805278967
続柄：夫")</f>
        <v>氏名：AUNG KHAING PHYO
フリガナ：アウンカインピョー
生年月日：1991/07/07
携帯番号：0805278967
続柄：夫</v>
      </c>
      <c r="AC198" s="6"/>
      <c r="AD198" s="6" t="str">
        <f aca="false">IFERROR(__xludf.dummyfunction("""COMPUTED_VALUE"""),"家具家電付けなしですがエアコンは付けてもらいたいです。
")</f>
        <v>家具家電付けなしですがエアコンは付けてもらいたいです。
</v>
      </c>
      <c r="AE198" s="6" t="str">
        <f aca="false">IFERROR(__xludf.dummyfunction("""COMPUTED_VALUE"""),"確認しました。")</f>
        <v>確認しました。</v>
      </c>
      <c r="AF198" s="6" t="str">
        <f aca="false">IFERROR(__xludf.dummyfunction("""COMPUTED_VALUE"""),"社宅基準の内容について確認しました")</f>
        <v>社宅基準の内容について確認しました</v>
      </c>
      <c r="AG198" s="6" t="str">
        <f aca="false">IFERROR(__xludf.dummyfunction("""COMPUTED_VALUE"""),"入居のしおりの内容についてご確認しました")</f>
        <v>入居のしおりの内容についてご確認しました</v>
      </c>
      <c r="AH198" s="6" t="str">
        <f aca="false">IFERROR(__xludf.dummyfunction("""COMPUTED_VALUE"""),"確認しました")</f>
        <v>確認しました</v>
      </c>
      <c r="AI198" s="6"/>
      <c r="AJ198" s="6" t="str">
        <v/>
      </c>
      <c r="AK198" s="6" t="str">
        <v/>
      </c>
      <c r="AL198" s="6" t="str">
        <v/>
      </c>
      <c r="AM198" s="6" t="str">
        <v/>
      </c>
      <c r="AN198" s="6" t="n">
        <f aca="false">FALSE()</f>
        <v>0</v>
      </c>
    </row>
    <row r="199" customFormat="false" ht="52.5" hidden="false" customHeight="true" outlineLevel="0" collapsed="false">
      <c r="A199" s="6" t="str">
        <f aca="false">IFERROR(__xludf.dummyfunction("""COMPUTED_VALUE"""),"2026/02/25 13:08:52")</f>
        <v>2026/02/25 13:08:52</v>
      </c>
      <c r="B199" s="6"/>
      <c r="C199" s="6" t="str">
        <f aca="false">IFERROR(__xludf.dummyfunction("""COMPUTED_VALUE"""),"70333")</f>
        <v>70333</v>
      </c>
      <c r="D199" s="6"/>
      <c r="E199" s="6"/>
      <c r="F199" s="6"/>
      <c r="G199" s="6" t="str">
        <f aca="false">IFERROR(__xludf.dummyfunction("""COMPUTED_VALUE"""),"2026/03/29")</f>
        <v>2026/03/29</v>
      </c>
      <c r="H199" s="6" t="str">
        <f aca="false">IFERROR(__xludf.dummyfunction("""COMPUTED_VALUE"""),"必要")</f>
        <v>必要</v>
      </c>
      <c r="I199" s="6" t="str">
        <f aca="false">IFERROR(__xludf.dummyfunction("""COMPUTED_VALUE"""),"男性")</f>
        <v>男性</v>
      </c>
      <c r="J199" s="6" t="str">
        <f aca="false">IFERROR(__xludf.dummyfunction("""COMPUTED_VALUE"""),"日本")</f>
        <v>日本</v>
      </c>
      <c r="K199" s="6" t="str">
        <f aca="false">IFERROR(__xludf.dummyfunction("""COMPUTED_VALUE"""),"15")</f>
        <v>15</v>
      </c>
      <c r="L199" s="6" t="str">
        <f aca="false">IFERROR(__xludf.dummyfunction("""COMPUTED_VALUE"""),"なし")</f>
        <v>なし</v>
      </c>
      <c r="M199" s="6" t="str">
        <f aca="false">IFERROR(__xludf.dummyfunction("""COMPUTED_VALUE"""),"セミダブル")</f>
        <v>セミダブル</v>
      </c>
      <c r="N199" s="6"/>
      <c r="O199" s="6" t="str">
        <f aca="false">IFERROR(__xludf.dummyfunction("""COMPUTED_VALUE"""),"不要")</f>
        <v>不要</v>
      </c>
      <c r="P199" s="6"/>
      <c r="Q199" s="6"/>
      <c r="R199" s="6"/>
      <c r="S199" s="6" t="str">
        <f aca="false">IFERROR(__xludf.dummyfunction("""COMPUTED_VALUE"""),"家具家電なし社宅")</f>
        <v>家具家電なし社宅</v>
      </c>
      <c r="T199" s="6" t="str">
        <f aca="false">IFERROR(__xludf.dummyfunction("""COMPUTED_VALUE"""),"利用しない")</f>
        <v>利用しない</v>
      </c>
      <c r="U199" s="6"/>
      <c r="V199" s="6" t="str">
        <f aca="false">IFERROR(__xludf.dummyfunction("""COMPUTED_VALUE"""),"徒歩, 自転車, 電車, バス")</f>
        <v>徒歩, 自転車, 電車, バス</v>
      </c>
      <c r="W199" s="6"/>
      <c r="X199" s="6" t="str">
        <f aca="false">IFERROR(__xludf.dummyfunction("""COMPUTED_VALUE"""),"実家")</f>
        <v>実家</v>
      </c>
      <c r="Y199" s="6"/>
      <c r="Z199" s="6" t="str">
        <f aca="false">IFERROR(__xludf.dummyfunction("""COMPUTED_VALUE"""),"希望する")</f>
        <v>希望する</v>
      </c>
      <c r="AA199" s="6" t="str">
        <f aca="false">IFERROR(__xludf.dummyfunction("""COMPUTED_VALUE"""),"単身")</f>
        <v>単身</v>
      </c>
      <c r="AB199" s="6"/>
      <c r="AC199" s="6"/>
      <c r="AD199" s="6"/>
      <c r="AE199" s="6" t="str">
        <f aca="false">IFERROR(__xludf.dummyfunction("""COMPUTED_VALUE"""),"確認しました。")</f>
        <v>確認しました。</v>
      </c>
      <c r="AF199" s="6" t="str">
        <f aca="false">IFERROR(__xludf.dummyfunction("""COMPUTED_VALUE"""),"社宅基準の内容について確認しました")</f>
        <v>社宅基準の内容について確認しました</v>
      </c>
      <c r="AG199" s="6" t="str">
        <f aca="false">IFERROR(__xludf.dummyfunction("""COMPUTED_VALUE"""),"入居のしおりの内容についてご確認しました")</f>
        <v>入居のしおりの内容についてご確認しました</v>
      </c>
      <c r="AH199" s="6" t="str">
        <f aca="false">IFERROR(__xludf.dummyfunction("""COMPUTED_VALUE"""),"確認しました")</f>
        <v>確認しました</v>
      </c>
      <c r="AI199" s="6"/>
      <c r="AJ199" s="6" t="str">
        <v/>
      </c>
      <c r="AK199" s="6" t="str">
        <v/>
      </c>
      <c r="AL199" s="6" t="str">
        <v/>
      </c>
      <c r="AM199" s="6" t="str">
        <v/>
      </c>
      <c r="AN199" s="6" t="n">
        <f aca="false">FALSE()</f>
        <v>0</v>
      </c>
    </row>
    <row r="200" customFormat="false" ht="52.5" hidden="false" customHeight="true" outlineLevel="0" collapsed="false">
      <c r="A200" s="6" t="str">
        <f aca="false">IFERROR(__xludf.dummyfunction("""COMPUTED_VALUE"""),"2026/02/25 14:56:37")</f>
        <v>2026/02/25 14:56:37</v>
      </c>
      <c r="B200" s="6"/>
      <c r="C200" s="6" t="str">
        <f aca="false">IFERROR(__xludf.dummyfunction("""COMPUTED_VALUE"""),"70470")</f>
        <v>70470</v>
      </c>
      <c r="D200" s="6"/>
      <c r="E200" s="6"/>
      <c r="F200" s="6"/>
      <c r="G200" s="6" t="str">
        <f aca="false">IFERROR(__xludf.dummyfunction("""COMPUTED_VALUE"""),"2026/03/23")</f>
        <v>2026/03/23</v>
      </c>
      <c r="H200" s="6" t="str">
        <f aca="false">IFERROR(__xludf.dummyfunction("""COMPUTED_VALUE"""),"必要")</f>
        <v>必要</v>
      </c>
      <c r="I200" s="6" t="str">
        <f aca="false">IFERROR(__xludf.dummyfunction("""COMPUTED_VALUE"""),"男性")</f>
        <v>男性</v>
      </c>
      <c r="J200" s="6" t="str">
        <f aca="false">IFERROR(__xludf.dummyfunction("""COMPUTED_VALUE"""),"日本")</f>
        <v>日本</v>
      </c>
      <c r="K200" s="6" t="str">
        <f aca="false">IFERROR(__xludf.dummyfunction("""COMPUTED_VALUE"""),"15")</f>
        <v>15</v>
      </c>
      <c r="L200" s="6" t="str">
        <f aca="false">IFERROR(__xludf.dummyfunction("""COMPUTED_VALUE"""),"TV（42インチ）、ウォーターサーバー、レンジ、※洗濯機、冷蔵庫（レンタル）")</f>
        <v>TV（42インチ）、ウォーターサーバー、レンジ、※洗濯機、冷蔵庫（レンタル）</v>
      </c>
      <c r="M200" s="6" t="str">
        <f aca="false">IFERROR(__xludf.dummyfunction("""COMPUTED_VALUE"""),"マットレス（シングル）、クッション（1人）、TV台、")</f>
        <v>マットレス（シングル）、クッション（1人）、TV台、</v>
      </c>
      <c r="N200" s="6"/>
      <c r="O200" s="6" t="str">
        <f aca="false">IFERROR(__xludf.dummyfunction("""COMPUTED_VALUE"""),"必要")</f>
        <v>必要</v>
      </c>
      <c r="P200" s="6" t="str">
        <f aca="false">IFERROR(__xludf.dummyfunction("""COMPUTED_VALUE"""),"CX-30")</f>
        <v>CX-30</v>
      </c>
      <c r="Q200" s="6" t="str">
        <f aca="false">IFERROR(__xludf.dummyfunction("""COMPUTED_VALUE"""),"75-37")</f>
        <v>75-37</v>
      </c>
      <c r="R200" s="6" t="str">
        <f aca="false">IFERROR(__xludf.dummyfunction("""COMPUTED_VALUE"""),"グレー")</f>
        <v>グレー</v>
      </c>
      <c r="S200" s="6" t="str">
        <f aca="false">IFERROR(__xludf.dummyfunction("""COMPUTED_VALUE"""),"家具家電なし社宅")</f>
        <v>家具家電なし社宅</v>
      </c>
      <c r="T200" s="6" t="str">
        <f aca="false">IFERROR(__xludf.dummyfunction("""COMPUTED_VALUE"""),"利用する")</f>
        <v>利用する</v>
      </c>
      <c r="U200" s="6" t="str">
        <f aca="false">IFERROR(__xludf.dummyfunction("""COMPUTED_VALUE"""),"冷凍冷蔵庫、全自動洗濯機")</f>
        <v>冷凍冷蔵庫、全自動洗濯機</v>
      </c>
      <c r="V200" s="6" t="str">
        <f aca="false">IFERROR(__xludf.dummyfunction("""COMPUTED_VALUE"""),"徒歩, 自動車, 自転車, 社用バス")</f>
        <v>徒歩, 自動車, 自転車, 社用バス</v>
      </c>
      <c r="W200" s="6"/>
      <c r="X200" s="6" t="str">
        <f aca="false">IFERROR(__xludf.dummyfunction("""COMPUTED_VALUE"""),"株式会社ビーネックステクノロジーズの社宅")</f>
        <v>株式会社ビーネックステクノロジーズの社宅</v>
      </c>
      <c r="Y200" s="6" t="str">
        <f aca="false">IFERROR(__xludf.dummyfunction("""COMPUTED_VALUE"""),"洗濯機、冷蔵庫/引継ぎ希望")</f>
        <v>洗濯機、冷蔵庫/引継ぎ希望</v>
      </c>
      <c r="Z200" s="6" t="str">
        <f aca="false">IFERROR(__xludf.dummyfunction("""COMPUTED_VALUE"""),"希望する")</f>
        <v>希望する</v>
      </c>
      <c r="AA200" s="6" t="str">
        <f aca="false">IFERROR(__xludf.dummyfunction("""COMPUTED_VALUE"""),"単身")</f>
        <v>単身</v>
      </c>
      <c r="AB200" s="6"/>
      <c r="AC200" s="6"/>
      <c r="AD200" s="6" t="str">
        <f aca="false">IFERROR(__xludf.dummyfunction("""COMPUTED_VALUE"""),"ウォシュレット必須")</f>
        <v>ウォシュレット必須</v>
      </c>
      <c r="AE200" s="6" t="str">
        <f aca="false">IFERROR(__xludf.dummyfunction("""COMPUTED_VALUE"""),"確認しました。")</f>
        <v>確認しました。</v>
      </c>
      <c r="AF200" s="6" t="str">
        <f aca="false">IFERROR(__xludf.dummyfunction("""COMPUTED_VALUE"""),"社宅基準の内容について確認しました")</f>
        <v>社宅基準の内容について確認しました</v>
      </c>
      <c r="AG200" s="6" t="str">
        <f aca="false">IFERROR(__xludf.dummyfunction("""COMPUTED_VALUE"""),"入居のしおりの内容についてご確認しました")</f>
        <v>入居のしおりの内容についてご確認しました</v>
      </c>
      <c r="AH200" s="6" t="str">
        <f aca="false">IFERROR(__xludf.dummyfunction("""COMPUTED_VALUE"""),"確認しました")</f>
        <v>確認しました</v>
      </c>
      <c r="AI200" s="6"/>
      <c r="AJ200" s="6" t="str">
        <v/>
      </c>
      <c r="AK200" s="6" t="str">
        <v/>
      </c>
      <c r="AL200" s="6" t="str">
        <v/>
      </c>
      <c r="AM200" s="6" t="str">
        <v/>
      </c>
      <c r="AN200" s="6" t="n">
        <f aca="false">TRUE()</f>
        <v>1</v>
      </c>
    </row>
    <row r="201" customFormat="false" ht="52.5" hidden="false" customHeight="true" outlineLevel="0" collapsed="false">
      <c r="A201" s="6" t="str">
        <f aca="false">IFERROR(__xludf.dummyfunction("""COMPUTED_VALUE"""),"2026/02/25 18:56:20")</f>
        <v>2026/02/25 18:56:20</v>
      </c>
      <c r="B201" s="6"/>
      <c r="C201" s="6" t="str">
        <f aca="false">IFERROR(__xludf.dummyfunction("""COMPUTED_VALUE"""),"70506")</f>
        <v>70506</v>
      </c>
      <c r="D201" s="6"/>
      <c r="E201" s="6"/>
      <c r="F201" s="6"/>
      <c r="G201" s="6" t="str">
        <f aca="false">IFERROR(__xludf.dummyfunction("""COMPUTED_VALUE"""),"2026/03/21")</f>
        <v>2026/03/21</v>
      </c>
      <c r="H201" s="6" t="str">
        <f aca="false">IFERROR(__xludf.dummyfunction("""COMPUTED_VALUE"""),"必要")</f>
        <v>必要</v>
      </c>
      <c r="I201" s="6" t="str">
        <f aca="false">IFERROR(__xludf.dummyfunction("""COMPUTED_VALUE"""),"女性")</f>
        <v>女性</v>
      </c>
      <c r="J201" s="6" t="str">
        <f aca="false">IFERROR(__xludf.dummyfunction("""COMPUTED_VALUE"""),"日本")</f>
        <v>日本</v>
      </c>
      <c r="K201" s="6" t="str">
        <f aca="false">IFERROR(__xludf.dummyfunction("""COMPUTED_VALUE"""),"20")</f>
        <v>20</v>
      </c>
      <c r="L201" s="6" t="str">
        <f aca="false">IFERROR(__xludf.dummyfunction("""COMPUTED_VALUE"""),"家庭用プリンター、ノートパソコン、ドライヤー2つ、ゲーム機")</f>
        <v>家庭用プリンター、ノートパソコン、ドライヤー2つ、ゲーム機</v>
      </c>
      <c r="M201" s="6" t="str">
        <f aca="false">IFERROR(__xludf.dummyfunction("""COMPUTED_VALUE"""),"敷布団一式、オープンラック(60cm・30cm・160cm)、キッチンワゴン(60cm・35cm・70cm)")</f>
        <v>敷布団一式、オープンラック(60cm・30cm・160cm)、キッチンワゴン(60cm・35cm・70cm)</v>
      </c>
      <c r="N201" s="6" t="str">
        <f aca="false">IFERROR(__xludf.dummyfunction("""COMPUTED_VALUE"""),"スーツケース(50cm・30cm・75cm)")</f>
        <v>スーツケース(50cm・30cm・75cm)</v>
      </c>
      <c r="O201" s="6" t="str">
        <f aca="false">IFERROR(__xludf.dummyfunction("""COMPUTED_VALUE"""),"不要")</f>
        <v>不要</v>
      </c>
      <c r="P201" s="6"/>
      <c r="Q201" s="6"/>
      <c r="R201" s="6"/>
      <c r="S201" s="6" t="str">
        <f aca="false">IFERROR(__xludf.dummyfunction("""COMPUTED_VALUE"""),"家具家電付き社宅")</f>
        <v>家具家電付き社宅</v>
      </c>
      <c r="T201" s="6" t="str">
        <f aca="false">IFERROR(__xludf.dummyfunction("""COMPUTED_VALUE"""),"利用しない")</f>
        <v>利用しない</v>
      </c>
      <c r="U201" s="6"/>
      <c r="V201" s="6" t="str">
        <f aca="false">IFERROR(__xludf.dummyfunction("""COMPUTED_VALUE"""),"徒歩, 電車, バス, 社用バス")</f>
        <v>徒歩, 電車, バス, 社用バス</v>
      </c>
      <c r="W201" s="6"/>
      <c r="X201" s="6" t="str">
        <f aca="false">IFERROR(__xludf.dummyfunction("""COMPUTED_VALUE"""),"ご自身で契約中の物件")</f>
        <v>ご自身で契約中の物件</v>
      </c>
      <c r="Y201" s="6"/>
      <c r="Z201" s="6" t="str">
        <f aca="false">IFERROR(__xludf.dummyfunction("""COMPUTED_VALUE"""),"希望する")</f>
        <v>希望する</v>
      </c>
      <c r="AA201" s="6" t="str">
        <f aca="false">IFERROR(__xludf.dummyfunction("""COMPUTED_VALUE"""),"単身")</f>
        <v>単身</v>
      </c>
      <c r="AB201" s="6"/>
      <c r="AC201" s="6"/>
      <c r="AD201" s="6" t="str">
        <f aca="false">IFERROR(__xludf.dummyfunction("""COMPUTED_VALUE"""),"上階角部屋希望")</f>
        <v>上階角部屋希望</v>
      </c>
      <c r="AE201" s="6" t="str">
        <f aca="false">IFERROR(__xludf.dummyfunction("""COMPUTED_VALUE"""),"確認しました。")</f>
        <v>確認しました。</v>
      </c>
      <c r="AF201" s="6" t="str">
        <f aca="false">IFERROR(__xludf.dummyfunction("""COMPUTED_VALUE"""),"社宅基準の内容について確認しました")</f>
        <v>社宅基準の内容について確認しました</v>
      </c>
      <c r="AG201" s="6" t="str">
        <f aca="false">IFERROR(__xludf.dummyfunction("""COMPUTED_VALUE"""),"入居のしおりの内容についてご確認しました")</f>
        <v>入居のしおりの内容についてご確認しました</v>
      </c>
      <c r="AH201" s="6" t="str">
        <f aca="false">IFERROR(__xludf.dummyfunction("""COMPUTED_VALUE"""),"確認しました")</f>
        <v>確認しました</v>
      </c>
      <c r="AI201" s="6"/>
      <c r="AJ201" s="6" t="str">
        <v/>
      </c>
      <c r="AK201" s="6" t="str">
        <v/>
      </c>
      <c r="AL201" s="6" t="str">
        <v/>
      </c>
      <c r="AM201" s="6" t="str">
        <v/>
      </c>
      <c r="AN201" s="6" t="n">
        <f aca="false">TRUE()</f>
        <v>1</v>
      </c>
    </row>
    <row r="202" customFormat="false" ht="52.5" hidden="false" customHeight="true" outlineLevel="0" collapsed="false">
      <c r="A202" s="6" t="str">
        <f aca="false">IFERROR(__xludf.dummyfunction("""COMPUTED_VALUE"""),"2026/02/25 18:59:08")</f>
        <v>2026/02/25 18:59:08</v>
      </c>
      <c r="B202" s="6"/>
      <c r="C202" s="6" t="str">
        <f aca="false">IFERROR(__xludf.dummyfunction("""COMPUTED_VALUE"""),"70507")</f>
        <v>70507</v>
      </c>
      <c r="D202" s="6"/>
      <c r="E202" s="6"/>
      <c r="F202" s="6"/>
      <c r="G202" s="6" t="str">
        <f aca="false">IFERROR(__xludf.dummyfunction("""COMPUTED_VALUE"""),"2026/03/28")</f>
        <v>2026/03/28</v>
      </c>
      <c r="H202" s="6" t="str">
        <f aca="false">IFERROR(__xludf.dummyfunction("""COMPUTED_VALUE"""),"不要")</f>
        <v>不要</v>
      </c>
      <c r="I202" s="6" t="str">
        <f aca="false">IFERROR(__xludf.dummyfunction("""COMPUTED_VALUE"""),"男性")</f>
        <v>男性</v>
      </c>
      <c r="J202" s="6" t="str">
        <f aca="false">IFERROR(__xludf.dummyfunction("""COMPUTED_VALUE"""),"日本")</f>
        <v>日本</v>
      </c>
      <c r="K202" s="6"/>
      <c r="L202" s="6"/>
      <c r="M202" s="6"/>
      <c r="N202" s="6"/>
      <c r="O202" s="6" t="str">
        <f aca="false">IFERROR(__xludf.dummyfunction("""COMPUTED_VALUE"""),"必要")</f>
        <v>必要</v>
      </c>
      <c r="P202" s="6" t="str">
        <f aca="false">IFERROR(__xludf.dummyfunction("""COMPUTED_VALUE"""),"ミラ")</f>
        <v>ミラ</v>
      </c>
      <c r="Q202" s="6" t="str">
        <f aca="false">IFERROR(__xludf.dummyfunction("""COMPUTED_VALUE"""),"た56-28")</f>
        <v>た56-28</v>
      </c>
      <c r="R202" s="6" t="str">
        <f aca="false">IFERROR(__xludf.dummyfunction("""COMPUTED_VALUE"""),"ライトローズマイカメタリック")</f>
        <v>ライトローズマイカメタリック</v>
      </c>
      <c r="S202" s="6" t="str">
        <f aca="false">IFERROR(__xludf.dummyfunction("""COMPUTED_VALUE"""),"家具家電なし社宅")</f>
        <v>家具家電なし社宅</v>
      </c>
      <c r="T202" s="6" t="str">
        <f aca="false">IFERROR(__xludf.dummyfunction("""COMPUTED_VALUE"""),"利用しない")</f>
        <v>利用しない</v>
      </c>
      <c r="U202" s="6"/>
      <c r="V202" s="6" t="str">
        <f aca="false">IFERROR(__xludf.dummyfunction("""COMPUTED_VALUE"""),"自転車")</f>
        <v>自転車</v>
      </c>
      <c r="W202" s="6"/>
      <c r="X202" s="6" t="str">
        <f aca="false">IFERROR(__xludf.dummyfunction("""COMPUTED_VALUE"""),"株式会社ビーネックステクノロジーズの社宅")</f>
        <v>株式会社ビーネックステクノロジーズの社宅</v>
      </c>
      <c r="Y202" s="6" t="str">
        <f aca="false">IFERROR(__xludf.dummyfunction("""COMPUTED_VALUE"""),"利用なし")</f>
        <v>利用なし</v>
      </c>
      <c r="Z202" s="6" t="str">
        <f aca="false">IFERROR(__xludf.dummyfunction("""COMPUTED_VALUE"""),"希望する")</f>
        <v>希望する</v>
      </c>
      <c r="AA202" s="6" t="str">
        <f aca="false">IFERROR(__xludf.dummyfunction("""COMPUTED_VALUE"""),"単身")</f>
        <v>単身</v>
      </c>
      <c r="AB202" s="6"/>
      <c r="AC202" s="6"/>
      <c r="AD202" s="6"/>
      <c r="AE202" s="6" t="str">
        <f aca="false">IFERROR(__xludf.dummyfunction("""COMPUTED_VALUE"""),"確認しました。")</f>
        <v>確認しました。</v>
      </c>
      <c r="AF202" s="6" t="str">
        <f aca="false">IFERROR(__xludf.dummyfunction("""COMPUTED_VALUE"""),"社宅基準の内容について確認しました")</f>
        <v>社宅基準の内容について確認しました</v>
      </c>
      <c r="AG202" s="6" t="str">
        <f aca="false">IFERROR(__xludf.dummyfunction("""COMPUTED_VALUE"""),"入居のしおりの内容についてご確認しました")</f>
        <v>入居のしおりの内容についてご確認しました</v>
      </c>
      <c r="AH202" s="6" t="str">
        <f aca="false">IFERROR(__xludf.dummyfunction("""COMPUTED_VALUE"""),"確認しました")</f>
        <v>確認しました</v>
      </c>
      <c r="AI202" s="6"/>
      <c r="AJ202" s="6" t="str">
        <v/>
      </c>
      <c r="AK202" s="6" t="str">
        <v/>
      </c>
      <c r="AL202" s="6" t="str">
        <v/>
      </c>
      <c r="AM202" s="6" t="str">
        <v/>
      </c>
      <c r="AN202" s="6" t="n">
        <f aca="false">TRUE()</f>
        <v>1</v>
      </c>
    </row>
    <row r="203" customFormat="false" ht="52.5" hidden="false" customHeight="true" outlineLevel="0" collapsed="false">
      <c r="A203" s="6" t="str">
        <f aca="false">IFERROR(__xludf.dummyfunction("""COMPUTED_VALUE"""),"2026/02/25 19:35:05")</f>
        <v>2026/02/25 19:35:05</v>
      </c>
      <c r="B203" s="6"/>
      <c r="C203" s="6" t="str">
        <f aca="false">IFERROR(__xludf.dummyfunction("""COMPUTED_VALUE"""),"70498")</f>
        <v>70498</v>
      </c>
      <c r="D203" s="6"/>
      <c r="E203" s="6"/>
      <c r="F203" s="6"/>
      <c r="G203" s="6" t="str">
        <f aca="false">IFERROR(__xludf.dummyfunction("""COMPUTED_VALUE"""),"2026/05/31")</f>
        <v>2026/05/31</v>
      </c>
      <c r="H203" s="6" t="str">
        <f aca="false">IFERROR(__xludf.dummyfunction("""COMPUTED_VALUE"""),"不要")</f>
        <v>不要</v>
      </c>
      <c r="I203" s="6" t="str">
        <f aca="false">IFERROR(__xludf.dummyfunction("""COMPUTED_VALUE"""),"男性")</f>
        <v>男性</v>
      </c>
      <c r="J203" s="6" t="str">
        <f aca="false">IFERROR(__xludf.dummyfunction("""COMPUTED_VALUE"""),"日本")</f>
        <v>日本</v>
      </c>
      <c r="K203" s="6"/>
      <c r="L203" s="6"/>
      <c r="M203" s="6"/>
      <c r="N203" s="6"/>
      <c r="O203" s="6" t="str">
        <f aca="false">IFERROR(__xludf.dummyfunction("""COMPUTED_VALUE"""),"必要")</f>
        <v>必要</v>
      </c>
      <c r="P203" s="6" t="str">
        <f aca="false">IFERROR(__xludf.dummyfunction("""COMPUTED_VALUE"""),"フリード")</f>
        <v>フリード</v>
      </c>
      <c r="Q203" s="6" t="str">
        <f aca="false">IFERROR(__xludf.dummyfunction("""COMPUTED_VALUE"""),"も75-09")</f>
        <v>も75-09</v>
      </c>
      <c r="R203" s="6" t="str">
        <f aca="false">IFERROR(__xludf.dummyfunction("""COMPUTED_VALUE"""),"赤")</f>
        <v>赤</v>
      </c>
      <c r="S203" s="6" t="str">
        <f aca="false">IFERROR(__xludf.dummyfunction("""COMPUTED_VALUE"""),"家具家電なし社宅")</f>
        <v>家具家電なし社宅</v>
      </c>
      <c r="T203" s="6" t="str">
        <f aca="false">IFERROR(__xludf.dummyfunction("""COMPUTED_VALUE"""),"利用しない")</f>
        <v>利用しない</v>
      </c>
      <c r="U203" s="6"/>
      <c r="V203" s="6" t="str">
        <f aca="false">IFERROR(__xludf.dummyfunction("""COMPUTED_VALUE"""),"電車, バス")</f>
        <v>電車, バス</v>
      </c>
      <c r="W203" s="6"/>
      <c r="X203" s="6" t="str">
        <f aca="false">IFERROR(__xludf.dummyfunction("""COMPUTED_VALUE"""),"株式会社ビーネックステクノロジーズの社宅")</f>
        <v>株式会社ビーネックステクノロジーズの社宅</v>
      </c>
      <c r="Y203" s="6" t="str">
        <f aca="false">IFERROR(__xludf.dummyfunction("""COMPUTED_VALUE"""),"利用なし")</f>
        <v>利用なし</v>
      </c>
      <c r="Z203" s="6" t="str">
        <f aca="false">IFERROR(__xludf.dummyfunction("""COMPUTED_VALUE"""),"希望する")</f>
        <v>希望する</v>
      </c>
      <c r="AA203" s="6" t="str">
        <f aca="false">IFERROR(__xludf.dummyfunction("""COMPUTED_VALUE"""),"家族")</f>
        <v>家族</v>
      </c>
      <c r="AB203" s="6" t="str">
        <f aca="false">IFERROR(__xludf.dummyfunction("""COMPUTED_VALUE"""),"氏名：眞砂永季　（旧姓;松原）
フリガナ：マサゴハルキ
生年月日：1971.05.15
携帯番号：09088775528
")</f>
        <v>氏名：眞砂永季　（旧姓;松原）
フリガナ：マサゴハルキ
生年月日：1971.05.15
携帯番号：09088775528
</v>
      </c>
      <c r="AC203" s="6"/>
      <c r="AD203" s="6" t="str">
        <f aca="false">IFERROR(__xludf.dummyfunction("""COMPUTED_VALUE"""),"5月末まで目処に、良い物件があり次第。
特別急いではいない。
現在（みなとみらい）と、おそらく2年から5年後（新杉田）までに戻る派遣先就業場所にそのまま通いやすい位置。
横浜市鶴見区馬場近郊、神奈川区。
駐車料金は¥15000程度まで。
1LDK、2DK、2LDK、3DK")</f>
        <v>5月末まで目処に、良い物件があり次第。
特別急いではいない。
現在（みなとみらい）と、おそらく2年から5年後（新杉田）までに戻る派遣先就業場所にそのまま通いやすい位置。
横浜市鶴見区馬場近郊、神奈川区。
駐車料金は¥15000程度まで。
1LDK、2DK、2LDK、3DK</v>
      </c>
      <c r="AE203" s="6" t="str">
        <f aca="false">IFERROR(__xludf.dummyfunction("""COMPUTED_VALUE"""),"確認しました。")</f>
        <v>確認しました。</v>
      </c>
      <c r="AF203" s="6" t="str">
        <f aca="false">IFERROR(__xludf.dummyfunction("""COMPUTED_VALUE"""),"社宅基準の内容について確認しました")</f>
        <v>社宅基準の内容について確認しました</v>
      </c>
      <c r="AG203" s="6" t="str">
        <f aca="false">IFERROR(__xludf.dummyfunction("""COMPUTED_VALUE"""),"入居のしおりの内容についてご確認しました")</f>
        <v>入居のしおりの内容についてご確認しました</v>
      </c>
      <c r="AH203" s="6" t="str">
        <f aca="false">IFERROR(__xludf.dummyfunction("""COMPUTED_VALUE"""),"確認しました")</f>
        <v>確認しました</v>
      </c>
      <c r="AI203" s="6"/>
      <c r="AJ203" s="6" t="str">
        <v/>
      </c>
      <c r="AK203" s="6" t="str">
        <v/>
      </c>
      <c r="AL203" s="6" t="str">
        <v/>
      </c>
      <c r="AM203" s="6" t="str">
        <v/>
      </c>
      <c r="AN203" s="6" t="n">
        <f aca="false">FALSE()</f>
        <v>0</v>
      </c>
    </row>
    <row r="204" customFormat="false" ht="52.5" hidden="false" customHeight="true" outlineLevel="0" collapsed="false">
      <c r="A204" s="6" t="str">
        <f aca="false">IFERROR(__xludf.dummyfunction("""COMPUTED_VALUE"""),"2026/02/25 21:09:04")</f>
        <v>2026/02/25 21:09:04</v>
      </c>
      <c r="B204" s="6"/>
      <c r="C204" s="6" t="str">
        <f aca="false">IFERROR(__xludf.dummyfunction("""COMPUTED_VALUE"""),"70471")</f>
        <v>70471</v>
      </c>
      <c r="D204" s="6"/>
      <c r="E204" s="6"/>
      <c r="F204" s="6"/>
      <c r="G204" s="6" t="str">
        <f aca="false">IFERROR(__xludf.dummyfunction("""COMPUTED_VALUE"""),"2026/04/01")</f>
        <v>2026/04/01</v>
      </c>
      <c r="H204" s="6" t="str">
        <f aca="false">IFERROR(__xludf.dummyfunction("""COMPUTED_VALUE"""),"必要")</f>
        <v>必要</v>
      </c>
      <c r="I204" s="6" t="str">
        <f aca="false">IFERROR(__xludf.dummyfunction("""COMPUTED_VALUE"""),"男性")</f>
        <v>男性</v>
      </c>
      <c r="J204" s="6" t="str">
        <f aca="false">IFERROR(__xludf.dummyfunction("""COMPUTED_VALUE"""),"日本")</f>
        <v>日本</v>
      </c>
      <c r="K204" s="6" t="str">
        <f aca="false">IFERROR(__xludf.dummyfunction("""COMPUTED_VALUE"""),"5")</f>
        <v>5</v>
      </c>
      <c r="L204" s="6" t="str">
        <f aca="false">IFERROR(__xludf.dummyfunction("""COMPUTED_VALUE"""),"冷蔵庫(2ドア)、洗濯機(縦型5kg)、電子レンジ、空気清浄機、電気ケトル")</f>
        <v>冷蔵庫(2ドア)、洗濯機(縦型5kg)、電子レンジ、空気清浄機、電気ケトル</v>
      </c>
      <c r="M204" s="6" t="str">
        <f aca="false">IFERROR(__xludf.dummyfunction("""COMPUTED_VALUE"""),"作業デスク(縦横高=60cm,180cm, 80cm)、デスク(縦横高=40cm, 1m, 70cm)")</f>
        <v>作業デスク(縦横高=60cm,180cm, 80cm)、デスク(縦横高=40cm, 1m, 70cm)</v>
      </c>
      <c r="N204" s="6" t="str">
        <f aca="false">IFERROR(__xludf.dummyfunction("""COMPUTED_VALUE"""),"デスクトップパソコン2台(両方大きめ)")</f>
        <v>デスクトップパソコン2台(両方大きめ)</v>
      </c>
      <c r="O204" s="6" t="str">
        <f aca="false">IFERROR(__xludf.dummyfunction("""COMPUTED_VALUE"""),"必要")</f>
        <v>必要</v>
      </c>
      <c r="P204" s="6" t="str">
        <f aca="false">IFERROR(__xludf.dummyfunction("""COMPUTED_VALUE"""),"スズキ　クロスビー")</f>
        <v>スズキ　クロスビー</v>
      </c>
      <c r="Q204" s="6" t="str">
        <f aca="false">IFERROR(__xludf.dummyfunction("""COMPUTED_VALUE"""),"ほ　79-1")</f>
        <v>ほ　79-1</v>
      </c>
      <c r="R204" s="6" t="str">
        <f aca="false">IFERROR(__xludf.dummyfunction("""COMPUTED_VALUE"""),"アイボリー")</f>
        <v>アイボリー</v>
      </c>
      <c r="S204" s="6" t="str">
        <f aca="false">IFERROR(__xludf.dummyfunction("""COMPUTED_VALUE"""),"家具家電なし社宅")</f>
        <v>家具家電なし社宅</v>
      </c>
      <c r="T204" s="6" t="str">
        <f aca="false">IFERROR(__xludf.dummyfunction("""COMPUTED_VALUE"""),"利用しない")</f>
        <v>利用しない</v>
      </c>
      <c r="U204" s="6"/>
      <c r="V204" s="6" t="str">
        <f aca="false">IFERROR(__xludf.dummyfunction("""COMPUTED_VALUE"""),"自動車")</f>
        <v>自動車</v>
      </c>
      <c r="W204" s="6"/>
      <c r="X204" s="6" t="str">
        <f aca="false">IFERROR(__xludf.dummyfunction("""COMPUTED_VALUE"""),"株式会社ビーネックステクノロジーズの社宅")</f>
        <v>株式会社ビーネックステクノロジーズの社宅</v>
      </c>
      <c r="Y204" s="6" t="str">
        <f aca="false">IFERROR(__xludf.dummyfunction("""COMPUTED_VALUE"""),"利用なし")</f>
        <v>利用なし</v>
      </c>
      <c r="Z204" s="6" t="str">
        <f aca="false">IFERROR(__xludf.dummyfunction("""COMPUTED_VALUE"""),"希望する")</f>
        <v>希望する</v>
      </c>
      <c r="AA204" s="6" t="str">
        <f aca="false">IFERROR(__xludf.dummyfunction("""COMPUTED_VALUE"""),"単身")</f>
        <v>単身</v>
      </c>
      <c r="AB204" s="6"/>
      <c r="AC204" s="6"/>
      <c r="AD204" s="6" t="str">
        <f aca="false">IFERROR(__xludf.dummyfunction("""COMPUTED_VALUE"""),"独立洗面台付きの物件が望ましいです。")</f>
        <v>独立洗面台付きの物件が望ましいです。</v>
      </c>
      <c r="AE204" s="6" t="str">
        <f aca="false">IFERROR(__xludf.dummyfunction("""COMPUTED_VALUE"""),"確認しました。")</f>
        <v>確認しました。</v>
      </c>
      <c r="AF204" s="6" t="str">
        <f aca="false">IFERROR(__xludf.dummyfunction("""COMPUTED_VALUE"""),"社宅基準の内容について確認しました")</f>
        <v>社宅基準の内容について確認しました</v>
      </c>
      <c r="AG204" s="6" t="str">
        <f aca="false">IFERROR(__xludf.dummyfunction("""COMPUTED_VALUE"""),"入居のしおりの内容についてご確認しました")</f>
        <v>入居のしおりの内容についてご確認しました</v>
      </c>
      <c r="AH204" s="6" t="str">
        <f aca="false">IFERROR(__xludf.dummyfunction("""COMPUTED_VALUE"""),"確認しました")</f>
        <v>確認しました</v>
      </c>
      <c r="AI204" s="6"/>
      <c r="AJ204" s="6" t="str">
        <v/>
      </c>
      <c r="AK204" s="6" t="str">
        <v/>
      </c>
      <c r="AL204" s="6" t="str">
        <v/>
      </c>
      <c r="AM204" s="6" t="str">
        <v/>
      </c>
      <c r="AN204" s="6" t="n">
        <f aca="false">FALSE()</f>
        <v>0</v>
      </c>
    </row>
    <row r="205" customFormat="false" ht="52.5" hidden="false" customHeight="true" outlineLevel="0" collapsed="false">
      <c r="A205" s="6" t="str">
        <f aca="false">IFERROR(__xludf.dummyfunction("""COMPUTED_VALUE"""),"2026/02/25 21:31:46")</f>
        <v>2026/02/25 21:31:46</v>
      </c>
      <c r="B205" s="6"/>
      <c r="C205" s="6" t="str">
        <f aca="false">IFERROR(__xludf.dummyfunction("""COMPUTED_VALUE"""),"70328")</f>
        <v>70328</v>
      </c>
      <c r="D205" s="6"/>
      <c r="E205" s="6"/>
      <c r="F205" s="6"/>
      <c r="G205" s="6" t="str">
        <f aca="false">IFERROR(__xludf.dummyfunction("""COMPUTED_VALUE"""),"2026/03/28")</f>
        <v>2026/03/28</v>
      </c>
      <c r="H205" s="6" t="str">
        <f aca="false">IFERROR(__xludf.dummyfunction("""COMPUTED_VALUE"""),"必要")</f>
        <v>必要</v>
      </c>
      <c r="I205" s="6" t="str">
        <f aca="false">IFERROR(__xludf.dummyfunction("""COMPUTED_VALUE"""),"女性")</f>
        <v>女性</v>
      </c>
      <c r="J205" s="6" t="str">
        <f aca="false">IFERROR(__xludf.dummyfunction("""COMPUTED_VALUE"""),"日本")</f>
        <v>日本</v>
      </c>
      <c r="K205" s="6" t="str">
        <f aca="false">IFERROR(__xludf.dummyfunction("""COMPUTED_VALUE"""),"15")</f>
        <v>15</v>
      </c>
      <c r="L205" s="6" t="str">
        <f aca="false">IFERROR(__xludf.dummyfunction("""COMPUTED_VALUE"""),"オーブン小、扇風機")</f>
        <v>オーブン小、扇風機</v>
      </c>
      <c r="M205" s="6" t="str">
        <f aca="false">IFERROR(__xludf.dummyfunction("""COMPUTED_VALUE"""),"ハンガーラック(100cm, 145cm,30cm)、ベットマットレスセミダブル(250cm, 80cm, 30cm)、机(80cm, 50cm, 40cm)、電灯、小さい棚、折りたたみ物干し竿")</f>
        <v>ハンガーラック(100cm, 145cm,30cm)、ベットマットレスセミダブル(250cm, 80cm, 30cm)、机(80cm, 50cm, 40cm)、電灯、小さい棚、折りたたみ物干し竿</v>
      </c>
      <c r="N205" s="6"/>
      <c r="O205" s="6" t="str">
        <f aca="false">IFERROR(__xludf.dummyfunction("""COMPUTED_VALUE"""),"不要")</f>
        <v>不要</v>
      </c>
      <c r="P205" s="6"/>
      <c r="Q205" s="6"/>
      <c r="R205" s="6"/>
      <c r="S205" s="6" t="str">
        <f aca="false">IFERROR(__xludf.dummyfunction("""COMPUTED_VALUE"""),"家具家電なし社宅")</f>
        <v>家具家電なし社宅</v>
      </c>
      <c r="T205" s="6" t="str">
        <f aca="false">IFERROR(__xludf.dummyfunction("""COMPUTED_VALUE"""),"利用する")</f>
        <v>利用する</v>
      </c>
      <c r="U205" s="6" t="str">
        <f aca="false">IFERROR(__xludf.dummyfunction("""COMPUTED_VALUE"""),"冷凍冷蔵庫170リットル、電子レンジ、エアコン(社宅に付いていなければ)、洗濯機")</f>
        <v>冷凍冷蔵庫170リットル、電子レンジ、エアコン(社宅に付いていなければ)、洗濯機</v>
      </c>
      <c r="V205" s="6" t="str">
        <f aca="false">IFERROR(__xludf.dummyfunction("""COMPUTED_VALUE"""),"徒歩, 電車, バス, 駅周辺でスーパーなど近い所がいいです。鉄骨で2階以上でエレベーターが付いている所を希望します。")</f>
        <v>徒歩, 電車, バス, 駅周辺でスーパーなど近い所がいいです。鉄骨で2階以上でエレベーターが付いている所を希望します。</v>
      </c>
      <c r="W205" s="6"/>
      <c r="X205" s="6" t="str">
        <f aca="false">IFERROR(__xludf.dummyfunction("""COMPUTED_VALUE"""),"株式会社ビーネックステクノロジーズの社宅")</f>
        <v>株式会社ビーネックステクノロジーズの社宅</v>
      </c>
      <c r="Y205" s="6" t="str">
        <f aca="false">IFERROR(__xludf.dummyfunction("""COMPUTED_VALUE"""),"冷凍冷蔵庫と洗濯機は回収希望　電子レンジ引き継ぎ希望")</f>
        <v>冷凍冷蔵庫と洗濯機は回収希望　電子レンジ引き継ぎ希望</v>
      </c>
      <c r="Z205" s="6" t="str">
        <f aca="false">IFERROR(__xludf.dummyfunction("""COMPUTED_VALUE"""),"希望しない")</f>
        <v>希望しない</v>
      </c>
      <c r="AA205" s="6" t="str">
        <f aca="false">IFERROR(__xludf.dummyfunction("""COMPUTED_VALUE"""),"単身")</f>
        <v>単身</v>
      </c>
      <c r="AB205" s="6"/>
      <c r="AC205" s="6"/>
      <c r="AD205" s="6"/>
      <c r="AE205" s="6" t="str">
        <f aca="false">IFERROR(__xludf.dummyfunction("""COMPUTED_VALUE"""),"確認しました。")</f>
        <v>確認しました。</v>
      </c>
      <c r="AF205" s="6" t="str">
        <f aca="false">IFERROR(__xludf.dummyfunction("""COMPUTED_VALUE"""),"社宅基準の内容について確認しました")</f>
        <v>社宅基準の内容について確認しました</v>
      </c>
      <c r="AG205" s="6" t="str">
        <f aca="false">IFERROR(__xludf.dummyfunction("""COMPUTED_VALUE"""),"入居のしおりの内容についてご確認しました")</f>
        <v>入居のしおりの内容についてご確認しました</v>
      </c>
      <c r="AH205" s="6" t="str">
        <f aca="false">IFERROR(__xludf.dummyfunction("""COMPUTED_VALUE"""),"確認しました")</f>
        <v>確認しました</v>
      </c>
      <c r="AI205" s="6"/>
      <c r="AJ205" s="6" t="str">
        <v/>
      </c>
      <c r="AK205" s="6" t="str">
        <v/>
      </c>
      <c r="AL205" s="6" t="str">
        <v/>
      </c>
      <c r="AM205" s="6" t="str">
        <v/>
      </c>
      <c r="AN205" s="6" t="n">
        <f aca="false">TRUE()</f>
        <v>1</v>
      </c>
    </row>
    <row r="206" customFormat="false" ht="52.5" hidden="false" customHeight="true" outlineLevel="0" collapsed="false">
      <c r="A206" s="6" t="str">
        <f aca="false">IFERROR(__xludf.dummyfunction("""COMPUTED_VALUE"""),"2026/02/25 21:55:54")</f>
        <v>2026/02/25 21:55:54</v>
      </c>
      <c r="B206" s="6"/>
      <c r="C206" s="6" t="str">
        <f aca="false">IFERROR(__xludf.dummyfunction("""COMPUTED_VALUE"""),"70128")</f>
        <v>70128</v>
      </c>
      <c r="D206" s="6"/>
      <c r="E206" s="6"/>
      <c r="F206" s="6"/>
      <c r="G206" s="6" t="str">
        <f aca="false">IFERROR(__xludf.dummyfunction("""COMPUTED_VALUE"""),"2026/03/21")</f>
        <v>2026/03/21</v>
      </c>
      <c r="H206" s="6" t="str">
        <f aca="false">IFERROR(__xludf.dummyfunction("""COMPUTED_VALUE"""),"不要")</f>
        <v>不要</v>
      </c>
      <c r="I206" s="6" t="str">
        <f aca="false">IFERROR(__xludf.dummyfunction("""COMPUTED_VALUE"""),"男性")</f>
        <v>男性</v>
      </c>
      <c r="J206" s="6" t="str">
        <f aca="false">IFERROR(__xludf.dummyfunction("""COMPUTED_VALUE"""),"日本")</f>
        <v>日本</v>
      </c>
      <c r="K206" s="6"/>
      <c r="L206" s="6"/>
      <c r="M206" s="6"/>
      <c r="N206" s="6"/>
      <c r="O206" s="6" t="str">
        <f aca="false">IFERROR(__xludf.dummyfunction("""COMPUTED_VALUE"""),"必要")</f>
        <v>必要</v>
      </c>
      <c r="P206" s="6" t="str">
        <f aca="false">IFERROR(__xludf.dummyfunction("""COMPUTED_VALUE"""),"タントカスタム")</f>
        <v>タントカスタム</v>
      </c>
      <c r="Q206" s="6" t="str">
        <f aca="false">IFERROR(__xludf.dummyfunction("""COMPUTED_VALUE"""),"あ 85-77")</f>
        <v>あ 85-77</v>
      </c>
      <c r="R206" s="6" t="str">
        <f aca="false">IFERROR(__xludf.dummyfunction("""COMPUTED_VALUE"""),"白")</f>
        <v>白</v>
      </c>
      <c r="S206" s="6" t="str">
        <f aca="false">IFERROR(__xludf.dummyfunction("""COMPUTED_VALUE"""),"家具家電なし社宅")</f>
        <v>家具家電なし社宅</v>
      </c>
      <c r="T206" s="6" t="str">
        <f aca="false">IFERROR(__xludf.dummyfunction("""COMPUTED_VALUE"""),"利用しない")</f>
        <v>利用しない</v>
      </c>
      <c r="U206" s="6"/>
      <c r="V206" s="6" t="str">
        <f aca="false">IFERROR(__xludf.dummyfunction("""COMPUTED_VALUE"""),"自動車")</f>
        <v>自動車</v>
      </c>
      <c r="W206" s="6"/>
      <c r="X206" s="6" t="str">
        <f aca="false">IFERROR(__xludf.dummyfunction("""COMPUTED_VALUE"""),"実家")</f>
        <v>実家</v>
      </c>
      <c r="Y206" s="6"/>
      <c r="Z206" s="6" t="str">
        <f aca="false">IFERROR(__xludf.dummyfunction("""COMPUTED_VALUE"""),"希望しない")</f>
        <v>希望しない</v>
      </c>
      <c r="AA206" s="6" t="str">
        <f aca="false">IFERROR(__xludf.dummyfunction("""COMPUTED_VALUE"""),"単身")</f>
        <v>単身</v>
      </c>
      <c r="AB206" s="6"/>
      <c r="AC206" s="6"/>
      <c r="AD206" s="6"/>
      <c r="AE206" s="6" t="str">
        <f aca="false">IFERROR(__xludf.dummyfunction("""COMPUTED_VALUE"""),"確認しました。")</f>
        <v>確認しました。</v>
      </c>
      <c r="AF206" s="6" t="str">
        <f aca="false">IFERROR(__xludf.dummyfunction("""COMPUTED_VALUE"""),"社宅基準の内容について確認しました")</f>
        <v>社宅基準の内容について確認しました</v>
      </c>
      <c r="AG206" s="6" t="str">
        <f aca="false">IFERROR(__xludf.dummyfunction("""COMPUTED_VALUE"""),"入居のしおりの内容についてご確認しました")</f>
        <v>入居のしおりの内容についてご確認しました</v>
      </c>
      <c r="AH206" s="6" t="str">
        <f aca="false">IFERROR(__xludf.dummyfunction("""COMPUTED_VALUE"""),"確認しました")</f>
        <v>確認しました</v>
      </c>
      <c r="AI206" s="6"/>
      <c r="AJ206" s="6" t="str">
        <v/>
      </c>
      <c r="AK206" s="6" t="str">
        <v/>
      </c>
      <c r="AL206" s="6" t="str">
        <v/>
      </c>
      <c r="AM206" s="6" t="str">
        <v/>
      </c>
      <c r="AN206" s="6" t="n">
        <f aca="false">FALSE()</f>
        <v>0</v>
      </c>
    </row>
    <row r="207" customFormat="false" ht="52.5" hidden="false" customHeight="true" outlineLevel="0" collapsed="false">
      <c r="A207" s="6" t="str">
        <f aca="false">IFERROR(__xludf.dummyfunction("""COMPUTED_VALUE"""),"2026/02/26 11:28:14")</f>
        <v>2026/02/26 11:28:14</v>
      </c>
      <c r="B207" s="6"/>
      <c r="C207" s="6" t="str">
        <f aca="false">IFERROR(__xludf.dummyfunction("""COMPUTED_VALUE"""),"70514")</f>
        <v>70514</v>
      </c>
      <c r="D207" s="6"/>
      <c r="E207" s="6"/>
      <c r="F207" s="6"/>
      <c r="G207" s="6" t="str">
        <f aca="false">IFERROR(__xludf.dummyfunction("""COMPUTED_VALUE"""),"2026/04/01")</f>
        <v>2026/04/01</v>
      </c>
      <c r="H207" s="6" t="str">
        <f aca="false">IFERROR(__xludf.dummyfunction("""COMPUTED_VALUE"""),"必要")</f>
        <v>必要</v>
      </c>
      <c r="I207" s="6" t="str">
        <f aca="false">IFERROR(__xludf.dummyfunction("""COMPUTED_VALUE"""),"男性")</f>
        <v>男性</v>
      </c>
      <c r="J207" s="6" t="str">
        <f aca="false">IFERROR(__xludf.dummyfunction("""COMPUTED_VALUE"""),"日本")</f>
        <v>日本</v>
      </c>
      <c r="K207" s="6" t="str">
        <f aca="false">IFERROR(__xludf.dummyfunction("""COMPUTED_VALUE"""),"10")</f>
        <v>10</v>
      </c>
      <c r="L207" s="6" t="str">
        <f aca="false">IFERROR(__xludf.dummyfunction("""COMPUTED_VALUE"""),"冷蔵庫（単身用2ドア）、テレビ、電子レンジ、炊飯器、電気ケトル、洗濯機、")</f>
        <v>冷蔵庫（単身用2ドア）、テレビ、電子レンジ、炊飯器、電気ケトル、洗濯機、</v>
      </c>
      <c r="M207" s="6" t="str">
        <f aca="false">IFERROR(__xludf.dummyfunction("""COMPUTED_VALUE"""),"テレビ台、ベット（シングル）、机（横幅72センチ奥行50センチ）、")</f>
        <v>テレビ台、ベット（シングル）、机（横幅72センチ奥行50センチ）、</v>
      </c>
      <c r="N207" s="6" t="str">
        <f aca="false">IFERROR(__xludf.dummyfunction("""COMPUTED_VALUE"""),"自転車")</f>
        <v>自転車</v>
      </c>
      <c r="O207" s="6" t="str">
        <f aca="false">IFERROR(__xludf.dummyfunction("""COMPUTED_VALUE"""),"不要")</f>
        <v>不要</v>
      </c>
      <c r="P207" s="6"/>
      <c r="Q207" s="6"/>
      <c r="R207" s="6"/>
      <c r="S207" s="6" t="str">
        <f aca="false">IFERROR(__xludf.dummyfunction("""COMPUTED_VALUE"""),"家具家電なし社宅")</f>
        <v>家具家電なし社宅</v>
      </c>
      <c r="T207" s="6" t="str">
        <f aca="false">IFERROR(__xludf.dummyfunction("""COMPUTED_VALUE"""),"利用しない")</f>
        <v>利用しない</v>
      </c>
      <c r="U207" s="6"/>
      <c r="V207" s="6" t="str">
        <f aca="false">IFERROR(__xludf.dummyfunction("""COMPUTED_VALUE"""),"電車")</f>
        <v>電車</v>
      </c>
      <c r="W207" s="6"/>
      <c r="X207" s="6" t="str">
        <f aca="false">IFERROR(__xludf.dummyfunction("""COMPUTED_VALUE"""),"株式会社ビーネックステクノロジーズの社宅")</f>
        <v>株式会社ビーネックステクノロジーズの社宅</v>
      </c>
      <c r="Y207" s="6" t="str">
        <f aca="false">IFERROR(__xludf.dummyfunction("""COMPUTED_VALUE"""),"利用なし")</f>
        <v>利用なし</v>
      </c>
      <c r="Z207" s="6" t="str">
        <f aca="false">IFERROR(__xludf.dummyfunction("""COMPUTED_VALUE"""),"希望しない")</f>
        <v>希望しない</v>
      </c>
      <c r="AA207" s="6" t="str">
        <f aca="false">IFERROR(__xludf.dummyfunction("""COMPUTED_VALUE"""),"単身")</f>
        <v>単身</v>
      </c>
      <c r="AB207" s="6"/>
      <c r="AC207" s="6"/>
      <c r="AD207" s="6"/>
      <c r="AE207" s="6" t="str">
        <f aca="false">IFERROR(__xludf.dummyfunction("""COMPUTED_VALUE"""),"確認しました。")</f>
        <v>確認しました。</v>
      </c>
      <c r="AF207" s="6" t="str">
        <f aca="false">IFERROR(__xludf.dummyfunction("""COMPUTED_VALUE"""),"社宅基準の内容について確認しました")</f>
        <v>社宅基準の内容について確認しました</v>
      </c>
      <c r="AG207" s="6" t="str">
        <f aca="false">IFERROR(__xludf.dummyfunction("""COMPUTED_VALUE"""),"入居のしおりの内容についてご確認しました")</f>
        <v>入居のしおりの内容についてご確認しました</v>
      </c>
      <c r="AH207" s="6" t="str">
        <f aca="false">IFERROR(__xludf.dummyfunction("""COMPUTED_VALUE"""),"確認しました")</f>
        <v>確認しました</v>
      </c>
      <c r="AI207" s="6"/>
      <c r="AJ207" s="6" t="str">
        <v/>
      </c>
      <c r="AK207" s="6" t="str">
        <v/>
      </c>
      <c r="AL207" s="6" t="str">
        <v/>
      </c>
      <c r="AM207" s="6" t="str">
        <v/>
      </c>
      <c r="AN207" s="6" t="n">
        <f aca="false">FALSE()</f>
        <v>0</v>
      </c>
    </row>
    <row r="208" customFormat="false" ht="52.5" hidden="false" customHeight="true" outlineLevel="0" collapsed="false">
      <c r="A208" s="6" t="str">
        <f aca="false">IFERROR(__xludf.dummyfunction("""COMPUTED_VALUE"""),"2026/02/26 12:18:07")</f>
        <v>2026/02/26 12:18:07</v>
      </c>
      <c r="B208" s="6"/>
      <c r="C208" s="6" t="str">
        <f aca="false">IFERROR(__xludf.dummyfunction("""COMPUTED_VALUE"""),"70478")</f>
        <v>70478</v>
      </c>
      <c r="D208" s="6"/>
      <c r="E208" s="6"/>
      <c r="F208" s="6"/>
      <c r="G208" s="6" t="str">
        <f aca="false">IFERROR(__xludf.dummyfunction("""COMPUTED_VALUE"""),"2026/03/20")</f>
        <v>2026/03/20</v>
      </c>
      <c r="H208" s="6" t="str">
        <f aca="false">IFERROR(__xludf.dummyfunction("""COMPUTED_VALUE"""),"必要")</f>
        <v>必要</v>
      </c>
      <c r="I208" s="6" t="str">
        <f aca="false">IFERROR(__xludf.dummyfunction("""COMPUTED_VALUE"""),"男性")</f>
        <v>男性</v>
      </c>
      <c r="J208" s="6" t="str">
        <f aca="false">IFERROR(__xludf.dummyfunction("""COMPUTED_VALUE"""),"日本")</f>
        <v>日本</v>
      </c>
      <c r="K208" s="6" t="str">
        <f aca="false">IFERROR(__xludf.dummyfunction("""COMPUTED_VALUE"""),"5")</f>
        <v>5</v>
      </c>
      <c r="L208" s="6" t="str">
        <f aca="false">IFERROR(__xludf.dummyfunction("""COMPUTED_VALUE"""),"パソコン")</f>
        <v>パソコン</v>
      </c>
      <c r="M208" s="6" t="str">
        <f aca="false">IFERROR(__xludf.dummyfunction("""COMPUTED_VALUE"""),"プラダンス1デスク１椅子1")</f>
        <v>プラダンス1デスク１椅子1</v>
      </c>
      <c r="N208" s="6" t="str">
        <f aca="false">IFERROR(__xludf.dummyfunction("""COMPUTED_VALUE"""),"OTODASUライト１")</f>
        <v>OTODASUライト１</v>
      </c>
      <c r="O208" s="6" t="str">
        <f aca="false">IFERROR(__xludf.dummyfunction("""COMPUTED_VALUE"""),"不要")</f>
        <v>不要</v>
      </c>
      <c r="P208" s="6"/>
      <c r="Q208" s="6"/>
      <c r="R208" s="6"/>
      <c r="S208" s="6" t="str">
        <f aca="false">IFERROR(__xludf.dummyfunction("""COMPUTED_VALUE"""),"家具家電なし社宅")</f>
        <v>家具家電なし社宅</v>
      </c>
      <c r="T208" s="6" t="str">
        <f aca="false">IFERROR(__xludf.dummyfunction("""COMPUTED_VALUE"""),"利用しない")</f>
        <v>利用しない</v>
      </c>
      <c r="U208" s="6"/>
      <c r="V208" s="6" t="str">
        <f aca="false">IFERROR(__xludf.dummyfunction("""COMPUTED_VALUE"""),"徒歩, 自転車, 電車")</f>
        <v>徒歩, 自転車, 電車</v>
      </c>
      <c r="W208" s="6"/>
      <c r="X208" s="6" t="str">
        <f aca="false">IFERROR(__xludf.dummyfunction("""COMPUTED_VALUE"""),"実家")</f>
        <v>実家</v>
      </c>
      <c r="Y208" s="6"/>
      <c r="Z208" s="6" t="str">
        <f aca="false">IFERROR(__xludf.dummyfunction("""COMPUTED_VALUE"""),"希望しない")</f>
        <v>希望しない</v>
      </c>
      <c r="AA208" s="6" t="str">
        <f aca="false">IFERROR(__xludf.dummyfunction("""COMPUTED_VALUE"""),"単身")</f>
        <v>単身</v>
      </c>
      <c r="AB208" s="6"/>
      <c r="AC208" s="6"/>
      <c r="AD208" s="6" t="str">
        <f aca="false">IFERROR(__xludf.dummyfunction("""COMPUTED_VALUE"""),"光ファイバーの光回線が通せること")</f>
        <v>光ファイバーの光回線が通せること</v>
      </c>
      <c r="AE208" s="6" t="str">
        <f aca="false">IFERROR(__xludf.dummyfunction("""COMPUTED_VALUE"""),"確認しました。")</f>
        <v>確認しました。</v>
      </c>
      <c r="AF208" s="6" t="str">
        <f aca="false">IFERROR(__xludf.dummyfunction("""COMPUTED_VALUE"""),"社宅基準の内容について確認しました")</f>
        <v>社宅基準の内容について確認しました</v>
      </c>
      <c r="AG208" s="6" t="str">
        <f aca="false">IFERROR(__xludf.dummyfunction("""COMPUTED_VALUE"""),"入居のしおりの内容についてご確認しました")</f>
        <v>入居のしおりの内容についてご確認しました</v>
      </c>
      <c r="AH208" s="6" t="str">
        <f aca="false">IFERROR(__xludf.dummyfunction("""COMPUTED_VALUE"""),"確認しました")</f>
        <v>確認しました</v>
      </c>
      <c r="AI208" s="6"/>
      <c r="AJ208" s="6" t="str">
        <v/>
      </c>
      <c r="AK208" s="6" t="str">
        <v/>
      </c>
      <c r="AL208" s="6" t="str">
        <v/>
      </c>
      <c r="AM208" s="6" t="str">
        <v/>
      </c>
      <c r="AN208" s="6" t="n">
        <f aca="false">FALSE()</f>
        <v>0</v>
      </c>
    </row>
    <row r="209" customFormat="false" ht="52.5" hidden="false" customHeight="true" outlineLevel="0" collapsed="false">
      <c r="A209" s="6" t="str">
        <f aca="false">IFERROR(__xludf.dummyfunction("""COMPUTED_VALUE"""),"2026/02/26 13:41:13")</f>
        <v>2026/02/26 13:41:13</v>
      </c>
      <c r="B209" s="6"/>
      <c r="C209" s="6" t="str">
        <f aca="false">IFERROR(__xludf.dummyfunction("""COMPUTED_VALUE"""),"70540")</f>
        <v>70540</v>
      </c>
      <c r="D209" s="6"/>
      <c r="E209" s="6"/>
      <c r="F209" s="6"/>
      <c r="G209" s="6" t="str">
        <f aca="false">IFERROR(__xludf.dummyfunction("""COMPUTED_VALUE"""),"2026/03/18")</f>
        <v>2026/03/18</v>
      </c>
      <c r="H209" s="6" t="str">
        <f aca="false">IFERROR(__xludf.dummyfunction("""COMPUTED_VALUE"""),"必要")</f>
        <v>必要</v>
      </c>
      <c r="I209" s="6" t="str">
        <f aca="false">IFERROR(__xludf.dummyfunction("""COMPUTED_VALUE"""),"男性")</f>
        <v>男性</v>
      </c>
      <c r="J209" s="6" t="str">
        <f aca="false">IFERROR(__xludf.dummyfunction("""COMPUTED_VALUE"""),"日本")</f>
        <v>日本</v>
      </c>
      <c r="K209" s="6" t="str">
        <f aca="false">IFERROR(__xludf.dummyfunction("""COMPUTED_VALUE"""),"4")</f>
        <v>4</v>
      </c>
      <c r="L209" s="6" t="str">
        <f aca="false">IFERROR(__xludf.dummyfunction("""COMPUTED_VALUE"""),"テレビ")</f>
        <v>テレビ</v>
      </c>
      <c r="M209" s="6" t="str">
        <f aca="false">IFERROR(__xludf.dummyfunction("""COMPUTED_VALUE"""),"棚3個")</f>
        <v>棚3個</v>
      </c>
      <c r="N209" s="6" t="str">
        <f aca="false">IFERROR(__xludf.dummyfunction("""COMPUTED_VALUE"""),"自転車")</f>
        <v>自転車</v>
      </c>
      <c r="O209" s="6" t="str">
        <f aca="false">IFERROR(__xludf.dummyfunction("""COMPUTED_VALUE"""),"不要")</f>
        <v>不要</v>
      </c>
      <c r="P209" s="6"/>
      <c r="Q209" s="6"/>
      <c r="R209" s="6"/>
      <c r="S209" s="6" t="str">
        <f aca="false">IFERROR(__xludf.dummyfunction("""COMPUTED_VALUE"""),"家具家電付き社宅")</f>
        <v>家具家電付き社宅</v>
      </c>
      <c r="T209" s="6" t="str">
        <f aca="false">IFERROR(__xludf.dummyfunction("""COMPUTED_VALUE"""),"利用しない")</f>
        <v>利用しない</v>
      </c>
      <c r="U209" s="6"/>
      <c r="V209" s="6" t="str">
        <f aca="false">IFERROR(__xludf.dummyfunction("""COMPUTED_VALUE"""),"徒歩, 自動車, 電車")</f>
        <v>徒歩, 自動車, 電車</v>
      </c>
      <c r="W209" s="6"/>
      <c r="X209" s="6" t="str">
        <f aca="false">IFERROR(__xludf.dummyfunction("""COMPUTED_VALUE"""),"実家")</f>
        <v>実家</v>
      </c>
      <c r="Y209" s="6"/>
      <c r="Z209" s="6" t="str">
        <f aca="false">IFERROR(__xludf.dummyfunction("""COMPUTED_VALUE"""),"希望する")</f>
        <v>希望する</v>
      </c>
      <c r="AA209" s="6" t="str">
        <f aca="false">IFERROR(__xludf.dummyfunction("""COMPUTED_VALUE"""),"単身")</f>
        <v>単身</v>
      </c>
      <c r="AB209" s="6"/>
      <c r="AC209" s="6"/>
      <c r="AD209" s="6" t="str">
        <f aca="false">IFERROR(__xludf.dummyfunction("""COMPUTED_VALUE"""),"出来ればガスコンロの物件がいいです。")</f>
        <v>出来ればガスコンロの物件がいいです。</v>
      </c>
      <c r="AE209" s="6" t="str">
        <f aca="false">IFERROR(__xludf.dummyfunction("""COMPUTED_VALUE"""),"確認しました。")</f>
        <v>確認しました。</v>
      </c>
      <c r="AF209" s="6" t="str">
        <f aca="false">IFERROR(__xludf.dummyfunction("""COMPUTED_VALUE"""),"社宅基準の内容について確認しました")</f>
        <v>社宅基準の内容について確認しました</v>
      </c>
      <c r="AG209" s="6" t="str">
        <f aca="false">IFERROR(__xludf.dummyfunction("""COMPUTED_VALUE"""),"入居のしおりの内容についてご確認しました")</f>
        <v>入居のしおりの内容についてご確認しました</v>
      </c>
      <c r="AH209" s="6" t="str">
        <f aca="false">IFERROR(__xludf.dummyfunction("""COMPUTED_VALUE"""),"確認しました")</f>
        <v>確認しました</v>
      </c>
      <c r="AI209" s="6"/>
      <c r="AJ209" s="6" t="str">
        <v/>
      </c>
      <c r="AK209" s="6" t="str">
        <v/>
      </c>
      <c r="AL209" s="6" t="str">
        <v/>
      </c>
      <c r="AM209" s="6" t="str">
        <v/>
      </c>
      <c r="AN209" s="6" t="n">
        <f aca="false">TRUE()</f>
        <v>1</v>
      </c>
    </row>
    <row r="210" customFormat="false" ht="52.5" hidden="false" customHeight="true" outlineLevel="0" collapsed="false">
      <c r="A210" s="6" t="str">
        <f aca="false">IFERROR(__xludf.dummyfunction("""COMPUTED_VALUE"""),"2026/02/26 16:38:31")</f>
        <v>2026/02/26 16:38:31</v>
      </c>
      <c r="B210" s="6"/>
      <c r="C210" s="6" t="str">
        <f aca="false">IFERROR(__xludf.dummyfunction("""COMPUTED_VALUE"""),"70165")</f>
        <v>70165</v>
      </c>
      <c r="D210" s="6"/>
      <c r="E210" s="6"/>
      <c r="F210" s="6"/>
      <c r="G210" s="6" t="str">
        <f aca="false">IFERROR(__xludf.dummyfunction("""COMPUTED_VALUE"""),"2026/03/28")</f>
        <v>2026/03/28</v>
      </c>
      <c r="H210" s="6" t="str">
        <f aca="false">IFERROR(__xludf.dummyfunction("""COMPUTED_VALUE"""),"必要")</f>
        <v>必要</v>
      </c>
      <c r="I210" s="6" t="str">
        <f aca="false">IFERROR(__xludf.dummyfunction("""COMPUTED_VALUE"""),"女性")</f>
        <v>女性</v>
      </c>
      <c r="J210" s="6" t="str">
        <f aca="false">IFERROR(__xludf.dummyfunction("""COMPUTED_VALUE"""),"日本")</f>
        <v>日本</v>
      </c>
      <c r="K210" s="6" t="str">
        <f aca="false">IFERROR(__xludf.dummyfunction("""COMPUTED_VALUE"""),"20")</f>
        <v>20</v>
      </c>
      <c r="L210" s="6" t="str">
        <f aca="false">IFERROR(__xludf.dummyfunction("""COMPUTED_VALUE"""),"小さな膝下位の大きさの洗濯機")</f>
        <v>小さな膝下位の大きさの洗濯機</v>
      </c>
      <c r="M210" s="6" t="str">
        <f aca="false">IFERROR(__xludf.dummyfunction("""COMPUTED_VALUE"""),"ガラスデスク
高さ74㎝
幅100㎝
奥行き30cm
 カラーボックス×3
高さ34㎝
幅34㎝
奥行き29㎝
 チェスト
高さ62㎝
幅100㎝
奥行き30㎝
 スノコベット（折りたたみ）
幅100cm
縦60cm
ラック
高さ80㎝
幅100㎝
奥行き25cm
")</f>
        <v>ガラスデスク
高さ74㎝
幅100㎝
奥行き30cm
 カラーボックス×3
高さ34㎝
幅34㎝
奥行き29㎝
 チェスト
高さ62㎝
幅100㎝
奥行き30㎝
 スノコベット（折りたたみ）
幅100cm
縦60cm
ラック
高さ80㎝
幅100㎝
奥行き25cm
</v>
      </c>
      <c r="N210" s="6" t="str">
        <f aca="false">IFERROR(__xludf.dummyfunction("""COMPUTED_VALUE"""),"無し")</f>
        <v>無し</v>
      </c>
      <c r="O210" s="6" t="str">
        <f aca="false">IFERROR(__xludf.dummyfunction("""COMPUTED_VALUE"""),"不要")</f>
        <v>不要</v>
      </c>
      <c r="P210" s="6"/>
      <c r="Q210" s="6"/>
      <c r="R210" s="6"/>
      <c r="S210" s="6" t="str">
        <f aca="false">IFERROR(__xludf.dummyfunction("""COMPUTED_VALUE"""),"家具家電なし社宅")</f>
        <v>家具家電なし社宅</v>
      </c>
      <c r="T210" s="6" t="str">
        <f aca="false">IFERROR(__xludf.dummyfunction("""COMPUTED_VALUE"""),"利用する")</f>
        <v>利用する</v>
      </c>
      <c r="U210" s="6" t="str">
        <f aca="false">IFERROR(__xludf.dummyfunction("""COMPUTED_VALUE"""),"170ℓ冷蔵庫、電子レンジ、全自動洗濯機")</f>
        <v>170ℓ冷蔵庫、電子レンジ、全自動洗濯機</v>
      </c>
      <c r="V210" s="6" t="str">
        <f aca="false">IFERROR(__xludf.dummyfunction("""COMPUTED_VALUE"""),"電車")</f>
        <v>電車</v>
      </c>
      <c r="W210" s="6"/>
      <c r="X210" s="6" t="str">
        <f aca="false">IFERROR(__xludf.dummyfunction("""COMPUTED_VALUE"""),"株式会社ビーネックステクノロジーズの社宅")</f>
        <v>株式会社ビーネックステクノロジーズの社宅</v>
      </c>
      <c r="Y210" s="6" t="str">
        <f aca="false">IFERROR(__xludf.dummyfunction("""COMPUTED_VALUE"""),"冷蔵庫、洗濯機、電子レンジを使用中で次の社宅へ引き継ぎ希望です")</f>
        <v>冷蔵庫、洗濯機、電子レンジを使用中で次の社宅へ引き継ぎ希望です</v>
      </c>
      <c r="Z210" s="6" t="str">
        <f aca="false">IFERROR(__xludf.dummyfunction("""COMPUTED_VALUE"""),"希望しない")</f>
        <v>希望しない</v>
      </c>
      <c r="AA210" s="6" t="str">
        <f aca="false">IFERROR(__xludf.dummyfunction("""COMPUTED_VALUE"""),"単身")</f>
        <v>単身</v>
      </c>
      <c r="AB210" s="6"/>
      <c r="AC210" s="6"/>
      <c r="AD210" s="6" t="str">
        <f aca="false">IFERROR(__xludf.dummyfunction("""COMPUTED_VALUE"""),"⚪︎都市ガス利用可能なこと
⚪︎水回りが広く比較的綺麗なこと")</f>
        <v>⚪︎都市ガス利用可能なこと
⚪︎水回りが広く比較的綺麗なこと</v>
      </c>
      <c r="AE210" s="6" t="str">
        <f aca="false">IFERROR(__xludf.dummyfunction("""COMPUTED_VALUE"""),"確認しました。")</f>
        <v>確認しました。</v>
      </c>
      <c r="AF210" s="6" t="str">
        <f aca="false">IFERROR(__xludf.dummyfunction("""COMPUTED_VALUE"""),"社宅基準の内容について確認しました")</f>
        <v>社宅基準の内容について確認しました</v>
      </c>
      <c r="AG210" s="6" t="str">
        <f aca="false">IFERROR(__xludf.dummyfunction("""COMPUTED_VALUE"""),"入居のしおりの内容についてご確認しました")</f>
        <v>入居のしおりの内容についてご確認しました</v>
      </c>
      <c r="AH210" s="6" t="str">
        <f aca="false">IFERROR(__xludf.dummyfunction("""COMPUTED_VALUE"""),"確認しました")</f>
        <v>確認しました</v>
      </c>
      <c r="AI210" s="6"/>
      <c r="AJ210" s="6" t="str">
        <v/>
      </c>
      <c r="AK210" s="6" t="str">
        <v/>
      </c>
      <c r="AL210" s="6" t="str">
        <v/>
      </c>
      <c r="AM210" s="6" t="str">
        <v/>
      </c>
      <c r="AN210" s="6" t="n">
        <f aca="false">FALSE()</f>
        <v>0</v>
      </c>
    </row>
    <row r="211" customFormat="false" ht="52.5" hidden="false" customHeight="true" outlineLevel="0" collapsed="false">
      <c r="A211" s="6" t="str">
        <f aca="false">IFERROR(__xludf.dummyfunction("""COMPUTED_VALUE"""),"2026/02/26 20:20:34")</f>
        <v>2026/02/26 20:20:34</v>
      </c>
      <c r="B211" s="6"/>
      <c r="C211" s="6" t="str">
        <f aca="false">IFERROR(__xludf.dummyfunction("""COMPUTED_VALUE"""),"70487")</f>
        <v>70487</v>
      </c>
      <c r="D211" s="6"/>
      <c r="E211" s="6"/>
      <c r="F211" s="6"/>
      <c r="G211" s="6" t="str">
        <f aca="false">IFERROR(__xludf.dummyfunction("""COMPUTED_VALUE"""),"2026/03/11")</f>
        <v>2026/03/11</v>
      </c>
      <c r="H211" s="6" t="str">
        <f aca="false">IFERROR(__xludf.dummyfunction("""COMPUTED_VALUE"""),"必要")</f>
        <v>必要</v>
      </c>
      <c r="I211" s="6" t="str">
        <f aca="false">IFERROR(__xludf.dummyfunction("""COMPUTED_VALUE"""),"男性")</f>
        <v>男性</v>
      </c>
      <c r="J211" s="6" t="str">
        <f aca="false">IFERROR(__xludf.dummyfunction("""COMPUTED_VALUE"""),"日本")</f>
        <v>日本</v>
      </c>
      <c r="K211" s="6" t="str">
        <f aca="false">IFERROR(__xludf.dummyfunction("""COMPUTED_VALUE"""),"23")</f>
        <v>23</v>
      </c>
      <c r="L211" s="6" t="str">
        <f aca="false">IFERROR(__xludf.dummyfunction("""COMPUTED_VALUE"""),"冷蔵庫単身用
ドラム式洗濯機（48•48•82）")</f>
        <v>冷蔵庫単身用
ドラム式洗濯機（48•48•82）</v>
      </c>
      <c r="M211" s="6" t="str">
        <f aca="false">IFERROR(__xludf.dummyfunction("""COMPUTED_VALUE"""),"机（80•80•72）
電子レンジ（44•29•24)
オーブン(24•26•30)
炊飯器
ベッド(組み立て式)
棚（77•29•100)
椅子（46•46•85)")</f>
        <v>机（80•80•72）
電子レンジ（44•29•24)
オーブン(24•26•30)
炊飯器
ベッド(組み立て式)
棚（77•29•100)
椅子（46•46•85)</v>
      </c>
      <c r="N211" s="6" t="str">
        <f aca="false">IFERROR(__xludf.dummyfunction("""COMPUTED_VALUE"""),"自転車")</f>
        <v>自転車</v>
      </c>
      <c r="O211" s="6" t="str">
        <f aca="false">IFERROR(__xludf.dummyfunction("""COMPUTED_VALUE"""),"不要")</f>
        <v>不要</v>
      </c>
      <c r="P211" s="6"/>
      <c r="Q211" s="6"/>
      <c r="R211" s="6"/>
      <c r="S211" s="6" t="str">
        <f aca="false">IFERROR(__xludf.dummyfunction("""COMPUTED_VALUE"""),"家具家電なし社宅")</f>
        <v>家具家電なし社宅</v>
      </c>
      <c r="T211" s="6" t="str">
        <f aca="false">IFERROR(__xludf.dummyfunction("""COMPUTED_VALUE"""),"利用しない")</f>
        <v>利用しない</v>
      </c>
      <c r="U211" s="6"/>
      <c r="V211" s="6" t="str">
        <f aca="false">IFERROR(__xludf.dummyfunction("""COMPUTED_VALUE"""),"徒歩, 自転車, 電車, バス, わからない")</f>
        <v>徒歩, 自転車, 電車, バス, わからない</v>
      </c>
      <c r="W211" s="6"/>
      <c r="X211" s="6" t="str">
        <f aca="false">IFERROR(__xludf.dummyfunction("""COMPUTED_VALUE"""),"ご自身で契約中の物件")</f>
        <v>ご自身で契約中の物件</v>
      </c>
      <c r="Y211" s="6"/>
      <c r="Z211" s="6" t="str">
        <f aca="false">IFERROR(__xludf.dummyfunction("""COMPUTED_VALUE"""),"希望しない")</f>
        <v>希望しない</v>
      </c>
      <c r="AA211" s="6" t="str">
        <f aca="false">IFERROR(__xludf.dummyfunction("""COMPUTED_VALUE"""),"単身")</f>
        <v>単身</v>
      </c>
      <c r="AB211" s="6"/>
      <c r="AC211" s="6"/>
      <c r="AD211" s="6"/>
      <c r="AE211" s="6" t="str">
        <f aca="false">IFERROR(__xludf.dummyfunction("""COMPUTED_VALUE"""),"確認しました。")</f>
        <v>確認しました。</v>
      </c>
      <c r="AF211" s="6" t="str">
        <f aca="false">IFERROR(__xludf.dummyfunction("""COMPUTED_VALUE"""),"社宅基準の内容について確認しました")</f>
        <v>社宅基準の内容について確認しました</v>
      </c>
      <c r="AG211" s="6" t="str">
        <f aca="false">IFERROR(__xludf.dummyfunction("""COMPUTED_VALUE"""),"入居のしおりの内容についてご確認しました")</f>
        <v>入居のしおりの内容についてご確認しました</v>
      </c>
      <c r="AH211" s="6" t="str">
        <f aca="false">IFERROR(__xludf.dummyfunction("""COMPUTED_VALUE"""),"確認しました")</f>
        <v>確認しました</v>
      </c>
      <c r="AI211" s="6"/>
      <c r="AJ211" s="6" t="str">
        <v/>
      </c>
      <c r="AK211" s="6" t="str">
        <v/>
      </c>
      <c r="AL211" s="6" t="str">
        <v/>
      </c>
      <c r="AM211" s="6" t="str">
        <v/>
      </c>
      <c r="AN211" s="6" t="n">
        <f aca="false">FALSE()</f>
        <v>0</v>
      </c>
    </row>
    <row r="212" customFormat="false" ht="52.5" hidden="false" customHeight="true" outlineLevel="0" collapsed="false">
      <c r="A212" s="6" t="str">
        <f aca="false">IFERROR(__xludf.dummyfunction("""COMPUTED_VALUE"""),"2026/02/26 21:02:00")</f>
        <v>2026/02/26 21:02:00</v>
      </c>
      <c r="B212" s="6"/>
      <c r="C212" s="6" t="str">
        <f aca="false">IFERROR(__xludf.dummyfunction("""COMPUTED_VALUE"""),"70458")</f>
        <v>70458</v>
      </c>
      <c r="D212" s="6"/>
      <c r="E212" s="6"/>
      <c r="F212" s="6"/>
      <c r="G212" s="6" t="str">
        <f aca="false">IFERROR(__xludf.dummyfunction("""COMPUTED_VALUE"""),"2026/03/29")</f>
        <v>2026/03/29</v>
      </c>
      <c r="H212" s="6" t="str">
        <f aca="false">IFERROR(__xludf.dummyfunction("""COMPUTED_VALUE"""),"必要")</f>
        <v>必要</v>
      </c>
      <c r="I212" s="6" t="str">
        <f aca="false">IFERROR(__xludf.dummyfunction("""COMPUTED_VALUE"""),"男性")</f>
        <v>男性</v>
      </c>
      <c r="J212" s="6" t="str">
        <f aca="false">IFERROR(__xludf.dummyfunction("""COMPUTED_VALUE"""),"日本")</f>
        <v>日本</v>
      </c>
      <c r="K212" s="6" t="str">
        <f aca="false">IFERROR(__xludf.dummyfunction("""COMPUTED_VALUE"""),"5")</f>
        <v>5</v>
      </c>
      <c r="L212" s="6" t="str">
        <f aca="false">IFERROR(__xludf.dummyfunction("""COMPUTED_VALUE"""),"ウォーターサーバー　サイズ(横幅45㎝奥行45㎝高さ130㎝)")</f>
        <v>ウォーターサーバー　サイズ(横幅45㎝奥行45㎝高さ130㎝)</v>
      </c>
      <c r="M212" s="6" t="str">
        <f aca="false">IFERROR(__xludf.dummyfunction("""COMPUTED_VALUE"""),"無し")</f>
        <v>無し</v>
      </c>
      <c r="N212" s="6"/>
      <c r="O212" s="6" t="str">
        <f aca="false">IFERROR(__xludf.dummyfunction("""COMPUTED_VALUE"""),"不要")</f>
        <v>不要</v>
      </c>
      <c r="P212" s="6"/>
      <c r="Q212" s="6"/>
      <c r="R212" s="6"/>
      <c r="S212" s="6" t="str">
        <f aca="false">IFERROR(__xludf.dummyfunction("""COMPUTED_VALUE"""),"家具家電付き社宅")</f>
        <v>家具家電付き社宅</v>
      </c>
      <c r="T212" s="6" t="str">
        <f aca="false">IFERROR(__xludf.dummyfunction("""COMPUTED_VALUE"""),"利用しない")</f>
        <v>利用しない</v>
      </c>
      <c r="U212" s="6"/>
      <c r="V212" s="6" t="str">
        <f aca="false">IFERROR(__xludf.dummyfunction("""COMPUTED_VALUE"""),"徒歩, 社用バス")</f>
        <v>徒歩, 社用バス</v>
      </c>
      <c r="W212" s="6"/>
      <c r="X212" s="6" t="str">
        <f aca="false">IFERROR(__xludf.dummyfunction("""COMPUTED_VALUE"""),"株式会社ビーネックステクノロジーズの社宅")</f>
        <v>株式会社ビーネックステクノロジーズの社宅</v>
      </c>
      <c r="Y212" s="6" t="str">
        <f aca="false">IFERROR(__xludf.dummyfunction("""COMPUTED_VALUE"""),"利用無し")</f>
        <v>利用無し</v>
      </c>
      <c r="Z212" s="6" t="str">
        <f aca="false">IFERROR(__xludf.dummyfunction("""COMPUTED_VALUE"""),"希望する")</f>
        <v>希望する</v>
      </c>
      <c r="AA212" s="6" t="str">
        <f aca="false">IFERROR(__xludf.dummyfunction("""COMPUTED_VALUE"""),"単身")</f>
        <v>単身</v>
      </c>
      <c r="AB212" s="6"/>
      <c r="AC212" s="6"/>
      <c r="AD212" s="6"/>
      <c r="AE212" s="6" t="str">
        <f aca="false">IFERROR(__xludf.dummyfunction("""COMPUTED_VALUE"""),"確認しました。")</f>
        <v>確認しました。</v>
      </c>
      <c r="AF212" s="6" t="str">
        <f aca="false">IFERROR(__xludf.dummyfunction("""COMPUTED_VALUE"""),"社宅基準の内容について確認しました")</f>
        <v>社宅基準の内容について確認しました</v>
      </c>
      <c r="AG212" s="6" t="str">
        <f aca="false">IFERROR(__xludf.dummyfunction("""COMPUTED_VALUE"""),"入居のしおりの内容についてご確認しました")</f>
        <v>入居のしおりの内容についてご確認しました</v>
      </c>
      <c r="AH212" s="6" t="str">
        <f aca="false">IFERROR(__xludf.dummyfunction("""COMPUTED_VALUE"""),"確認しました")</f>
        <v>確認しました</v>
      </c>
      <c r="AI212" s="6"/>
      <c r="AJ212" s="6" t="str">
        <v/>
      </c>
      <c r="AK212" s="6" t="str">
        <v/>
      </c>
      <c r="AL212" s="6" t="str">
        <v/>
      </c>
      <c r="AM212" s="6" t="str">
        <v/>
      </c>
      <c r="AN212" s="6" t="n">
        <f aca="false">TRUE()</f>
        <v>1</v>
      </c>
    </row>
    <row r="213" customFormat="false" ht="52.5" hidden="false" customHeight="true" outlineLevel="0" collapsed="false">
      <c r="A213" s="6" t="str">
        <f aca="false">IFERROR(__xludf.dummyfunction("""COMPUTED_VALUE"""),"2026/02/26 21:53:19")</f>
        <v>2026/02/26 21:53:19</v>
      </c>
      <c r="B213" s="6"/>
      <c r="C213" s="6" t="str">
        <f aca="false">IFERROR(__xludf.dummyfunction("""COMPUTED_VALUE"""),"70521")</f>
        <v>70521</v>
      </c>
      <c r="D213" s="6"/>
      <c r="E213" s="6"/>
      <c r="F213" s="6"/>
      <c r="G213" s="6" t="str">
        <f aca="false">IFERROR(__xludf.dummyfunction("""COMPUTED_VALUE"""),"2026/03/21")</f>
        <v>2026/03/21</v>
      </c>
      <c r="H213" s="6" t="str">
        <f aca="false">IFERROR(__xludf.dummyfunction("""COMPUTED_VALUE"""),"必要")</f>
        <v>必要</v>
      </c>
      <c r="I213" s="6" t="str">
        <f aca="false">IFERROR(__xludf.dummyfunction("""COMPUTED_VALUE"""),"男性")</f>
        <v>男性</v>
      </c>
      <c r="J213" s="6" t="str">
        <f aca="false">IFERROR(__xludf.dummyfunction("""COMPUTED_VALUE"""),"日本")</f>
        <v>日本</v>
      </c>
      <c r="K213" s="6" t="str">
        <f aca="false">IFERROR(__xludf.dummyfunction("""COMPUTED_VALUE"""),"15")</f>
        <v>15</v>
      </c>
      <c r="L213" s="6" t="str">
        <f aca="false">IFERROR(__xludf.dummyfunction("""COMPUTED_VALUE"""),"冷蔵庫(単身用)、洗濯機、炊飯器、トースター、ケトル、電子レンジ、IHコンロ、除湿器、掃除機")</f>
        <v>冷蔵庫(単身用)、洗濯機、炊飯器、トースター、ケトル、電子レンジ、IHコンロ、除湿器、掃除機</v>
      </c>
      <c r="M213" s="6" t="str">
        <f aca="false">IFERROR(__xludf.dummyfunction("""COMPUTED_VALUE"""),"ベッド(シングル)、机(100㎝•60㎝•3㎝)、棚(110㎝•30㎝•110㎝)、棚(60㎝•40㎝•80㎝)、椅子(70㎝•60㎝•110㎝)")</f>
        <v>ベッド(シングル)、机(100㎝•60㎝•3㎝)、棚(110㎝•30㎝•110㎝)、棚(60㎝•40㎝•80㎝)、椅子(70㎝•60㎝•110㎝)</v>
      </c>
      <c r="N213" s="6" t="str">
        <f aca="false">IFERROR(__xludf.dummyfunction("""COMPUTED_VALUE"""),"トレーニングベンチ、ダンベル")</f>
        <v>トレーニングベンチ、ダンベル</v>
      </c>
      <c r="O213" s="6" t="str">
        <f aca="false">IFERROR(__xludf.dummyfunction("""COMPUTED_VALUE"""),"不要")</f>
        <v>不要</v>
      </c>
      <c r="P213" s="6"/>
      <c r="Q213" s="6"/>
      <c r="R213" s="6"/>
      <c r="S213" s="6" t="str">
        <f aca="false">IFERROR(__xludf.dummyfunction("""COMPUTED_VALUE"""),"家具家電なし社宅")</f>
        <v>家具家電なし社宅</v>
      </c>
      <c r="T213" s="6" t="str">
        <f aca="false">IFERROR(__xludf.dummyfunction("""COMPUTED_VALUE"""),"利用しない")</f>
        <v>利用しない</v>
      </c>
      <c r="U213" s="6"/>
      <c r="V213" s="6" t="str">
        <f aca="false">IFERROR(__xludf.dummyfunction("""COMPUTED_VALUE"""),"徒歩, 自転車, 電車")</f>
        <v>徒歩, 自転車, 電車</v>
      </c>
      <c r="W213" s="6"/>
      <c r="X213" s="6" t="str">
        <f aca="false">IFERROR(__xludf.dummyfunction("""COMPUTED_VALUE"""),"ご自身で契約中の物件")</f>
        <v>ご自身で契約中の物件</v>
      </c>
      <c r="Y213" s="6"/>
      <c r="Z213" s="6" t="str">
        <f aca="false">IFERROR(__xludf.dummyfunction("""COMPUTED_VALUE"""),"希望しない")</f>
        <v>希望しない</v>
      </c>
      <c r="AA213" s="6" t="str">
        <f aca="false">IFERROR(__xludf.dummyfunction("""COMPUTED_VALUE"""),"単身")</f>
        <v>単身</v>
      </c>
      <c r="AB213" s="6"/>
      <c r="AC213" s="6"/>
      <c r="AD213" s="6" t="str">
        <f aca="false">IFERROR(__xludf.dummyfunction("""COMPUTED_VALUE"""),"鉄筋の住宅希望です。
近くにバイクの駐車場があればほしいです。")</f>
        <v>鉄筋の住宅希望です。
近くにバイクの駐車場があればほしいです。</v>
      </c>
      <c r="AE213" s="6" t="str">
        <f aca="false">IFERROR(__xludf.dummyfunction("""COMPUTED_VALUE"""),"確認しました。")</f>
        <v>確認しました。</v>
      </c>
      <c r="AF213" s="6" t="str">
        <f aca="false">IFERROR(__xludf.dummyfunction("""COMPUTED_VALUE"""),"社宅基準の内容について確認しました")</f>
        <v>社宅基準の内容について確認しました</v>
      </c>
      <c r="AG213" s="6" t="str">
        <f aca="false">IFERROR(__xludf.dummyfunction("""COMPUTED_VALUE"""),"入居のしおりの内容についてご確認しました")</f>
        <v>入居のしおりの内容についてご確認しました</v>
      </c>
      <c r="AH213" s="6" t="str">
        <f aca="false">IFERROR(__xludf.dummyfunction("""COMPUTED_VALUE"""),"確認しました")</f>
        <v>確認しました</v>
      </c>
      <c r="AI213" s="6"/>
      <c r="AJ213" s="6" t="str">
        <v/>
      </c>
      <c r="AK213" s="6" t="str">
        <v/>
      </c>
      <c r="AL213" s="6" t="str">
        <v/>
      </c>
      <c r="AM213" s="6" t="str">
        <v/>
      </c>
      <c r="AN213" s="6" t="n">
        <f aca="false">TRUE()</f>
        <v>1</v>
      </c>
    </row>
    <row r="214" customFormat="false" ht="52.5" hidden="false" customHeight="true" outlineLevel="0" collapsed="false">
      <c r="A214" s="6" t="str">
        <f aca="false">IFERROR(__xludf.dummyfunction("""COMPUTED_VALUE"""),"2026/02/27 14:32:48")</f>
        <v>2026/02/27 14:32:48</v>
      </c>
      <c r="B214" s="6"/>
      <c r="C214" s="6" t="str">
        <f aca="false">IFERROR(__xludf.dummyfunction("""COMPUTED_VALUE"""),"70577")</f>
        <v>70577</v>
      </c>
      <c r="D214" s="6"/>
      <c r="E214" s="6"/>
      <c r="F214" s="6"/>
      <c r="G214" s="6" t="str">
        <f aca="false">IFERROR(__xludf.dummyfunction("""COMPUTED_VALUE"""),"2026/03/23")</f>
        <v>2026/03/23</v>
      </c>
      <c r="H214" s="6" t="str">
        <f aca="false">IFERROR(__xludf.dummyfunction("""COMPUTED_VALUE"""),"必要")</f>
        <v>必要</v>
      </c>
      <c r="I214" s="6" t="str">
        <f aca="false">IFERROR(__xludf.dummyfunction("""COMPUTED_VALUE"""),"女性")</f>
        <v>女性</v>
      </c>
      <c r="J214" s="6" t="str">
        <f aca="false">IFERROR(__xludf.dummyfunction("""COMPUTED_VALUE"""),"日本")</f>
        <v>日本</v>
      </c>
      <c r="K214" s="6" t="str">
        <f aca="false">IFERROR(__xludf.dummyfunction("""COMPUTED_VALUE"""),"5")</f>
        <v>5</v>
      </c>
      <c r="L214" s="6" t="str">
        <f aca="false">IFERROR(__xludf.dummyfunction("""COMPUTED_VALUE"""),"単身用冷蔵庫、ドラム式洗濯機(これから貰いに行くためサイズ不明、8kgタイプ)")</f>
        <v>単身用冷蔵庫、ドラム式洗濯機(これから貰いに行くためサイズ不明、8kgタイプ)</v>
      </c>
      <c r="M214" s="6" t="str">
        <f aca="false">IFERROR(__xludf.dummyfunction("""COMPUTED_VALUE"""),"テレビ台、洋服のプラスチック引き出し×8、ハンガーラック、布団、シングル三つ折りマットレス、姿見")</f>
        <v>テレビ台、洋服のプラスチック引き出し×8、ハンガーラック、布団、シングル三つ折りマットレス、姿見</v>
      </c>
      <c r="N214" s="6" t="str">
        <f aca="false">IFERROR(__xludf.dummyfunction("""COMPUTED_VALUE"""),"折り畳み自転車、スキー")</f>
        <v>折り畳み自転車、スキー</v>
      </c>
      <c r="O214" s="6" t="str">
        <f aca="false">IFERROR(__xludf.dummyfunction("""COMPUTED_VALUE"""),"必要")</f>
        <v>必要</v>
      </c>
      <c r="P214" s="6" t="str">
        <f aca="false">IFERROR(__xludf.dummyfunction("""COMPUTED_VALUE"""),"FIT")</f>
        <v>FIT</v>
      </c>
      <c r="Q214" s="6" t="str">
        <f aca="false">IFERROR(__xludf.dummyfunction("""COMPUTED_VALUE"""),"さ2999")</f>
        <v>さ2999</v>
      </c>
      <c r="R214" s="6" t="str">
        <f aca="false">IFERROR(__xludf.dummyfunction("""COMPUTED_VALUE"""),"青")</f>
        <v>青</v>
      </c>
      <c r="S214" s="6" t="str">
        <f aca="false">IFERROR(__xludf.dummyfunction("""COMPUTED_VALUE"""),"家具家電なし社宅")</f>
        <v>家具家電なし社宅</v>
      </c>
      <c r="T214" s="6" t="str">
        <f aca="false">IFERROR(__xludf.dummyfunction("""COMPUTED_VALUE"""),"利用しない")</f>
        <v>利用しない</v>
      </c>
      <c r="U214" s="6"/>
      <c r="V214" s="6" t="str">
        <f aca="false">IFERROR(__xludf.dummyfunction("""COMPUTED_VALUE"""),"自動車")</f>
        <v>自動車</v>
      </c>
      <c r="W214" s="6"/>
      <c r="X214" s="6" t="str">
        <f aca="false">IFERROR(__xludf.dummyfunction("""COMPUTED_VALUE"""),"実家")</f>
        <v>実家</v>
      </c>
      <c r="Y214" s="6"/>
      <c r="Z214" s="6" t="str">
        <f aca="false">IFERROR(__xludf.dummyfunction("""COMPUTED_VALUE"""),"希望する")</f>
        <v>希望する</v>
      </c>
      <c r="AA214" s="6" t="str">
        <f aca="false">IFERROR(__xludf.dummyfunction("""COMPUTED_VALUE"""),"単身")</f>
        <v>単身</v>
      </c>
      <c r="AB214" s="6"/>
      <c r="AC214" s="6"/>
      <c r="AD214" s="6"/>
      <c r="AE214" s="6" t="str">
        <f aca="false">IFERROR(__xludf.dummyfunction("""COMPUTED_VALUE"""),"確認しました。")</f>
        <v>確認しました。</v>
      </c>
      <c r="AF214" s="6" t="str">
        <f aca="false">IFERROR(__xludf.dummyfunction("""COMPUTED_VALUE"""),"社宅基準の内容について確認しました")</f>
        <v>社宅基準の内容について確認しました</v>
      </c>
      <c r="AG214" s="6" t="str">
        <f aca="false">IFERROR(__xludf.dummyfunction("""COMPUTED_VALUE"""),"入居のしおりの内容についてご確認しました")</f>
        <v>入居のしおりの内容についてご確認しました</v>
      </c>
      <c r="AH214" s="6" t="str">
        <f aca="false">IFERROR(__xludf.dummyfunction("""COMPUTED_VALUE"""),"確認しました")</f>
        <v>確認しました</v>
      </c>
      <c r="AI214" s="6"/>
      <c r="AJ214" s="6" t="str">
        <v/>
      </c>
      <c r="AK214" s="6" t="str">
        <v/>
      </c>
      <c r="AL214" s="6" t="str">
        <v/>
      </c>
      <c r="AM214" s="6" t="str">
        <v/>
      </c>
      <c r="AN214" s="6" t="n">
        <f aca="false">FALSE()</f>
        <v>0</v>
      </c>
    </row>
    <row r="215" customFormat="false" ht="52.5" hidden="false" customHeight="true" outlineLevel="0" collapsed="false">
      <c r="A215" s="6" t="str">
        <f aca="false">IFERROR(__xludf.dummyfunction("""COMPUTED_VALUE"""),"2026/02/27 14:39:28")</f>
        <v>2026/02/27 14:39:28</v>
      </c>
      <c r="B215" s="6"/>
      <c r="C215" s="6" t="str">
        <f aca="false">IFERROR(__xludf.dummyfunction("""COMPUTED_VALUE"""),"70519")</f>
        <v>70519</v>
      </c>
      <c r="D215" s="6"/>
      <c r="E215" s="6"/>
      <c r="F215" s="6"/>
      <c r="G215" s="6" t="str">
        <f aca="false">IFERROR(__xludf.dummyfunction("""COMPUTED_VALUE"""),"2026/03/25")</f>
        <v>2026/03/25</v>
      </c>
      <c r="H215" s="6" t="str">
        <f aca="false">IFERROR(__xludf.dummyfunction("""COMPUTED_VALUE"""),"必要")</f>
        <v>必要</v>
      </c>
      <c r="I215" s="6" t="str">
        <f aca="false">IFERROR(__xludf.dummyfunction("""COMPUTED_VALUE"""),"男性")</f>
        <v>男性</v>
      </c>
      <c r="J215" s="6" t="str">
        <f aca="false">IFERROR(__xludf.dummyfunction("""COMPUTED_VALUE"""),"日本")</f>
        <v>日本</v>
      </c>
      <c r="K215" s="6" t="str">
        <f aca="false">IFERROR(__xludf.dummyfunction("""COMPUTED_VALUE"""),"20")</f>
        <v>20</v>
      </c>
      <c r="L215" s="6" t="str">
        <f aca="false">IFERROR(__xludf.dummyfunction("""COMPUTED_VALUE"""),"電子レンジ、トースター、電気ケトル")</f>
        <v>電子レンジ、トースター、電気ケトル</v>
      </c>
      <c r="M215" s="6" t="str">
        <f aca="false">IFERROR(__xludf.dummyfunction("""COMPUTED_VALUE"""),"プラスチックチェスト×2、こたつ1式、カラーボックス")</f>
        <v>プラスチックチェスト×2、こたつ1式、カラーボックス</v>
      </c>
      <c r="N215" s="6"/>
      <c r="O215" s="6" t="str">
        <f aca="false">IFERROR(__xludf.dummyfunction("""COMPUTED_VALUE"""),"必要")</f>
        <v>必要</v>
      </c>
      <c r="P215" s="6" t="str">
        <f aca="false">IFERROR(__xludf.dummyfunction("""COMPUTED_VALUE"""),"ミライース、プリウス")</f>
        <v>ミライース、プリウス</v>
      </c>
      <c r="Q215" s="6" t="str">
        <f aca="false">IFERROR(__xludf.dummyfunction("""COMPUTED_VALUE"""),"あ80-66、と11-16")</f>
        <v>あ80-66、と11-16</v>
      </c>
      <c r="R215" s="6" t="str">
        <f aca="false">IFERROR(__xludf.dummyfunction("""COMPUTED_VALUE"""),"ブラウン、ホワイト")</f>
        <v>ブラウン、ホワイト</v>
      </c>
      <c r="S215" s="6" t="str">
        <f aca="false">IFERROR(__xludf.dummyfunction("""COMPUTED_VALUE"""),"家具家電なし社宅")</f>
        <v>家具家電なし社宅</v>
      </c>
      <c r="T215" s="6" t="str">
        <f aca="false">IFERROR(__xludf.dummyfunction("""COMPUTED_VALUE"""),"利用しない")</f>
        <v>利用しない</v>
      </c>
      <c r="U215" s="6"/>
      <c r="V215" s="6" t="str">
        <f aca="false">IFERROR(__xludf.dummyfunction("""COMPUTED_VALUE"""),"自動車, 自転車")</f>
        <v>自動車, 自転車</v>
      </c>
      <c r="W215" s="6"/>
      <c r="X215" s="6" t="str">
        <f aca="false">IFERROR(__xludf.dummyfunction("""COMPUTED_VALUE"""),"実家")</f>
        <v>実家</v>
      </c>
      <c r="Y215" s="6"/>
      <c r="Z215" s="6" t="str">
        <f aca="false">IFERROR(__xludf.dummyfunction("""COMPUTED_VALUE"""),"希望する")</f>
        <v>希望する</v>
      </c>
      <c r="AA215" s="6" t="str">
        <f aca="false">IFERROR(__xludf.dummyfunction("""COMPUTED_VALUE"""),"単身")</f>
        <v>単身</v>
      </c>
      <c r="AB215" s="6"/>
      <c r="AC215" s="6"/>
      <c r="AD215" s="6" t="str">
        <f aca="false">IFERROR(__xludf.dummyfunction("""COMPUTED_VALUE"""),"近場もですが、買い物等にアクセスしやすい場所である厚狭での物件も紹介していただきたいです。")</f>
        <v>近場もですが、買い物等にアクセスしやすい場所である厚狭での物件も紹介していただきたいです。</v>
      </c>
      <c r="AE215" s="6" t="str">
        <f aca="false">IFERROR(__xludf.dummyfunction("""COMPUTED_VALUE"""),"確認しました。")</f>
        <v>確認しました。</v>
      </c>
      <c r="AF215" s="6" t="str">
        <f aca="false">IFERROR(__xludf.dummyfunction("""COMPUTED_VALUE"""),"社宅基準の内容について確認しました")</f>
        <v>社宅基準の内容について確認しました</v>
      </c>
      <c r="AG215" s="6" t="str">
        <f aca="false">IFERROR(__xludf.dummyfunction("""COMPUTED_VALUE"""),"入居のしおりの内容についてご確認しました")</f>
        <v>入居のしおりの内容についてご確認しました</v>
      </c>
      <c r="AH215" s="6" t="str">
        <f aca="false">IFERROR(__xludf.dummyfunction("""COMPUTED_VALUE"""),"確認しました")</f>
        <v>確認しました</v>
      </c>
      <c r="AI215" s="6"/>
      <c r="AJ215" s="6" t="str">
        <v/>
      </c>
      <c r="AK215" s="6" t="str">
        <v/>
      </c>
      <c r="AL215" s="6" t="str">
        <v/>
      </c>
      <c r="AM215" s="6" t="str">
        <v/>
      </c>
      <c r="AN215" s="6" t="n">
        <f aca="false">TRUE()</f>
        <v>1</v>
      </c>
    </row>
    <row r="216" customFormat="false" ht="52.5" hidden="false" customHeight="true" outlineLevel="0" collapsed="false">
      <c r="A216" s="6" t="str">
        <f aca="false">IFERROR(__xludf.dummyfunction("""COMPUTED_VALUE"""),"2026/02/27 15:08:13")</f>
        <v>2026/02/27 15:08:13</v>
      </c>
      <c r="B216" s="6"/>
      <c r="C216" s="6" t="str">
        <f aca="false">IFERROR(__xludf.dummyfunction("""COMPUTED_VALUE"""),"70515")</f>
        <v>70515</v>
      </c>
      <c r="D216" s="6"/>
      <c r="E216" s="6"/>
      <c r="F216" s="6"/>
      <c r="G216" s="6" t="str">
        <f aca="false">IFERROR(__xludf.dummyfunction("""COMPUTED_VALUE"""),"2026/03/25")</f>
        <v>2026/03/25</v>
      </c>
      <c r="H216" s="6" t="str">
        <f aca="false">IFERROR(__xludf.dummyfunction("""COMPUTED_VALUE"""),"必要")</f>
        <v>必要</v>
      </c>
      <c r="I216" s="6" t="str">
        <f aca="false">IFERROR(__xludf.dummyfunction("""COMPUTED_VALUE"""),"女性")</f>
        <v>女性</v>
      </c>
      <c r="J216" s="6" t="str">
        <f aca="false">IFERROR(__xludf.dummyfunction("""COMPUTED_VALUE"""),"日本")</f>
        <v>日本</v>
      </c>
      <c r="K216" s="6" t="str">
        <f aca="false">IFERROR(__xludf.dummyfunction("""COMPUTED_VALUE"""),"8")</f>
        <v>8</v>
      </c>
      <c r="L216" s="6" t="str">
        <f aca="false">IFERROR(__xludf.dummyfunction("""COMPUTED_VALUE"""),"単身用冷蔵庫、レンジ、洗濯機、ガスコンロ、こたつ")</f>
        <v>単身用冷蔵庫、レンジ、洗濯機、ガスコンロ、こたつ</v>
      </c>
      <c r="M216" s="6" t="str">
        <f aca="false">IFERROR(__xludf.dummyfunction("""COMPUTED_VALUE"""),"ビーズクッション、姿見、衣装ケース5コ、組立式家具6コ、3段BOX")</f>
        <v>ビーズクッション、姿見、衣装ケース5コ、組立式家具6コ、3段BOX</v>
      </c>
      <c r="N216" s="6" t="str">
        <f aca="false">IFERROR(__xludf.dummyfunction("""COMPUTED_VALUE"""),"なし")</f>
        <v>なし</v>
      </c>
      <c r="O216" s="6" t="str">
        <f aca="false">IFERROR(__xludf.dummyfunction("""COMPUTED_VALUE"""),"必要")</f>
        <v>必要</v>
      </c>
      <c r="P216" s="6" t="str">
        <f aca="false">IFERROR(__xludf.dummyfunction("""COMPUTED_VALUE"""),"ekスポーツ")</f>
        <v>ekスポーツ</v>
      </c>
      <c r="Q216" s="6" t="str">
        <f aca="false">IFERROR(__xludf.dummyfunction("""COMPUTED_VALUE"""),"せ25-55")</f>
        <v>せ25-55</v>
      </c>
      <c r="R216" s="6" t="str">
        <f aca="false">IFERROR(__xludf.dummyfunction("""COMPUTED_VALUE"""),"黒")</f>
        <v>黒</v>
      </c>
      <c r="S216" s="6" t="str">
        <f aca="false">IFERROR(__xludf.dummyfunction("""COMPUTED_VALUE"""),"家具家電なし社宅")</f>
        <v>家具家電なし社宅</v>
      </c>
      <c r="T216" s="6" t="str">
        <f aca="false">IFERROR(__xludf.dummyfunction("""COMPUTED_VALUE"""),"利用しない")</f>
        <v>利用しない</v>
      </c>
      <c r="U216" s="6"/>
      <c r="V216" s="6" t="str">
        <f aca="false">IFERROR(__xludf.dummyfunction("""COMPUTED_VALUE"""),"自動車")</f>
        <v>自動車</v>
      </c>
      <c r="W216" s="6"/>
      <c r="X216" s="6" t="str">
        <f aca="false">IFERROR(__xludf.dummyfunction("""COMPUTED_VALUE"""),"ご自身で契約中の物件")</f>
        <v>ご自身で契約中の物件</v>
      </c>
      <c r="Y216" s="6"/>
      <c r="Z216" s="6" t="str">
        <f aca="false">IFERROR(__xludf.dummyfunction("""COMPUTED_VALUE"""),"希望する")</f>
        <v>希望する</v>
      </c>
      <c r="AA216" s="6" t="str">
        <f aca="false">IFERROR(__xludf.dummyfunction("""COMPUTED_VALUE"""),"単身")</f>
        <v>単身</v>
      </c>
      <c r="AB216" s="6"/>
      <c r="AC216" s="6"/>
      <c r="AD216" s="6" t="str">
        <f aca="false">IFERROR(__xludf.dummyfunction("""COMPUTED_VALUE"""),"特にないです。")</f>
        <v>特にないです。</v>
      </c>
      <c r="AE216" s="6" t="str">
        <f aca="false">IFERROR(__xludf.dummyfunction("""COMPUTED_VALUE"""),"確認しました。")</f>
        <v>確認しました。</v>
      </c>
      <c r="AF216" s="6" t="str">
        <f aca="false">IFERROR(__xludf.dummyfunction("""COMPUTED_VALUE"""),"社宅基準の内容について確認しました")</f>
        <v>社宅基準の内容について確認しました</v>
      </c>
      <c r="AG216" s="6" t="str">
        <f aca="false">IFERROR(__xludf.dummyfunction("""COMPUTED_VALUE"""),"入居のしおりの内容についてご確認しました")</f>
        <v>入居のしおりの内容についてご確認しました</v>
      </c>
      <c r="AH216" s="6" t="str">
        <f aca="false">IFERROR(__xludf.dummyfunction("""COMPUTED_VALUE"""),"確認しました")</f>
        <v>確認しました</v>
      </c>
      <c r="AI216" s="6"/>
      <c r="AJ216" s="6" t="str">
        <v/>
      </c>
      <c r="AK216" s="6" t="str">
        <v/>
      </c>
      <c r="AL216" s="6" t="str">
        <v/>
      </c>
      <c r="AM216" s="6" t="str">
        <v/>
      </c>
      <c r="AN216" s="6" t="n">
        <f aca="false">TRUE()</f>
        <v>1</v>
      </c>
    </row>
    <row r="217" customFormat="false" ht="52.5" hidden="false" customHeight="true" outlineLevel="0" collapsed="false">
      <c r="A217" s="6" t="str">
        <f aca="false">IFERROR(__xludf.dummyfunction("""COMPUTED_VALUE"""),"2026/02/27 17:08:52")</f>
        <v>2026/02/27 17:08:52</v>
      </c>
      <c r="B217" s="6"/>
      <c r="C217" s="6" t="str">
        <f aca="false">IFERROR(__xludf.dummyfunction("""COMPUTED_VALUE"""),"70631")</f>
        <v>70631</v>
      </c>
      <c r="D217" s="6"/>
      <c r="E217" s="6"/>
      <c r="F217" s="6"/>
      <c r="G217" s="6" t="str">
        <f aca="false">IFERROR(__xludf.dummyfunction("""COMPUTED_VALUE"""),"2026/03/12")</f>
        <v>2026/03/12</v>
      </c>
      <c r="H217" s="6" t="str">
        <f aca="false">IFERROR(__xludf.dummyfunction("""COMPUTED_VALUE"""),"必要")</f>
        <v>必要</v>
      </c>
      <c r="I217" s="6" t="str">
        <f aca="false">IFERROR(__xludf.dummyfunction("""COMPUTED_VALUE"""),"女性")</f>
        <v>女性</v>
      </c>
      <c r="J217" s="6" t="str">
        <f aca="false">IFERROR(__xludf.dummyfunction("""COMPUTED_VALUE"""),"日本")</f>
        <v>日本</v>
      </c>
      <c r="K217" s="6" t="str">
        <f aca="false">IFERROR(__xludf.dummyfunction("""COMPUTED_VALUE"""),"20")</f>
        <v>20</v>
      </c>
      <c r="L217" s="6" t="str">
        <f aca="false">IFERROR(__xludf.dummyfunction("""COMPUTED_VALUE"""),"掃除機")</f>
        <v>掃除機</v>
      </c>
      <c r="M217" s="6" t="str">
        <f aca="false">IFERROR(__xludf.dummyfunction("""COMPUTED_VALUE"""),"布団2セット、カラーボックス2つ、スツール1つ")</f>
        <v>布団2セット、カラーボックス2つ、スツール1つ</v>
      </c>
      <c r="N217" s="6" t="str">
        <f aca="false">IFERROR(__xludf.dummyfunction("""COMPUTED_VALUE"""),"スーツケースMサイズ1つ、Lサイズ1つ")</f>
        <v>スーツケースMサイズ1つ、Lサイズ1つ</v>
      </c>
      <c r="O217" s="6" t="str">
        <f aca="false">IFERROR(__xludf.dummyfunction("""COMPUTED_VALUE"""),"不要")</f>
        <v>不要</v>
      </c>
      <c r="P217" s="6"/>
      <c r="Q217" s="6"/>
      <c r="R217" s="6"/>
      <c r="S217" s="6" t="str">
        <f aca="false">IFERROR(__xludf.dummyfunction("""COMPUTED_VALUE"""),"家具家電付き社宅")</f>
        <v>家具家電付き社宅</v>
      </c>
      <c r="T217" s="6" t="str">
        <f aca="false">IFERROR(__xludf.dummyfunction("""COMPUTED_VALUE"""),"利用しない")</f>
        <v>利用しない</v>
      </c>
      <c r="U217" s="6"/>
      <c r="V217" s="6" t="str">
        <f aca="false">IFERROR(__xludf.dummyfunction("""COMPUTED_VALUE"""),"電車, バス")</f>
        <v>電車, バス</v>
      </c>
      <c r="W217" s="6"/>
      <c r="X217" s="6" t="str">
        <f aca="false">IFERROR(__xludf.dummyfunction("""COMPUTED_VALUE"""),"株式会社ビーネックステクノロジーズの社宅")</f>
        <v>株式会社ビーネックステクノロジーズの社宅</v>
      </c>
      <c r="Y217" s="6" t="str">
        <f aca="false">IFERROR(__xludf.dummyfunction("""COMPUTED_VALUE"""),"利用なし")</f>
        <v>利用なし</v>
      </c>
      <c r="Z217" s="6" t="str">
        <f aca="false">IFERROR(__xludf.dummyfunction("""COMPUTED_VALUE"""),"希望しない")</f>
        <v>希望しない</v>
      </c>
      <c r="AA217" s="6" t="str">
        <f aca="false">IFERROR(__xludf.dummyfunction("""COMPUTED_VALUE"""),"単身")</f>
        <v>単身</v>
      </c>
      <c r="AB217" s="6"/>
      <c r="AC217" s="6"/>
      <c r="AD217" s="6"/>
      <c r="AE217" s="6" t="str">
        <f aca="false">IFERROR(__xludf.dummyfunction("""COMPUTED_VALUE"""),"確認しました。")</f>
        <v>確認しました。</v>
      </c>
      <c r="AF217" s="6" t="str">
        <f aca="false">IFERROR(__xludf.dummyfunction("""COMPUTED_VALUE"""),"社宅基準の内容について確認しました")</f>
        <v>社宅基準の内容について確認しました</v>
      </c>
      <c r="AG217" s="6" t="str">
        <f aca="false">IFERROR(__xludf.dummyfunction("""COMPUTED_VALUE"""),"入居のしおりの内容についてご確認しました")</f>
        <v>入居のしおりの内容についてご確認しました</v>
      </c>
      <c r="AH217" s="6" t="str">
        <f aca="false">IFERROR(__xludf.dummyfunction("""COMPUTED_VALUE"""),"確認しました")</f>
        <v>確認しました</v>
      </c>
      <c r="AI217" s="6"/>
      <c r="AJ217" s="6" t="str">
        <v/>
      </c>
      <c r="AK217" s="6" t="str">
        <v/>
      </c>
      <c r="AL217" s="6" t="str">
        <v/>
      </c>
      <c r="AM217" s="6" t="str">
        <v/>
      </c>
      <c r="AN217" s="6" t="n">
        <f aca="false">FALSE()</f>
        <v>0</v>
      </c>
    </row>
    <row r="218" customFormat="false" ht="52.5" hidden="false" customHeight="true" outlineLevel="0" collapsed="false">
      <c r="A218" s="6" t="str">
        <f aca="false">IFERROR(__xludf.dummyfunction("""COMPUTED_VALUE"""),"2026/02/27 20:18:18")</f>
        <v>2026/02/27 20:18:18</v>
      </c>
      <c r="B218" s="6"/>
      <c r="C218" s="6" t="str">
        <f aca="false">IFERROR(__xludf.dummyfunction("""COMPUTED_VALUE"""),"70595")</f>
        <v>70595</v>
      </c>
      <c r="D218" s="6"/>
      <c r="E218" s="6"/>
      <c r="F218" s="6"/>
      <c r="G218" s="6" t="str">
        <f aca="false">IFERROR(__xludf.dummyfunction("""COMPUTED_VALUE"""),"2026/03/27")</f>
        <v>2026/03/27</v>
      </c>
      <c r="H218" s="6" t="str">
        <f aca="false">IFERROR(__xludf.dummyfunction("""COMPUTED_VALUE"""),"必要")</f>
        <v>必要</v>
      </c>
      <c r="I218" s="6" t="str">
        <f aca="false">IFERROR(__xludf.dummyfunction("""COMPUTED_VALUE"""),"男性")</f>
        <v>男性</v>
      </c>
      <c r="J218" s="6" t="str">
        <f aca="false">IFERROR(__xludf.dummyfunction("""COMPUTED_VALUE"""),"日本")</f>
        <v>日本</v>
      </c>
      <c r="K218" s="6" t="str">
        <f aca="false">IFERROR(__xludf.dummyfunction("""COMPUTED_VALUE"""),"7")</f>
        <v>7</v>
      </c>
      <c r="L218" s="6" t="str">
        <f aca="false">IFERROR(__xludf.dummyfunction("""COMPUTED_VALUE"""),"モニター pc 電子レンジ　掃除機")</f>
        <v>モニター pc 電子レンジ　掃除機</v>
      </c>
      <c r="M218" s="6" t="str">
        <f aca="false">IFERROR(__xludf.dummyfunction("""COMPUTED_VALUE"""),"ゲーミングチェア　ゲーミングデスク　テーブル　")</f>
        <v>ゲーミングチェア　ゲーミングデスク　テーブル　</v>
      </c>
      <c r="N218" s="6"/>
      <c r="O218" s="6" t="str">
        <f aca="false">IFERROR(__xludf.dummyfunction("""COMPUTED_VALUE"""),"必要")</f>
        <v>必要</v>
      </c>
      <c r="P218" s="6" t="str">
        <f aca="false">IFERROR(__xludf.dummyfunction("""COMPUTED_VALUE"""),"未定")</f>
        <v>未定</v>
      </c>
      <c r="Q218" s="6" t="str">
        <f aca="false">IFERROR(__xludf.dummyfunction("""COMPUTED_VALUE"""),"未定")</f>
        <v>未定</v>
      </c>
      <c r="R218" s="6" t="str">
        <f aca="false">IFERROR(__xludf.dummyfunction("""COMPUTED_VALUE"""),"未定")</f>
        <v>未定</v>
      </c>
      <c r="S218" s="6" t="str">
        <f aca="false">IFERROR(__xludf.dummyfunction("""COMPUTED_VALUE"""),"家具家電付き社宅")</f>
        <v>家具家電付き社宅</v>
      </c>
      <c r="T218" s="6" t="str">
        <f aca="false">IFERROR(__xludf.dummyfunction("""COMPUTED_VALUE"""),"利用する")</f>
        <v>利用する</v>
      </c>
      <c r="U218" s="6" t="str">
        <f aca="false">IFERROR(__xludf.dummyfunction("""COMPUTED_VALUE"""),"洗濯機　エアコン　冷蔵庫　カーテン　ベット")</f>
        <v>洗濯機　エアコン　冷蔵庫　カーテン　ベット</v>
      </c>
      <c r="V218" s="6" t="str">
        <f aca="false">IFERROR(__xludf.dummyfunction("""COMPUTED_VALUE"""),"自動車")</f>
        <v>自動車</v>
      </c>
      <c r="W218" s="6"/>
      <c r="X218" s="6" t="str">
        <f aca="false">IFERROR(__xludf.dummyfunction("""COMPUTED_VALUE"""),"ご自身で契約中の物件")</f>
        <v>ご自身で契約中の物件</v>
      </c>
      <c r="Y218" s="6"/>
      <c r="Z218" s="6" t="str">
        <f aca="false">IFERROR(__xludf.dummyfunction("""COMPUTED_VALUE"""),"希望する")</f>
        <v>希望する</v>
      </c>
      <c r="AA218" s="6" t="str">
        <f aca="false">IFERROR(__xludf.dummyfunction("""COMPUTED_VALUE"""),"単身")</f>
        <v>単身</v>
      </c>
      <c r="AB218" s="6"/>
      <c r="AC218" s="6"/>
      <c r="AD218" s="6"/>
      <c r="AE218" s="6" t="str">
        <f aca="false">IFERROR(__xludf.dummyfunction("""COMPUTED_VALUE"""),"確認しました。")</f>
        <v>確認しました。</v>
      </c>
      <c r="AF218" s="6" t="str">
        <f aca="false">IFERROR(__xludf.dummyfunction("""COMPUTED_VALUE"""),"社宅基準の内容について確認しました")</f>
        <v>社宅基準の内容について確認しました</v>
      </c>
      <c r="AG218" s="6" t="str">
        <f aca="false">IFERROR(__xludf.dummyfunction("""COMPUTED_VALUE"""),"入居のしおりの内容についてご確認しました")</f>
        <v>入居のしおりの内容についてご確認しました</v>
      </c>
      <c r="AH218" s="6" t="str">
        <f aca="false">IFERROR(__xludf.dummyfunction("""COMPUTED_VALUE"""),"確認しました")</f>
        <v>確認しました</v>
      </c>
      <c r="AI218" s="6"/>
      <c r="AJ218" s="6" t="str">
        <v/>
      </c>
      <c r="AK218" s="6" t="str">
        <v/>
      </c>
      <c r="AL218" s="6" t="str">
        <v/>
      </c>
      <c r="AM218" s="6" t="str">
        <v/>
      </c>
      <c r="AN218" s="6" t="n">
        <f aca="false">TRUE()</f>
        <v>1</v>
      </c>
    </row>
    <row r="219" customFormat="false" ht="52.5" hidden="false" customHeight="true" outlineLevel="0" collapsed="false">
      <c r="A219" s="6" t="str">
        <f aca="false">IFERROR(__xludf.dummyfunction("""COMPUTED_VALUE"""),"2026/02/27 20:56:19")</f>
        <v>2026/02/27 20:56:19</v>
      </c>
      <c r="B219" s="6"/>
      <c r="C219" s="6" t="str">
        <f aca="false">IFERROR(__xludf.dummyfunction("""COMPUTED_VALUE"""),"70593")</f>
        <v>70593</v>
      </c>
      <c r="D219" s="6"/>
      <c r="E219" s="6"/>
      <c r="F219" s="6"/>
      <c r="G219" s="6" t="str">
        <f aca="false">IFERROR(__xludf.dummyfunction("""COMPUTED_VALUE"""),"2026/03/28")</f>
        <v>2026/03/28</v>
      </c>
      <c r="H219" s="6" t="str">
        <f aca="false">IFERROR(__xludf.dummyfunction("""COMPUTED_VALUE"""),"必要")</f>
        <v>必要</v>
      </c>
      <c r="I219" s="6" t="str">
        <f aca="false">IFERROR(__xludf.dummyfunction("""COMPUTED_VALUE"""),"男性")</f>
        <v>男性</v>
      </c>
      <c r="J219" s="6" t="str">
        <f aca="false">IFERROR(__xludf.dummyfunction("""COMPUTED_VALUE"""),"日本")</f>
        <v>日本</v>
      </c>
      <c r="K219" s="6" t="str">
        <f aca="false">IFERROR(__xludf.dummyfunction("""COMPUTED_VALUE"""),"10")</f>
        <v>10</v>
      </c>
      <c r="L219" s="6" t="str">
        <f aca="false">IFERROR(__xludf.dummyfunction("""COMPUTED_VALUE"""),"2ドア冷蔵庫　電子レンジ　洗濯機　デスクトップPC")</f>
        <v>2ドア冷蔵庫　電子レンジ　洗濯機　デスクトップPC</v>
      </c>
      <c r="M219" s="6" t="str">
        <f aca="false">IFERROR(__xludf.dummyfunction("""COMPUTED_VALUE"""),"机　引き出し付きベッド　プラスチックキャビネ")</f>
        <v>机　引き出し付きベッド　プラスチックキャビネ</v>
      </c>
      <c r="N219" s="6" t="str">
        <f aca="false">IFERROR(__xludf.dummyfunction("""COMPUTED_VALUE"""),"自転車")</f>
        <v>自転車</v>
      </c>
      <c r="O219" s="6" t="str">
        <f aca="false">IFERROR(__xludf.dummyfunction("""COMPUTED_VALUE"""),"不要")</f>
        <v>不要</v>
      </c>
      <c r="P219" s="6"/>
      <c r="Q219" s="6"/>
      <c r="R219" s="6"/>
      <c r="S219" s="6" t="str">
        <f aca="false">IFERROR(__xludf.dummyfunction("""COMPUTED_VALUE"""),"家具家電なし社宅")</f>
        <v>家具家電なし社宅</v>
      </c>
      <c r="T219" s="6" t="str">
        <f aca="false">IFERROR(__xludf.dummyfunction("""COMPUTED_VALUE"""),"利用しない")</f>
        <v>利用しない</v>
      </c>
      <c r="U219" s="6"/>
      <c r="V219" s="6" t="str">
        <f aca="false">IFERROR(__xludf.dummyfunction("""COMPUTED_VALUE"""),"バス")</f>
        <v>バス</v>
      </c>
      <c r="W219" s="6"/>
      <c r="X219" s="6" t="str">
        <f aca="false">IFERROR(__xludf.dummyfunction("""COMPUTED_VALUE"""),"株式会社ビーネックステクノロジーズの社宅")</f>
        <v>株式会社ビーネックステクノロジーズの社宅</v>
      </c>
      <c r="Y219" s="6" t="str">
        <f aca="false">IFERROR(__xludf.dummyfunction("""COMPUTED_VALUE"""),"利用なし")</f>
        <v>利用なし</v>
      </c>
      <c r="Z219" s="6" t="str">
        <f aca="false">IFERROR(__xludf.dummyfunction("""COMPUTED_VALUE"""),"希望しない")</f>
        <v>希望しない</v>
      </c>
      <c r="AA219" s="6" t="str">
        <f aca="false">IFERROR(__xludf.dummyfunction("""COMPUTED_VALUE"""),"単身")</f>
        <v>単身</v>
      </c>
      <c r="AB219" s="6"/>
      <c r="AC219" s="6"/>
      <c r="AD219" s="6" t="str">
        <f aca="false">IFERROR(__xludf.dummyfunction("""COMPUTED_VALUE"""),"洗濯機の取り付けもお願いします。")</f>
        <v>洗濯機の取り付けもお願いします。</v>
      </c>
      <c r="AE219" s="6" t="str">
        <f aca="false">IFERROR(__xludf.dummyfunction("""COMPUTED_VALUE"""),"確認しました。")</f>
        <v>確認しました。</v>
      </c>
      <c r="AF219" s="6" t="str">
        <f aca="false">IFERROR(__xludf.dummyfunction("""COMPUTED_VALUE"""),"社宅基準の内容について確認しました")</f>
        <v>社宅基準の内容について確認しました</v>
      </c>
      <c r="AG219" s="6" t="str">
        <f aca="false">IFERROR(__xludf.dummyfunction("""COMPUTED_VALUE"""),"入居のしおりの内容についてご確認しました")</f>
        <v>入居のしおりの内容についてご確認しました</v>
      </c>
      <c r="AH219" s="6" t="str">
        <f aca="false">IFERROR(__xludf.dummyfunction("""COMPUTED_VALUE"""),"確認しました")</f>
        <v>確認しました</v>
      </c>
      <c r="AI219" s="6"/>
      <c r="AJ219" s="6" t="str">
        <v/>
      </c>
      <c r="AK219" s="6" t="str">
        <v/>
      </c>
      <c r="AL219" s="6" t="str">
        <v/>
      </c>
      <c r="AM219" s="6" t="str">
        <v/>
      </c>
      <c r="AN219" s="6" t="n">
        <f aca="false">TRUE()</f>
        <v>1</v>
      </c>
    </row>
    <row r="220" customFormat="false" ht="52.5" hidden="false" customHeight="true" outlineLevel="0" collapsed="false">
      <c r="A220" s="6" t="str">
        <f aca="false">IFERROR(__xludf.dummyfunction("""COMPUTED_VALUE"""),"2026/02/27 22:07:54")</f>
        <v>2026/02/27 22:07:54</v>
      </c>
      <c r="B220" s="6"/>
      <c r="C220" s="6" t="str">
        <f aca="false">IFERROR(__xludf.dummyfunction("""COMPUTED_VALUE"""),"70566")</f>
        <v>70566</v>
      </c>
      <c r="D220" s="6"/>
      <c r="E220" s="6"/>
      <c r="F220" s="6"/>
      <c r="G220" s="6" t="str">
        <f aca="false">IFERROR(__xludf.dummyfunction("""COMPUTED_VALUE"""),"2026/03/16")</f>
        <v>2026/03/16</v>
      </c>
      <c r="H220" s="6" t="str">
        <f aca="false">IFERROR(__xludf.dummyfunction("""COMPUTED_VALUE"""),"必要")</f>
        <v>必要</v>
      </c>
      <c r="I220" s="6" t="str">
        <f aca="false">IFERROR(__xludf.dummyfunction("""COMPUTED_VALUE"""),"男性")</f>
        <v>男性</v>
      </c>
      <c r="J220" s="6" t="str">
        <f aca="false">IFERROR(__xludf.dummyfunction("""COMPUTED_VALUE"""),"日本")</f>
        <v>日本</v>
      </c>
      <c r="K220" s="6" t="str">
        <f aca="false">IFERROR(__xludf.dummyfunction("""COMPUTED_VALUE"""),"10")</f>
        <v>10</v>
      </c>
      <c r="L220" s="6" t="str">
        <f aca="false">IFERROR(__xludf.dummyfunction("""COMPUTED_VALUE"""),"冷蔵庫(単身用)、電子レンジ、トースター、炊飯器、TV、洗濯機")</f>
        <v>冷蔵庫(単身用)、電子レンジ、トースター、炊飯器、TV、洗濯機</v>
      </c>
      <c r="M220" s="6" t="str">
        <f aca="false">IFERROR(__xludf.dummyfunction("""COMPUTED_VALUE"""),"TVローボード、ワイヤーシェルフ、本棚(H1300 D300 W700)、ローテーブル、食器棚(H900 D400 W600)、スチールラック(H950 D400 W600)、椅子(H1200 D600 W650)、棚(H850 D300 W580)、ベッド(シングル)、ソファ(2人掛け)")</f>
        <v>TVローボード、ワイヤーシェルフ、本棚(H1300 D300 W700)、ローテーブル、食器棚(H900 D400 W600)、スチールラック(H950 D400 W600)、椅子(H1200 D600 W650)、棚(H850 D300 W580)、ベッド(シングル)、ソファ(2人掛け)</v>
      </c>
      <c r="N220" s="6" t="str">
        <f aca="false">IFERROR(__xludf.dummyfunction("""COMPUTED_VALUE"""),"自転車、スタンドミラー、マットレス")</f>
        <v>自転車、スタンドミラー、マットレス</v>
      </c>
      <c r="O220" s="6" t="str">
        <f aca="false">IFERROR(__xludf.dummyfunction("""COMPUTED_VALUE"""),"必要")</f>
        <v>必要</v>
      </c>
      <c r="P220" s="6" t="str">
        <f aca="false">IFERROR(__xludf.dummyfunction("""COMPUTED_VALUE"""),"未定")</f>
        <v>未定</v>
      </c>
      <c r="Q220" s="6" t="str">
        <f aca="false">IFERROR(__xludf.dummyfunction("""COMPUTED_VALUE"""),"未定")</f>
        <v>未定</v>
      </c>
      <c r="R220" s="6" t="str">
        <f aca="false">IFERROR(__xludf.dummyfunction("""COMPUTED_VALUE"""),"未定")</f>
        <v>未定</v>
      </c>
      <c r="S220" s="6" t="str">
        <f aca="false">IFERROR(__xludf.dummyfunction("""COMPUTED_VALUE"""),"家具家電なし社宅")</f>
        <v>家具家電なし社宅</v>
      </c>
      <c r="T220" s="6" t="str">
        <f aca="false">IFERROR(__xludf.dummyfunction("""COMPUTED_VALUE"""),"利用しない")</f>
        <v>利用しない</v>
      </c>
      <c r="U220" s="6"/>
      <c r="V220" s="6" t="str">
        <f aca="false">IFERROR(__xludf.dummyfunction("""COMPUTED_VALUE"""),"自動車, 自転車")</f>
        <v>自動車, 自転車</v>
      </c>
      <c r="W220" s="6"/>
      <c r="X220" s="6" t="str">
        <f aca="false">IFERROR(__xludf.dummyfunction("""COMPUTED_VALUE"""),"株式会社ビーネックステクノロジーズの社宅")</f>
        <v>株式会社ビーネックステクノロジーズの社宅</v>
      </c>
      <c r="Y220" s="6" t="str">
        <f aca="false">IFERROR(__xludf.dummyfunction("""COMPUTED_VALUE"""),"利用なし")</f>
        <v>利用なし</v>
      </c>
      <c r="Z220" s="6" t="str">
        <f aca="false">IFERROR(__xludf.dummyfunction("""COMPUTED_VALUE"""),"希望する")</f>
        <v>希望する</v>
      </c>
      <c r="AA220" s="6" t="str">
        <f aca="false">IFERROR(__xludf.dummyfunction("""COMPUTED_VALUE"""),"単身")</f>
        <v>単身</v>
      </c>
      <c r="AB220" s="6"/>
      <c r="AC220" s="6"/>
      <c r="AD220" s="6"/>
      <c r="AE220" s="6" t="str">
        <f aca="false">IFERROR(__xludf.dummyfunction("""COMPUTED_VALUE"""),"確認しました。")</f>
        <v>確認しました。</v>
      </c>
      <c r="AF220" s="6" t="str">
        <f aca="false">IFERROR(__xludf.dummyfunction("""COMPUTED_VALUE"""),"社宅基準の内容について確認しました")</f>
        <v>社宅基準の内容について確認しました</v>
      </c>
      <c r="AG220" s="6" t="str">
        <f aca="false">IFERROR(__xludf.dummyfunction("""COMPUTED_VALUE"""),"入居のしおりの内容についてご確認しました")</f>
        <v>入居のしおりの内容についてご確認しました</v>
      </c>
      <c r="AH220" s="6" t="str">
        <f aca="false">IFERROR(__xludf.dummyfunction("""COMPUTED_VALUE"""),"確認しました")</f>
        <v>確認しました</v>
      </c>
      <c r="AI220" s="6"/>
      <c r="AJ220" s="6" t="str">
        <v/>
      </c>
      <c r="AK220" s="6" t="str">
        <v/>
      </c>
      <c r="AL220" s="6" t="str">
        <v/>
      </c>
      <c r="AM220" s="6" t="str">
        <v/>
      </c>
      <c r="AN220" s="6" t="n">
        <f aca="false">TRUE()</f>
        <v>1</v>
      </c>
    </row>
    <row r="221" customFormat="false" ht="52.5" hidden="false" customHeight="true" outlineLevel="0" collapsed="false">
      <c r="A221" s="6" t="str">
        <f aca="false">IFERROR(__xludf.dummyfunction("""COMPUTED_VALUE"""),"2026/02/28 10:53:20")</f>
        <v>2026/02/28 10:53:20</v>
      </c>
      <c r="B221" s="6"/>
      <c r="C221" s="6" t="str">
        <f aca="false">IFERROR(__xludf.dummyfunction("""COMPUTED_VALUE"""),"70607")</f>
        <v>70607</v>
      </c>
      <c r="D221" s="6"/>
      <c r="E221" s="6"/>
      <c r="F221" s="6"/>
      <c r="G221" s="6" t="str">
        <f aca="false">IFERROR(__xludf.dummyfunction("""COMPUTED_VALUE"""),"2026/03/15")</f>
        <v>2026/03/15</v>
      </c>
      <c r="H221" s="6" t="str">
        <f aca="false">IFERROR(__xludf.dummyfunction("""COMPUTED_VALUE"""),"必要")</f>
        <v>必要</v>
      </c>
      <c r="I221" s="6" t="str">
        <f aca="false">IFERROR(__xludf.dummyfunction("""COMPUTED_VALUE"""),"男性")</f>
        <v>男性</v>
      </c>
      <c r="J221" s="6" t="str">
        <f aca="false">IFERROR(__xludf.dummyfunction("""COMPUTED_VALUE"""),"日本")</f>
        <v>日本</v>
      </c>
      <c r="K221" s="6" t="str">
        <f aca="false">IFERROR(__xludf.dummyfunction("""COMPUTED_VALUE"""),"23")</f>
        <v>23</v>
      </c>
      <c r="L221" s="6" t="str">
        <f aca="false">IFERROR(__xludf.dummyfunction("""COMPUTED_VALUE"""),"ポータブル冷蔵庫、炊飯器、オーブントースター、電子レンジ、モニター、デスクトップPC、アイロン、ドライヤー、電気ケトル、空気清浄機")</f>
        <v>ポータブル冷蔵庫、炊飯器、オーブントースター、電子レンジ、モニター、デスクトップPC、アイロン、ドライヤー、電気ケトル、空気清浄機</v>
      </c>
      <c r="M221" s="6" t="str">
        <f aca="false">IFERROR(__xludf.dummyfunction("""COMPUTED_VALUE"""),"なし")</f>
        <v>なし</v>
      </c>
      <c r="N221" s="6" t="str">
        <f aca="false">IFERROR(__xludf.dummyfunction("""COMPUTED_VALUE"""),"アブローラー、マット")</f>
        <v>アブローラー、マット</v>
      </c>
      <c r="O221" s="6" t="str">
        <f aca="false">IFERROR(__xludf.dummyfunction("""COMPUTED_VALUE"""),"必要")</f>
        <v>必要</v>
      </c>
      <c r="P221" s="6" t="str">
        <f aca="false">IFERROR(__xludf.dummyfunction("""COMPUTED_VALUE"""),"スイフトスポーツ")</f>
        <v>スイフトスポーツ</v>
      </c>
      <c r="Q221" s="6" t="str">
        <f aca="false">IFERROR(__xludf.dummyfunction("""COMPUTED_VALUE"""),"は11-40")</f>
        <v>は11-40</v>
      </c>
      <c r="R221" s="6" t="str">
        <f aca="false">IFERROR(__xludf.dummyfunction("""COMPUTED_VALUE"""),"赤(バーニングレッドパールメタリック)")</f>
        <v>赤(バーニングレッドパールメタリック)</v>
      </c>
      <c r="S221" s="6" t="str">
        <f aca="false">IFERROR(__xludf.dummyfunction("""COMPUTED_VALUE"""),"家具家電なし社宅")</f>
        <v>家具家電なし社宅</v>
      </c>
      <c r="T221" s="6" t="str">
        <f aca="false">IFERROR(__xludf.dummyfunction("""COMPUTED_VALUE"""),"利用しない")</f>
        <v>利用しない</v>
      </c>
      <c r="U221" s="6"/>
      <c r="V221" s="6" t="str">
        <f aca="false">IFERROR(__xludf.dummyfunction("""COMPUTED_VALUE"""),"自動車")</f>
        <v>自動車</v>
      </c>
      <c r="W221" s="6"/>
      <c r="X221" s="6" t="str">
        <f aca="false">IFERROR(__xludf.dummyfunction("""COMPUTED_VALUE"""),"実家")</f>
        <v>実家</v>
      </c>
      <c r="Y221" s="6"/>
      <c r="Z221" s="6" t="str">
        <f aca="false">IFERROR(__xludf.dummyfunction("""COMPUTED_VALUE"""),"希望する")</f>
        <v>希望する</v>
      </c>
      <c r="AA221" s="6" t="str">
        <f aca="false">IFERROR(__xludf.dummyfunction("""COMPUTED_VALUE"""),"単身")</f>
        <v>単身</v>
      </c>
      <c r="AB221" s="6"/>
      <c r="AC221" s="6"/>
      <c r="AD221" s="6" t="str">
        <f aca="false">IFERROR(__xludf.dummyfunction("""COMPUTED_VALUE"""),"なるべく勤務先から近いさくら市で、1Kか1LDKの広めの物件希望、周辺環境でドラッグストアやスーパーがあると幸いです。")</f>
        <v>なるべく勤務先から近いさくら市で、1Kか1LDKの広めの物件希望、周辺環境でドラッグストアやスーパーがあると幸いです。</v>
      </c>
      <c r="AE221" s="6" t="str">
        <f aca="false">IFERROR(__xludf.dummyfunction("""COMPUTED_VALUE"""),"確認しました。")</f>
        <v>確認しました。</v>
      </c>
      <c r="AF221" s="6" t="str">
        <f aca="false">IFERROR(__xludf.dummyfunction("""COMPUTED_VALUE"""),"社宅基準の内容について確認しました")</f>
        <v>社宅基準の内容について確認しました</v>
      </c>
      <c r="AG221" s="6" t="str">
        <f aca="false">IFERROR(__xludf.dummyfunction("""COMPUTED_VALUE"""),"入居のしおりの内容についてご確認しました")</f>
        <v>入居のしおりの内容についてご確認しました</v>
      </c>
      <c r="AH221" s="6" t="str">
        <f aca="false">IFERROR(__xludf.dummyfunction("""COMPUTED_VALUE"""),"確認しました")</f>
        <v>確認しました</v>
      </c>
      <c r="AI221" s="6"/>
      <c r="AJ221" s="6" t="str">
        <v/>
      </c>
      <c r="AK221" s="6" t="str">
        <v/>
      </c>
      <c r="AL221" s="6" t="str">
        <v/>
      </c>
      <c r="AM221" s="6" t="str">
        <v/>
      </c>
      <c r="AN221" s="6" t="n">
        <f aca="false">FALSE()</f>
        <v>0</v>
      </c>
    </row>
    <row r="222" customFormat="false" ht="52.5" hidden="false" customHeight="true" outlineLevel="0" collapsed="false">
      <c r="A222" s="6" t="str">
        <f aca="false">IFERROR(__xludf.dummyfunction("""COMPUTED_VALUE"""),"2026/02/28 13:20:06")</f>
        <v>2026/02/28 13:20:06</v>
      </c>
      <c r="B222" s="6"/>
      <c r="C222" s="6" t="str">
        <f aca="false">IFERROR(__xludf.dummyfunction("""COMPUTED_VALUE"""),"70452")</f>
        <v>70452</v>
      </c>
      <c r="D222" s="6"/>
      <c r="E222" s="6"/>
      <c r="F222" s="6"/>
      <c r="G222" s="6" t="str">
        <f aca="false">IFERROR(__xludf.dummyfunction("""COMPUTED_VALUE"""),"2026/03/07")</f>
        <v>2026/03/07</v>
      </c>
      <c r="H222" s="6" t="str">
        <f aca="false">IFERROR(__xludf.dummyfunction("""COMPUTED_VALUE"""),"必要")</f>
        <v>必要</v>
      </c>
      <c r="I222" s="6" t="str">
        <f aca="false">IFERROR(__xludf.dummyfunction("""COMPUTED_VALUE"""),"男性")</f>
        <v>男性</v>
      </c>
      <c r="J222" s="6" t="str">
        <f aca="false">IFERROR(__xludf.dummyfunction("""COMPUTED_VALUE"""),"日本")</f>
        <v>日本</v>
      </c>
      <c r="K222" s="6" t="str">
        <f aca="false">IFERROR(__xludf.dummyfunction("""COMPUTED_VALUE"""),"45")</f>
        <v>45</v>
      </c>
      <c r="L222" s="6" t="str">
        <f aca="false">IFERROR(__xludf.dummyfunction("""COMPUTED_VALUE"""),"全てレンタルの為無し")</f>
        <v>全てレンタルの為無し</v>
      </c>
      <c r="M222" s="6" t="str">
        <f aca="false">IFERROR(__xludf.dummyfunction("""COMPUTED_VALUE"""),"衣装ケース(30cm×34cm×45cm)が35個")</f>
        <v>衣装ケース(30cm×34cm×45cm)が35個</v>
      </c>
      <c r="N222" s="6" t="str">
        <f aca="false">IFERROR(__xludf.dummyfunction("""COMPUTED_VALUE"""),"自転車1台")</f>
        <v>自転車1台</v>
      </c>
      <c r="O222" s="6" t="str">
        <f aca="false">IFERROR(__xludf.dummyfunction("""COMPUTED_VALUE"""),"不要")</f>
        <v>不要</v>
      </c>
      <c r="P222" s="6"/>
      <c r="Q222" s="6"/>
      <c r="R222" s="6"/>
      <c r="S222" s="6" t="str">
        <f aca="false">IFERROR(__xludf.dummyfunction("""COMPUTED_VALUE"""),"家具家電付き社宅")</f>
        <v>家具家電付き社宅</v>
      </c>
      <c r="T222" s="6" t="str">
        <f aca="false">IFERROR(__xludf.dummyfunction("""COMPUTED_VALUE"""),"利用する")</f>
        <v>利用する</v>
      </c>
      <c r="U222" s="6" t="str">
        <f aca="false">IFERROR(__xludf.dummyfunction("""COMPUTED_VALUE"""),"冷凍冷蔵庫(80ℓ)、洗濯機、エアコン")</f>
        <v>冷凍冷蔵庫(80ℓ)、洗濯機、エアコン</v>
      </c>
      <c r="V222" s="6" t="str">
        <f aca="false">IFERROR(__xludf.dummyfunction("""COMPUTED_VALUE"""),"徒歩, 自転車, 電車")</f>
        <v>徒歩, 自転車, 電車</v>
      </c>
      <c r="W222" s="6"/>
      <c r="X222" s="6" t="str">
        <f aca="false">IFERROR(__xludf.dummyfunction("""COMPUTED_VALUE"""),"ご自身で契約中の物件")</f>
        <v>ご自身で契約中の物件</v>
      </c>
      <c r="Y222" s="6"/>
      <c r="Z222" s="6" t="str">
        <f aca="false">IFERROR(__xludf.dummyfunction("""COMPUTED_VALUE"""),"希望する")</f>
        <v>希望する</v>
      </c>
      <c r="AA222" s="6" t="str">
        <f aca="false">IFERROR(__xludf.dummyfunction("""COMPUTED_VALUE"""),"単身")</f>
        <v>単身</v>
      </c>
      <c r="AB222" s="6"/>
      <c r="AC222" s="6"/>
      <c r="AD222" s="6"/>
      <c r="AE222" s="6" t="str">
        <f aca="false">IFERROR(__xludf.dummyfunction("""COMPUTED_VALUE"""),"確認しました。")</f>
        <v>確認しました。</v>
      </c>
      <c r="AF222" s="6" t="str">
        <f aca="false">IFERROR(__xludf.dummyfunction("""COMPUTED_VALUE"""),"社宅基準の内容について確認しました")</f>
        <v>社宅基準の内容について確認しました</v>
      </c>
      <c r="AG222" s="6" t="str">
        <f aca="false">IFERROR(__xludf.dummyfunction("""COMPUTED_VALUE"""),"入居のしおりの内容についてご確認しました")</f>
        <v>入居のしおりの内容についてご確認しました</v>
      </c>
      <c r="AH222" s="6" t="str">
        <f aca="false">IFERROR(__xludf.dummyfunction("""COMPUTED_VALUE"""),"確認しました")</f>
        <v>確認しました</v>
      </c>
      <c r="AI222" s="6"/>
      <c r="AJ222" s="6" t="str">
        <v/>
      </c>
      <c r="AK222" s="6" t="str">
        <v/>
      </c>
      <c r="AL222" s="6" t="str">
        <v/>
      </c>
      <c r="AM222" s="6" t="str">
        <v/>
      </c>
      <c r="AN222" s="6" t="n">
        <f aca="false">TRUE()</f>
        <v>1</v>
      </c>
    </row>
    <row r="223" customFormat="false" ht="52.5" hidden="false" customHeight="true" outlineLevel="0" collapsed="false">
      <c r="A223" s="6" t="str">
        <f aca="false">IFERROR(__xludf.dummyfunction("""COMPUTED_VALUE"""),"2026/02/28 13:32:14")</f>
        <v>2026/02/28 13:32:14</v>
      </c>
      <c r="B223" s="6"/>
      <c r="C223" s="6" t="str">
        <f aca="false">IFERROR(__xludf.dummyfunction("""COMPUTED_VALUE"""),"70596")</f>
        <v>70596</v>
      </c>
      <c r="D223" s="6"/>
      <c r="E223" s="6"/>
      <c r="F223" s="6"/>
      <c r="G223" s="6" t="str">
        <f aca="false">IFERROR(__xludf.dummyfunction("""COMPUTED_VALUE"""),"2026/03/18")</f>
        <v>2026/03/18</v>
      </c>
      <c r="H223" s="6" t="str">
        <f aca="false">IFERROR(__xludf.dummyfunction("""COMPUTED_VALUE"""),"必要")</f>
        <v>必要</v>
      </c>
      <c r="I223" s="6" t="str">
        <f aca="false">IFERROR(__xludf.dummyfunction("""COMPUTED_VALUE"""),"男性")</f>
        <v>男性</v>
      </c>
      <c r="J223" s="6" t="str">
        <f aca="false">IFERROR(__xludf.dummyfunction("""COMPUTED_VALUE"""),"日本")</f>
        <v>日本</v>
      </c>
      <c r="K223" s="6" t="str">
        <f aca="false">IFERROR(__xludf.dummyfunction("""COMPUTED_VALUE"""),"15")</f>
        <v>15</v>
      </c>
      <c r="L223" s="6" t="str">
        <f aca="false">IFERROR(__xludf.dummyfunction("""COMPUTED_VALUE"""),"なし")</f>
        <v>なし</v>
      </c>
      <c r="M223" s="6" t="str">
        <f aca="false">IFERROR(__xludf.dummyfunction("""COMPUTED_VALUE"""),"棚(横幅80cm・奥行40cm・高さ200cm）")</f>
        <v>棚(横幅80cm・奥行40cm・高さ200cm）</v>
      </c>
      <c r="N223" s="6" t="str">
        <f aca="false">IFERROR(__xludf.dummyfunction("""COMPUTED_VALUE"""),"トレーニングベンチ(折り畳み式)")</f>
        <v>トレーニングベンチ(折り畳み式)</v>
      </c>
      <c r="O223" s="6" t="str">
        <f aca="false">IFERROR(__xludf.dummyfunction("""COMPUTED_VALUE"""),"必要")</f>
        <v>必要</v>
      </c>
      <c r="P223" s="6" t="str">
        <f aca="false">IFERROR(__xludf.dummyfunction("""COMPUTED_VALUE"""),"未定")</f>
        <v>未定</v>
      </c>
      <c r="Q223" s="6" t="str">
        <f aca="false">IFERROR(__xludf.dummyfunction("""COMPUTED_VALUE"""),"未定")</f>
        <v>未定</v>
      </c>
      <c r="R223" s="6" t="str">
        <f aca="false">IFERROR(__xludf.dummyfunction("""COMPUTED_VALUE"""),"未定")</f>
        <v>未定</v>
      </c>
      <c r="S223" s="6" t="str">
        <f aca="false">IFERROR(__xludf.dummyfunction("""COMPUTED_VALUE"""),"家具家電付き社宅")</f>
        <v>家具家電付き社宅</v>
      </c>
      <c r="T223" s="6" t="str">
        <f aca="false">IFERROR(__xludf.dummyfunction("""COMPUTED_VALUE"""),"利用する")</f>
        <v>利用する</v>
      </c>
      <c r="U223" s="6" t="str">
        <f aca="false">IFERROR(__xludf.dummyfunction("""COMPUTED_VALUE"""),"なし")</f>
        <v>なし</v>
      </c>
      <c r="V223" s="6" t="str">
        <f aca="false">IFERROR(__xludf.dummyfunction("""COMPUTED_VALUE"""),"自動車")</f>
        <v>自動車</v>
      </c>
      <c r="W223" s="6"/>
      <c r="X223" s="6" t="str">
        <f aca="false">IFERROR(__xludf.dummyfunction("""COMPUTED_VALUE"""),"実家")</f>
        <v>実家</v>
      </c>
      <c r="Y223" s="6"/>
      <c r="Z223" s="6" t="str">
        <f aca="false">IFERROR(__xludf.dummyfunction("""COMPUTED_VALUE"""),"希望する")</f>
        <v>希望する</v>
      </c>
      <c r="AA223" s="6" t="str">
        <f aca="false">IFERROR(__xludf.dummyfunction("""COMPUTED_VALUE"""),"単身")</f>
        <v>単身</v>
      </c>
      <c r="AB223" s="6"/>
      <c r="AC223" s="6"/>
      <c r="AD223" s="6"/>
      <c r="AE223" s="6" t="str">
        <f aca="false">IFERROR(__xludf.dummyfunction("""COMPUTED_VALUE"""),"確認しました。")</f>
        <v>確認しました。</v>
      </c>
      <c r="AF223" s="6" t="str">
        <f aca="false">IFERROR(__xludf.dummyfunction("""COMPUTED_VALUE"""),"社宅基準の内容について確認しました")</f>
        <v>社宅基準の内容について確認しました</v>
      </c>
      <c r="AG223" s="6" t="str">
        <f aca="false">IFERROR(__xludf.dummyfunction("""COMPUTED_VALUE"""),"入居のしおりの内容についてご確認しました")</f>
        <v>入居のしおりの内容についてご確認しました</v>
      </c>
      <c r="AH223" s="6" t="str">
        <f aca="false">IFERROR(__xludf.dummyfunction("""COMPUTED_VALUE"""),"確認しました")</f>
        <v>確認しました</v>
      </c>
      <c r="AI223" s="6"/>
      <c r="AJ223" s="6" t="str">
        <v/>
      </c>
      <c r="AK223" s="6" t="str">
        <v/>
      </c>
      <c r="AL223" s="6" t="str">
        <v/>
      </c>
      <c r="AM223" s="6" t="str">
        <v/>
      </c>
      <c r="AN223" s="6" t="n">
        <f aca="false">TRUE()</f>
        <v>1</v>
      </c>
    </row>
    <row r="224" customFormat="false" ht="52.5" hidden="false" customHeight="true" outlineLevel="0" collapsed="false">
      <c r="A224" s="6" t="str">
        <f aca="false">IFERROR(__xludf.dummyfunction("""COMPUTED_VALUE"""),"2026/02/28 17:42:21")</f>
        <v>2026/02/28 17:42:21</v>
      </c>
      <c r="B224" s="6"/>
      <c r="C224" s="6" t="str">
        <f aca="false">IFERROR(__xludf.dummyfunction("""COMPUTED_VALUE"""),"70588")</f>
        <v>70588</v>
      </c>
      <c r="D224" s="6"/>
      <c r="E224" s="6"/>
      <c r="F224" s="6"/>
      <c r="G224" s="6" t="str">
        <f aca="false">IFERROR(__xludf.dummyfunction("""COMPUTED_VALUE"""),"2026/04/04")</f>
        <v>2026/04/04</v>
      </c>
      <c r="H224" s="6" t="str">
        <f aca="false">IFERROR(__xludf.dummyfunction("""COMPUTED_VALUE"""),"必要")</f>
        <v>必要</v>
      </c>
      <c r="I224" s="6" t="str">
        <f aca="false">IFERROR(__xludf.dummyfunction("""COMPUTED_VALUE"""),"男性")</f>
        <v>男性</v>
      </c>
      <c r="J224" s="6" t="str">
        <f aca="false">IFERROR(__xludf.dummyfunction("""COMPUTED_VALUE"""),"ベトナム")</f>
        <v>ベトナム</v>
      </c>
      <c r="K224" s="6" t="str">
        <f aca="false">IFERROR(__xludf.dummyfunction("""COMPUTED_VALUE"""),"4")</f>
        <v>4</v>
      </c>
      <c r="L224" s="6" t="str">
        <f aca="false">IFERROR(__xludf.dummyfunction("""COMPUTED_VALUE"""),"冷蔵庫は単身用(2ドア)です。洗濯機は横幅＝562mm・奥行=572mm・高さ=880mmです。")</f>
        <v>冷蔵庫は単身用(2ドア)です。洗濯機は横幅＝562mm・奥行=572mm・高さ=880mmです。</v>
      </c>
      <c r="M224" s="6" t="str">
        <f aca="false">IFERROR(__xludf.dummyfunction("""COMPUTED_VALUE"""),"机は横幅=50cm 奥行=2cm 高さ=100cm です。マットレスはセミダブルです。ガスコンロは横幅=40cm 奥行=20cm 高さ=60cm です。")</f>
        <v>机は横幅=50cm 奥行=2cm 高さ=100cm です。マットレスはセミダブルです。ガスコンロは横幅=40cm 奥行=20cm 高さ=60cm です。</v>
      </c>
      <c r="N224" s="6" t="str">
        <f aca="false">IFERROR(__xludf.dummyfunction("""COMPUTED_VALUE"""),"原付バイク")</f>
        <v>原付バイク</v>
      </c>
      <c r="O224" s="6" t="str">
        <f aca="false">IFERROR(__xludf.dummyfunction("""COMPUTED_VALUE"""),"不要")</f>
        <v>不要</v>
      </c>
      <c r="P224" s="6"/>
      <c r="Q224" s="6"/>
      <c r="R224" s="6"/>
      <c r="S224" s="6" t="str">
        <f aca="false">IFERROR(__xludf.dummyfunction("""COMPUTED_VALUE"""),"家具家電付き社宅")</f>
        <v>家具家電付き社宅</v>
      </c>
      <c r="T224" s="6" t="str">
        <f aca="false">IFERROR(__xludf.dummyfunction("""COMPUTED_VALUE"""),"利用しない")</f>
        <v>利用しない</v>
      </c>
      <c r="U224" s="6"/>
      <c r="V224" s="6" t="str">
        <f aca="false">IFERROR(__xludf.dummyfunction("""COMPUTED_VALUE"""),"徒歩, 自転車")</f>
        <v>徒歩, 自転車</v>
      </c>
      <c r="W224" s="6"/>
      <c r="X224" s="6" t="str">
        <f aca="false">IFERROR(__xludf.dummyfunction("""COMPUTED_VALUE"""),"実家")</f>
        <v>実家</v>
      </c>
      <c r="Y224" s="6"/>
      <c r="Z224" s="6" t="str">
        <f aca="false">IFERROR(__xludf.dummyfunction("""COMPUTED_VALUE"""),"希望する")</f>
        <v>希望する</v>
      </c>
      <c r="AA224" s="6" t="str">
        <f aca="false">IFERROR(__xludf.dummyfunction("""COMPUTED_VALUE"""),"単身")</f>
        <v>単身</v>
      </c>
      <c r="AB224" s="6"/>
      <c r="AC224" s="6"/>
      <c r="AD224" s="6"/>
      <c r="AE224" s="6" t="str">
        <f aca="false">IFERROR(__xludf.dummyfunction("""COMPUTED_VALUE"""),"確認しました。")</f>
        <v>確認しました。</v>
      </c>
      <c r="AF224" s="6" t="str">
        <f aca="false">IFERROR(__xludf.dummyfunction("""COMPUTED_VALUE"""),"社宅基準の内容について確認しました")</f>
        <v>社宅基準の内容について確認しました</v>
      </c>
      <c r="AG224" s="6" t="str">
        <f aca="false">IFERROR(__xludf.dummyfunction("""COMPUTED_VALUE"""),"入居のしおりの内容についてご確認しました")</f>
        <v>入居のしおりの内容についてご確認しました</v>
      </c>
      <c r="AH224" s="6" t="str">
        <f aca="false">IFERROR(__xludf.dummyfunction("""COMPUTED_VALUE"""),"確認しました")</f>
        <v>確認しました</v>
      </c>
      <c r="AI224" s="6"/>
      <c r="AJ224" s="6" t="str">
        <v/>
      </c>
      <c r="AK224" s="6" t="str">
        <v/>
      </c>
      <c r="AL224" s="6" t="str">
        <v/>
      </c>
      <c r="AM224" s="6" t="str">
        <v/>
      </c>
      <c r="AN224" s="6" t="n">
        <f aca="false">TRUE()</f>
        <v>1</v>
      </c>
    </row>
    <row r="225" customFormat="false" ht="52.5" hidden="false" customHeight="true" outlineLevel="0" collapsed="false">
      <c r="A225" s="6" t="str">
        <f aca="false">IFERROR(__xludf.dummyfunction("""COMPUTED_VALUE"""),"2026/02/28 19:09:38")</f>
        <v>2026/02/28 19:09:38</v>
      </c>
      <c r="B225" s="6"/>
      <c r="C225" s="6" t="str">
        <f aca="false">IFERROR(__xludf.dummyfunction("""COMPUTED_VALUE"""),"70644")</f>
        <v>70644</v>
      </c>
      <c r="D225" s="6"/>
      <c r="E225" s="6"/>
      <c r="F225" s="6"/>
      <c r="G225" s="6" t="str">
        <f aca="false">IFERROR(__xludf.dummyfunction("""COMPUTED_VALUE"""),"2026/03/20")</f>
        <v>2026/03/20</v>
      </c>
      <c r="H225" s="6" t="str">
        <f aca="false">IFERROR(__xludf.dummyfunction("""COMPUTED_VALUE"""),"必要")</f>
        <v>必要</v>
      </c>
      <c r="I225" s="6" t="str">
        <f aca="false">IFERROR(__xludf.dummyfunction("""COMPUTED_VALUE"""),"女性")</f>
        <v>女性</v>
      </c>
      <c r="J225" s="6" t="str">
        <f aca="false">IFERROR(__xludf.dummyfunction("""COMPUTED_VALUE"""),"日本")</f>
        <v>日本</v>
      </c>
      <c r="K225" s="6" t="str">
        <f aca="false">IFERROR(__xludf.dummyfunction("""COMPUTED_VALUE"""),"30")</f>
        <v>30</v>
      </c>
      <c r="L225" s="6" t="str">
        <f aca="false">IFERROR(__xludf.dummyfunction("""COMPUTED_VALUE"""),"モニターとゲーミングPC  エアクールファン")</f>
        <v>モニターとゲーミングPC  エアクールファン</v>
      </c>
      <c r="M225" s="6" t="str">
        <f aca="false">IFERROR(__xludf.dummyfunction("""COMPUTED_VALUE"""),"机横幅74cm奥行き74cm高さ37cm
ハンガーラック横58.5cm奥行き43cm高さ138.5cm
収納ボックス3個")</f>
        <v>机横幅74cm奥行き74cm高さ37cm
ハンガーラック横58.5cm奥行き43cm高さ138.5cm
収納ボックス3個</v>
      </c>
      <c r="N225" s="6" t="str">
        <f aca="false">IFERROR(__xludf.dummyfunction("""COMPUTED_VALUE"""),"コレクション（割れ物含む）")</f>
        <v>コレクション（割れ物含む）</v>
      </c>
      <c r="O225" s="6" t="str">
        <f aca="false">IFERROR(__xludf.dummyfunction("""COMPUTED_VALUE"""),"不要")</f>
        <v>不要</v>
      </c>
      <c r="P225" s="6"/>
      <c r="Q225" s="6"/>
      <c r="R225" s="6"/>
      <c r="S225" s="6" t="str">
        <f aca="false">IFERROR(__xludf.dummyfunction("""COMPUTED_VALUE"""),"家具家電なし社宅")</f>
        <v>家具家電なし社宅</v>
      </c>
      <c r="T225" s="6" t="str">
        <f aca="false">IFERROR(__xludf.dummyfunction("""COMPUTED_VALUE"""),"利用する")</f>
        <v>利用する</v>
      </c>
      <c r="U225" s="6" t="str">
        <f aca="false">IFERROR(__xludf.dummyfunction("""COMPUTED_VALUE"""),"全自動洗濯機　冷凍冷蔵庫2ドア ガスコンロ（安全装置2か所付）")</f>
        <v>全自動洗濯機　冷凍冷蔵庫2ドア ガスコンロ（安全装置2か所付）</v>
      </c>
      <c r="V225" s="6" t="str">
        <f aca="false">IFERROR(__xludf.dummyfunction("""COMPUTED_VALUE"""),"徒歩, 電車, バス")</f>
        <v>徒歩, 電車, バス</v>
      </c>
      <c r="W225" s="6"/>
      <c r="X225" s="6" t="str">
        <f aca="false">IFERROR(__xludf.dummyfunction("""COMPUTED_VALUE"""),"実家")</f>
        <v>実家</v>
      </c>
      <c r="Y225" s="6"/>
      <c r="Z225" s="6" t="str">
        <f aca="false">IFERROR(__xludf.dummyfunction("""COMPUTED_VALUE"""),"希望する")</f>
        <v>希望する</v>
      </c>
      <c r="AA225" s="6" t="str">
        <f aca="false">IFERROR(__xludf.dummyfunction("""COMPUTED_VALUE"""),"家族")</f>
        <v>家族</v>
      </c>
      <c r="AB225" s="6" t="str">
        <f aca="false">IFERROR(__xludf.dummyfunction("""COMPUTED_VALUE"""),"氏名：永井裕子
フリガナ：ナガイユウコ
生年月日：1961年12月29日
携帯番号：090-9628-8284
続柄：母")</f>
        <v>氏名：永井裕子
フリガナ：ナガイユウコ
生年月日：1961年12月29日
携帯番号：090-9628-8284
続柄：母</v>
      </c>
      <c r="AC225" s="6"/>
      <c r="AD225" s="6"/>
      <c r="AE225" s="6" t="str">
        <f aca="false">IFERROR(__xludf.dummyfunction("""COMPUTED_VALUE"""),"確認しました。")</f>
        <v>確認しました。</v>
      </c>
      <c r="AF225" s="6" t="str">
        <f aca="false">IFERROR(__xludf.dummyfunction("""COMPUTED_VALUE"""),"社宅基準の内容について確認しました")</f>
        <v>社宅基準の内容について確認しました</v>
      </c>
      <c r="AG225" s="6" t="str">
        <f aca="false">IFERROR(__xludf.dummyfunction("""COMPUTED_VALUE"""),"入居のしおりの内容についてご確認しました")</f>
        <v>入居のしおりの内容についてご確認しました</v>
      </c>
      <c r="AH225" s="6" t="str">
        <f aca="false">IFERROR(__xludf.dummyfunction("""COMPUTED_VALUE"""),"確認しました")</f>
        <v>確認しました</v>
      </c>
      <c r="AI225" s="6"/>
      <c r="AJ225" s="6" t="str">
        <v/>
      </c>
      <c r="AK225" s="6" t="str">
        <v/>
      </c>
      <c r="AL225" s="6" t="str">
        <v/>
      </c>
      <c r="AM225" s="6" t="str">
        <v/>
      </c>
      <c r="AN225" s="6" t="n">
        <f aca="false">FALSE()</f>
        <v>0</v>
      </c>
    </row>
    <row r="226" customFormat="false" ht="52.5" hidden="false" customHeight="true" outlineLevel="0" collapsed="false">
      <c r="A226" s="6" t="str">
        <f aca="false">IFERROR(__xludf.dummyfunction("""COMPUTED_VALUE"""),"2026/02/28 19:56:55")</f>
        <v>2026/02/28 19:56:55</v>
      </c>
      <c r="B226" s="6"/>
      <c r="C226" s="6" t="str">
        <f aca="false">IFERROR(__xludf.dummyfunction("""COMPUTED_VALUE"""),"70618")</f>
        <v>70618</v>
      </c>
      <c r="D226" s="6"/>
      <c r="E226" s="6"/>
      <c r="F226" s="6"/>
      <c r="G226" s="6" t="str">
        <f aca="false">IFERROR(__xludf.dummyfunction("""COMPUTED_VALUE"""),"2026/03/13")</f>
        <v>2026/03/13</v>
      </c>
      <c r="H226" s="6" t="str">
        <f aca="false">IFERROR(__xludf.dummyfunction("""COMPUTED_VALUE"""),"必要")</f>
        <v>必要</v>
      </c>
      <c r="I226" s="6" t="str">
        <f aca="false">IFERROR(__xludf.dummyfunction("""COMPUTED_VALUE"""),"男性")</f>
        <v>男性</v>
      </c>
      <c r="J226" s="6" t="str">
        <f aca="false">IFERROR(__xludf.dummyfunction("""COMPUTED_VALUE"""),"ベトナム")</f>
        <v>ベトナム</v>
      </c>
      <c r="K226" s="6" t="str">
        <f aca="false">IFERROR(__xludf.dummyfunction("""COMPUTED_VALUE"""),"5")</f>
        <v>5</v>
      </c>
      <c r="L226" s="6" t="str">
        <f aca="false">IFERROR(__xludf.dummyfunction("""COMPUTED_VALUE"""),"無し")</f>
        <v>無し</v>
      </c>
      <c r="M226" s="6" t="str">
        <f aca="false">IFERROR(__xludf.dummyfunction("""COMPUTED_VALUE"""),"無し")</f>
        <v>無し</v>
      </c>
      <c r="N226" s="6" t="str">
        <f aca="false">IFERROR(__xludf.dummyfunction("""COMPUTED_VALUE"""),"スーツケース2つ、リュック1つ")</f>
        <v>スーツケース2つ、リュック1つ</v>
      </c>
      <c r="O226" s="6" t="str">
        <f aca="false">IFERROR(__xludf.dummyfunction("""COMPUTED_VALUE"""),"不要")</f>
        <v>不要</v>
      </c>
      <c r="P226" s="6"/>
      <c r="Q226" s="6"/>
      <c r="R226" s="6"/>
      <c r="S226" s="6" t="str">
        <f aca="false">IFERROR(__xludf.dummyfunction("""COMPUTED_VALUE"""),"家具家電付き社宅")</f>
        <v>家具家電付き社宅</v>
      </c>
      <c r="T226" s="6" t="str">
        <f aca="false">IFERROR(__xludf.dummyfunction("""COMPUTED_VALUE"""),"利用しない")</f>
        <v>利用しない</v>
      </c>
      <c r="U226" s="6"/>
      <c r="V226" s="6" t="str">
        <f aca="false">IFERROR(__xludf.dummyfunction("""COMPUTED_VALUE"""),"徒歩, 電車")</f>
        <v>徒歩, 電車</v>
      </c>
      <c r="W226" s="6"/>
      <c r="X226" s="6" t="str">
        <f aca="false">IFERROR(__xludf.dummyfunction("""COMPUTED_VALUE"""),"株式会社ビーネックステクノロジーズの社宅")</f>
        <v>株式会社ビーネックステクノロジーズの社宅</v>
      </c>
      <c r="Y226" s="6" t="str">
        <f aca="false">IFERROR(__xludf.dummyfunction("""COMPUTED_VALUE"""),"寝具一式を回収希望したい。")</f>
        <v>寝具一式を回収希望したい。</v>
      </c>
      <c r="Z226" s="6" t="str">
        <f aca="false">IFERROR(__xludf.dummyfunction("""COMPUTED_VALUE"""),"希望する")</f>
        <v>希望する</v>
      </c>
      <c r="AA226" s="6" t="str">
        <f aca="false">IFERROR(__xludf.dummyfunction("""COMPUTED_VALUE"""),"単身")</f>
        <v>単身</v>
      </c>
      <c r="AB226" s="6"/>
      <c r="AC226" s="6"/>
      <c r="AD226" s="6" t="str">
        <f aca="false">IFERROR(__xludf.dummyfunction("""COMPUTED_VALUE"""),"住居について特にこだわりはなく、部屋の広さが小さくても問題ありません。")</f>
        <v>住居について特にこだわりはなく、部屋の広さが小さくても問題ありません。</v>
      </c>
      <c r="AE226" s="6" t="str">
        <f aca="false">IFERROR(__xludf.dummyfunction("""COMPUTED_VALUE"""),"確認しました。")</f>
        <v>確認しました。</v>
      </c>
      <c r="AF226" s="6" t="str">
        <f aca="false">IFERROR(__xludf.dummyfunction("""COMPUTED_VALUE"""),"社宅基準の内容について確認しました")</f>
        <v>社宅基準の内容について確認しました</v>
      </c>
      <c r="AG226" s="6" t="str">
        <f aca="false">IFERROR(__xludf.dummyfunction("""COMPUTED_VALUE"""),"入居のしおりの内容についてご確認しました")</f>
        <v>入居のしおりの内容についてご確認しました</v>
      </c>
      <c r="AH226" s="6" t="str">
        <f aca="false">IFERROR(__xludf.dummyfunction("""COMPUTED_VALUE"""),"確認しました")</f>
        <v>確認しました</v>
      </c>
      <c r="AI226" s="6"/>
      <c r="AJ226" s="6" t="str">
        <v/>
      </c>
      <c r="AK226" s="6" t="str">
        <v/>
      </c>
      <c r="AL226" s="6" t="str">
        <v/>
      </c>
      <c r="AM226" s="6" t="str">
        <v/>
      </c>
      <c r="AN226" s="6" t="n">
        <f aca="false">TRUE()</f>
        <v>1</v>
      </c>
    </row>
    <row r="227" customFormat="false" ht="52.5" hidden="false" customHeight="true" outlineLevel="0" collapsed="false">
      <c r="A227" s="6" t="str">
        <f aca="false">IFERROR(__xludf.dummyfunction("""COMPUTED_VALUE"""),"2026/02/28 22:59:03")</f>
        <v>2026/02/28 22:59:03</v>
      </c>
      <c r="B227" s="6"/>
      <c r="C227" s="6" t="str">
        <f aca="false">IFERROR(__xludf.dummyfunction("""COMPUTED_VALUE"""),"70570")</f>
        <v>70570</v>
      </c>
      <c r="D227" s="6"/>
      <c r="E227" s="6"/>
      <c r="F227" s="6"/>
      <c r="G227" s="6" t="str">
        <f aca="false">IFERROR(__xludf.dummyfunction("""COMPUTED_VALUE"""),"2026/03/28")</f>
        <v>2026/03/28</v>
      </c>
      <c r="H227" s="6" t="str">
        <f aca="false">IFERROR(__xludf.dummyfunction("""COMPUTED_VALUE"""),"必要")</f>
        <v>必要</v>
      </c>
      <c r="I227" s="6" t="str">
        <f aca="false">IFERROR(__xludf.dummyfunction("""COMPUTED_VALUE"""),"男性")</f>
        <v>男性</v>
      </c>
      <c r="J227" s="6" t="str">
        <f aca="false">IFERROR(__xludf.dummyfunction("""COMPUTED_VALUE"""),"日本")</f>
        <v>日本</v>
      </c>
      <c r="K227" s="6" t="str">
        <f aca="false">IFERROR(__xludf.dummyfunction("""COMPUTED_VALUE"""),"20")</f>
        <v>20</v>
      </c>
      <c r="L227" s="6" t="str">
        <f aca="false">IFERROR(__xludf.dummyfunction("""COMPUTED_VALUE"""),"冷蔵庫（単身用）、電子レンジ、デスクトップPC、モニター、電気ケトル、小型炊飯器、ウォーターサーバー、
ドラム式洗濯機（560mm×540mm×980mm）")</f>
        <v>冷蔵庫（単身用）、電子レンジ、デスクトップPC、モニター、電気ケトル、小型炊飯器、ウォーターサーバー、
ドラム式洗濯機（560mm×540mm×980mm）</v>
      </c>
      <c r="M227" s="6" t="str">
        <f aca="false">IFERROR(__xludf.dummyfunction("""COMPUTED_VALUE"""),"折りたたみ机（700mm×500mm×40mm）")</f>
        <v>折りたたみ机（700mm×500mm×40mm）</v>
      </c>
      <c r="N227" s="6"/>
      <c r="O227" s="6" t="str">
        <f aca="false">IFERROR(__xludf.dummyfunction("""COMPUTED_VALUE"""),"不要")</f>
        <v>不要</v>
      </c>
      <c r="P227" s="6"/>
      <c r="Q227" s="6"/>
      <c r="R227" s="6"/>
      <c r="S227" s="6" t="str">
        <f aca="false">IFERROR(__xludf.dummyfunction("""COMPUTED_VALUE"""),"家具家電なし社宅")</f>
        <v>家具家電なし社宅</v>
      </c>
      <c r="T227" s="6" t="str">
        <f aca="false">IFERROR(__xludf.dummyfunction("""COMPUTED_VALUE"""),"利用しない")</f>
        <v>利用しない</v>
      </c>
      <c r="U227" s="6"/>
      <c r="V227" s="6" t="str">
        <f aca="false">IFERROR(__xludf.dummyfunction("""COMPUTED_VALUE"""),"徒歩, 電車, バス")</f>
        <v>徒歩, 電車, バス</v>
      </c>
      <c r="W227" s="6"/>
      <c r="X227" s="6" t="str">
        <f aca="false">IFERROR(__xludf.dummyfunction("""COMPUTED_VALUE"""),"株式会社ビーネックステクノロジーズの社宅")</f>
        <v>株式会社ビーネックステクノロジーズの社宅</v>
      </c>
      <c r="Y227" s="6" t="str">
        <f aca="false">IFERROR(__xludf.dummyfunction("""COMPUTED_VALUE"""),"利用なし")</f>
        <v>利用なし</v>
      </c>
      <c r="Z227" s="6" t="str">
        <f aca="false">IFERROR(__xludf.dummyfunction("""COMPUTED_VALUE"""),"希望する")</f>
        <v>希望する</v>
      </c>
      <c r="AA227" s="6" t="str">
        <f aca="false">IFERROR(__xludf.dummyfunction("""COMPUTED_VALUE"""),"単身")</f>
        <v>単身</v>
      </c>
      <c r="AB227" s="6"/>
      <c r="AC227" s="6"/>
      <c r="AD227" s="6" t="str">
        <f aca="false">IFERROR(__xludf.dummyfunction("""COMPUTED_VALUE"""),"職場まで徒歩15分内、光回線工事済み、
富士駅まで徒歩15分内")</f>
        <v>職場まで徒歩15分内、光回線工事済み、
富士駅まで徒歩15分内</v>
      </c>
      <c r="AE227" s="6" t="str">
        <f aca="false">IFERROR(__xludf.dummyfunction("""COMPUTED_VALUE"""),"確認しました。")</f>
        <v>確認しました。</v>
      </c>
      <c r="AF227" s="6" t="str">
        <f aca="false">IFERROR(__xludf.dummyfunction("""COMPUTED_VALUE"""),"社宅基準の内容について確認しました")</f>
        <v>社宅基準の内容について確認しました</v>
      </c>
      <c r="AG227" s="6" t="str">
        <f aca="false">IFERROR(__xludf.dummyfunction("""COMPUTED_VALUE"""),"入居のしおりの内容についてご確認しました")</f>
        <v>入居のしおりの内容についてご確認しました</v>
      </c>
      <c r="AH227" s="6" t="str">
        <f aca="false">IFERROR(__xludf.dummyfunction("""COMPUTED_VALUE"""),"確認しました")</f>
        <v>確認しました</v>
      </c>
      <c r="AI227" s="6"/>
      <c r="AJ227" s="6" t="str">
        <v/>
      </c>
      <c r="AK227" s="6" t="str">
        <v/>
      </c>
      <c r="AL227" s="6" t="str">
        <v/>
      </c>
      <c r="AM227" s="6" t="str">
        <v/>
      </c>
      <c r="AN227" s="6" t="n">
        <f aca="false">TRUE()</f>
        <v>1</v>
      </c>
    </row>
    <row r="228" customFormat="false" ht="52.5" hidden="false" customHeight="true" outlineLevel="0" collapsed="false">
      <c r="A228" s="6" t="str">
        <f aca="false">IFERROR(__xludf.dummyfunction("""COMPUTED_VALUE"""),"2026/02/28 23:31:24")</f>
        <v>2026/02/28 23:31:24</v>
      </c>
      <c r="B228" s="6"/>
      <c r="C228" s="6" t="str">
        <f aca="false">IFERROR(__xludf.dummyfunction("""COMPUTED_VALUE"""),"70600")</f>
        <v>70600</v>
      </c>
      <c r="D228" s="6"/>
      <c r="E228" s="6"/>
      <c r="F228" s="6"/>
      <c r="G228" s="6" t="str">
        <f aca="false">IFERROR(__xludf.dummyfunction("""COMPUTED_VALUE"""),"2026/02/05")</f>
        <v>2026/02/05</v>
      </c>
      <c r="H228" s="6" t="str">
        <f aca="false">IFERROR(__xludf.dummyfunction("""COMPUTED_VALUE"""),"必要")</f>
        <v>必要</v>
      </c>
      <c r="I228" s="6" t="str">
        <f aca="false">IFERROR(__xludf.dummyfunction("""COMPUTED_VALUE"""),"男性")</f>
        <v>男性</v>
      </c>
      <c r="J228" s="6" t="str">
        <f aca="false">IFERROR(__xludf.dummyfunction("""COMPUTED_VALUE"""),"日本")</f>
        <v>日本</v>
      </c>
      <c r="K228" s="6" t="str">
        <f aca="false">IFERROR(__xludf.dummyfunction("""COMPUTED_VALUE"""),"10")</f>
        <v>10</v>
      </c>
      <c r="L228" s="6" t="str">
        <f aca="false">IFERROR(__xludf.dummyfunction("""COMPUTED_VALUE"""),"パソコン")</f>
        <v>パソコン</v>
      </c>
      <c r="M228" s="6" t="str">
        <f aca="false">IFERROR(__xludf.dummyfunction("""COMPUTED_VALUE"""),"机(横幅168×120 奥行き48 高さ75)")</f>
        <v>机(横幅168×120 奥行き48 高さ75)</v>
      </c>
      <c r="N228" s="6" t="str">
        <f aca="false">IFERROR(__xludf.dummyfunction("""COMPUTED_VALUE"""),"ピアノ")</f>
        <v>ピアノ</v>
      </c>
      <c r="O228" s="6" t="str">
        <f aca="false">IFERROR(__xludf.dummyfunction("""COMPUTED_VALUE"""),"必要")</f>
        <v>必要</v>
      </c>
      <c r="P228" s="6" t="str">
        <f aca="false">IFERROR(__xludf.dummyfunction("""COMPUTED_VALUE"""),"アルト")</f>
        <v>アルト</v>
      </c>
      <c r="Q228" s="6" t="str">
        <f aca="false">IFERROR(__xludf.dummyfunction("""COMPUTED_VALUE"""),"の33-45")</f>
        <v>の33-45</v>
      </c>
      <c r="R228" s="6" t="str">
        <f aca="false">IFERROR(__xludf.dummyfunction("""COMPUTED_VALUE"""),"紺色")</f>
        <v>紺色</v>
      </c>
      <c r="S228" s="6" t="str">
        <f aca="false">IFERROR(__xludf.dummyfunction("""COMPUTED_VALUE"""),"家具家電なし社宅")</f>
        <v>家具家電なし社宅</v>
      </c>
      <c r="T228" s="6" t="str">
        <f aca="false">IFERROR(__xludf.dummyfunction("""COMPUTED_VALUE"""),"利用しない")</f>
        <v>利用しない</v>
      </c>
      <c r="U228" s="6"/>
      <c r="V228" s="6" t="str">
        <f aca="false">IFERROR(__xludf.dummyfunction("""COMPUTED_VALUE"""),"自動車")</f>
        <v>自動車</v>
      </c>
      <c r="W228" s="6"/>
      <c r="X228" s="6" t="str">
        <f aca="false">IFERROR(__xludf.dummyfunction("""COMPUTED_VALUE"""),"実家")</f>
        <v>実家</v>
      </c>
      <c r="Y228" s="6"/>
      <c r="Z228" s="6" t="str">
        <f aca="false">IFERROR(__xludf.dummyfunction("""COMPUTED_VALUE"""),"希望する")</f>
        <v>希望する</v>
      </c>
      <c r="AA228" s="6" t="str">
        <f aca="false">IFERROR(__xludf.dummyfunction("""COMPUTED_VALUE"""),"単身")</f>
        <v>単身</v>
      </c>
      <c r="AB228" s="6"/>
      <c r="AC228" s="6"/>
      <c r="AD228" s="6"/>
      <c r="AE228" s="6" t="str">
        <f aca="false">IFERROR(__xludf.dummyfunction("""COMPUTED_VALUE"""),"確認しました。")</f>
        <v>確認しました。</v>
      </c>
      <c r="AF228" s="6" t="str">
        <f aca="false">IFERROR(__xludf.dummyfunction("""COMPUTED_VALUE"""),"社宅基準の内容について確認しました")</f>
        <v>社宅基準の内容について確認しました</v>
      </c>
      <c r="AG228" s="6" t="str">
        <f aca="false">IFERROR(__xludf.dummyfunction("""COMPUTED_VALUE"""),"入居のしおりの内容についてご確認しました")</f>
        <v>入居のしおりの内容についてご確認しました</v>
      </c>
      <c r="AH228" s="6" t="str">
        <f aca="false">IFERROR(__xludf.dummyfunction("""COMPUTED_VALUE"""),"確認しました")</f>
        <v>確認しました</v>
      </c>
      <c r="AI228" s="6"/>
      <c r="AJ228" s="6" t="str">
        <v/>
      </c>
      <c r="AK228" s="6" t="str">
        <v/>
      </c>
      <c r="AL228" s="6" t="str">
        <v/>
      </c>
      <c r="AM228" s="6" t="str">
        <v/>
      </c>
      <c r="AN228" s="6" t="n">
        <f aca="false">TRUE()</f>
        <v>1</v>
      </c>
    </row>
    <row r="229" customFormat="false" ht="52.5" hidden="false" customHeight="true" outlineLevel="0" collapsed="false">
      <c r="A229" s="6" t="str">
        <f aca="false">IFERROR(__xludf.dummyfunction("""COMPUTED_VALUE"""),"2026/03/01 10:23:02")</f>
        <v>2026/03/01 10:23:02</v>
      </c>
      <c r="B229" s="6"/>
      <c r="C229" s="6" t="str">
        <f aca="false">IFERROR(__xludf.dummyfunction("""COMPUTED_VALUE"""),"70639")</f>
        <v>70639</v>
      </c>
      <c r="D229" s="6"/>
      <c r="E229" s="6"/>
      <c r="F229" s="6"/>
      <c r="G229" s="6" t="str">
        <f aca="false">IFERROR(__xludf.dummyfunction("""COMPUTED_VALUE"""),"2026/03/28")</f>
        <v>2026/03/28</v>
      </c>
      <c r="H229" s="6" t="str">
        <f aca="false">IFERROR(__xludf.dummyfunction("""COMPUTED_VALUE"""),"不要")</f>
        <v>不要</v>
      </c>
      <c r="I229" s="6" t="str">
        <f aca="false">IFERROR(__xludf.dummyfunction("""COMPUTED_VALUE"""),"男性")</f>
        <v>男性</v>
      </c>
      <c r="J229" s="6" t="str">
        <f aca="false">IFERROR(__xludf.dummyfunction("""COMPUTED_VALUE"""),"日本")</f>
        <v>日本</v>
      </c>
      <c r="K229" s="6"/>
      <c r="L229" s="6"/>
      <c r="M229" s="6"/>
      <c r="N229" s="6"/>
      <c r="O229" s="6" t="str">
        <f aca="false">IFERROR(__xludf.dummyfunction("""COMPUTED_VALUE"""),"不要")</f>
        <v>不要</v>
      </c>
      <c r="P229" s="6"/>
      <c r="Q229" s="6"/>
      <c r="R229" s="6"/>
      <c r="S229" s="6" t="str">
        <f aca="false">IFERROR(__xludf.dummyfunction("""COMPUTED_VALUE"""),"家具家電付き社宅")</f>
        <v>家具家電付き社宅</v>
      </c>
      <c r="T229" s="6" t="str">
        <f aca="false">IFERROR(__xludf.dummyfunction("""COMPUTED_VALUE"""),"利用する")</f>
        <v>利用する</v>
      </c>
      <c r="U229" s="6" t="str">
        <f aca="false">IFERROR(__xludf.dummyfunction("""COMPUTED_VALUE"""),"エアコン")</f>
        <v>エアコン</v>
      </c>
      <c r="V229" s="6" t="str">
        <f aca="false">IFERROR(__xludf.dummyfunction("""COMPUTED_VALUE"""),"徒歩, 自転車, バス")</f>
        <v>徒歩, 自転車, バス</v>
      </c>
      <c r="W229" s="6"/>
      <c r="X229" s="6" t="str">
        <f aca="false">IFERROR(__xludf.dummyfunction("""COMPUTED_VALUE"""),"ご自身で契約中の物件")</f>
        <v>ご自身で契約中の物件</v>
      </c>
      <c r="Y229" s="6"/>
      <c r="Z229" s="6" t="str">
        <f aca="false">IFERROR(__xludf.dummyfunction("""COMPUTED_VALUE"""),"希望する")</f>
        <v>希望する</v>
      </c>
      <c r="AA229" s="6" t="str">
        <f aca="false">IFERROR(__xludf.dummyfunction("""COMPUTED_VALUE"""),"単身")</f>
        <v>単身</v>
      </c>
      <c r="AB229" s="6"/>
      <c r="AC229" s="6"/>
      <c r="AD229" s="6"/>
      <c r="AE229" s="6" t="str">
        <f aca="false">IFERROR(__xludf.dummyfunction("""COMPUTED_VALUE"""),"確認しました。")</f>
        <v>確認しました。</v>
      </c>
      <c r="AF229" s="6" t="str">
        <f aca="false">IFERROR(__xludf.dummyfunction("""COMPUTED_VALUE"""),"社宅基準の内容について確認しました")</f>
        <v>社宅基準の内容について確認しました</v>
      </c>
      <c r="AG229" s="6" t="str">
        <f aca="false">IFERROR(__xludf.dummyfunction("""COMPUTED_VALUE"""),"入居のしおりの内容についてご確認しました")</f>
        <v>入居のしおりの内容についてご確認しました</v>
      </c>
      <c r="AH229" s="6" t="str">
        <f aca="false">IFERROR(__xludf.dummyfunction("""COMPUTED_VALUE"""),"確認しました")</f>
        <v>確認しました</v>
      </c>
      <c r="AI229" s="6"/>
      <c r="AJ229" s="6" t="str">
        <v/>
      </c>
      <c r="AK229" s="6" t="str">
        <v/>
      </c>
      <c r="AL229" s="6" t="str">
        <v/>
      </c>
      <c r="AM229" s="6" t="str">
        <v/>
      </c>
      <c r="AN229" s="6" t="n">
        <f aca="false">FALSE()</f>
        <v>0</v>
      </c>
    </row>
    <row r="230" customFormat="false" ht="52.5" hidden="false" customHeight="true" outlineLevel="0" collapsed="false">
      <c r="A230" s="6" t="str">
        <f aca="false">IFERROR(__xludf.dummyfunction("""COMPUTED_VALUE"""),"2026/03/01 17:07:09")</f>
        <v>2026/03/01 17:07:09</v>
      </c>
      <c r="B230" s="6"/>
      <c r="C230" s="6" t="str">
        <f aca="false">IFERROR(__xludf.dummyfunction("""COMPUTED_VALUE"""),"70590")</f>
        <v>70590</v>
      </c>
      <c r="D230" s="6"/>
      <c r="E230" s="6"/>
      <c r="F230" s="6"/>
      <c r="G230" s="6" t="str">
        <f aca="false">IFERROR(__xludf.dummyfunction("""COMPUTED_VALUE"""),"2026/03/27")</f>
        <v>2026/03/27</v>
      </c>
      <c r="H230" s="6" t="str">
        <f aca="false">IFERROR(__xludf.dummyfunction("""COMPUTED_VALUE"""),"必要")</f>
        <v>必要</v>
      </c>
      <c r="I230" s="6" t="str">
        <f aca="false">IFERROR(__xludf.dummyfunction("""COMPUTED_VALUE"""),"男性")</f>
        <v>男性</v>
      </c>
      <c r="J230" s="6" t="str">
        <f aca="false">IFERROR(__xludf.dummyfunction("""COMPUTED_VALUE"""),"日本")</f>
        <v>日本</v>
      </c>
      <c r="K230" s="6" t="str">
        <f aca="false">IFERROR(__xludf.dummyfunction("""COMPUTED_VALUE"""),"20")</f>
        <v>20</v>
      </c>
      <c r="L230" s="6" t="str">
        <f aca="false">IFERROR(__xludf.dummyfunction("""COMPUTED_VALUE"""),"テレビ、ブルーレイディスクレコーダー、サーキュレーター、ノートパソコン、電気スタンド、電気ケトル、ドライヤー、電子レンジ、掃除機、Wi-Fiルーター")</f>
        <v>テレビ、ブルーレイディスクレコーダー、サーキュレーター、ノートパソコン、電気スタンド、電気ケトル、ドライヤー、電子レンジ、掃除機、Wi-Fiルーター</v>
      </c>
      <c r="M230" s="6" t="str">
        <f aca="false">IFERROR(__xludf.dummyfunction("""COMPUTED_VALUE"""),"本棚(幅 40cm,奥行 30cm,高さ 170cm)、物干し(幅 80cm,奥行 40cm,高さ 160cm)、テレビ台(幅 80cm,奥行 40cm高さ 50cm)、衣類ケース✖️2(幅 40cm,奥行 55cm,高さ 30cm)、衣類ケース(幅 70cm,奥行 40cm,高さ 30cm)、衣類用カゴ、クイックルワイパー、掛け布団、毛布")</f>
        <v>本棚(幅 40cm,奥行 30cm,高さ 170cm)、物干し(幅 80cm,奥行 40cm,高さ 160cm)、テレビ台(幅 80cm,奥行 40cm高さ 50cm)、衣類ケース✖️2(幅 40cm,奥行 55cm,高さ 30cm)、衣類ケース(幅 70cm,奥行 40cm,高さ 30cm)、衣類用カゴ、クイックルワイパー、掛け布団、毛布</v>
      </c>
      <c r="N230" s="6" t="str">
        <f aca="false">IFERROR(__xludf.dummyfunction("""COMPUTED_VALUE"""),"自転車、自転車用空気入れ")</f>
        <v>自転車、自転車用空気入れ</v>
      </c>
      <c r="O230" s="6" t="str">
        <f aca="false">IFERROR(__xludf.dummyfunction("""COMPUTED_VALUE"""),"不要")</f>
        <v>不要</v>
      </c>
      <c r="P230" s="6"/>
      <c r="Q230" s="6"/>
      <c r="R230" s="6"/>
      <c r="S230" s="6" t="str">
        <f aca="false">IFERROR(__xludf.dummyfunction("""COMPUTED_VALUE"""),"家具家電付き社宅")</f>
        <v>家具家電付き社宅</v>
      </c>
      <c r="T230" s="6" t="str">
        <f aca="false">IFERROR(__xludf.dummyfunction("""COMPUTED_VALUE"""),"利用する")</f>
        <v>利用する</v>
      </c>
      <c r="U230" s="6" t="str">
        <f aca="false">IFERROR(__xludf.dummyfunction("""COMPUTED_VALUE"""),"ベッド、ベッド用マットレス、枕")</f>
        <v>ベッド、ベッド用マットレス、枕</v>
      </c>
      <c r="V230" s="6" t="str">
        <f aca="false">IFERROR(__xludf.dummyfunction("""COMPUTED_VALUE"""),"徒歩, 自転車, 電車, バス")</f>
        <v>徒歩, 自転車, 電車, バス</v>
      </c>
      <c r="W230" s="6"/>
      <c r="X230" s="6" t="str">
        <f aca="false">IFERROR(__xludf.dummyfunction("""COMPUTED_VALUE"""),"株式会社ビーネックステクノロジーズの社宅")</f>
        <v>株式会社ビーネックステクノロジーズの社宅</v>
      </c>
      <c r="Y230" s="6" t="str">
        <f aca="false">IFERROR(__xludf.dummyfunction("""COMPUTED_VALUE"""),"洗濯機(回収希望)、勉強机セット(机、椅子)(回収希望)、毛布(新社宅へ引継ぎ希望)、枕(回収希望)、ローテーブル(新社宅へ引継ぎ希望)")</f>
        <v>洗濯機(回収希望)、勉強机セット(机、椅子)(回収希望)、毛布(新社宅へ引継ぎ希望)、枕(回収希望)、ローテーブル(新社宅へ引継ぎ希望)</v>
      </c>
      <c r="Z230" s="6" t="str">
        <f aca="false">IFERROR(__xludf.dummyfunction("""COMPUTED_VALUE"""),"希望する")</f>
        <v>希望する</v>
      </c>
      <c r="AA230" s="6" t="str">
        <f aca="false">IFERROR(__xludf.dummyfunction("""COMPUTED_VALUE"""),"単身")</f>
        <v>単身</v>
      </c>
      <c r="AB230" s="6"/>
      <c r="AC230" s="6"/>
      <c r="AD230" s="6"/>
      <c r="AE230" s="6" t="str">
        <f aca="false">IFERROR(__xludf.dummyfunction("""COMPUTED_VALUE"""),"確認しました。")</f>
        <v>確認しました。</v>
      </c>
      <c r="AF230" s="6" t="str">
        <f aca="false">IFERROR(__xludf.dummyfunction("""COMPUTED_VALUE"""),"社宅基準の内容について確認しました")</f>
        <v>社宅基準の内容について確認しました</v>
      </c>
      <c r="AG230" s="6" t="str">
        <f aca="false">IFERROR(__xludf.dummyfunction("""COMPUTED_VALUE"""),"入居のしおりの内容についてご確認しました")</f>
        <v>入居のしおりの内容についてご確認しました</v>
      </c>
      <c r="AH230" s="6" t="str">
        <f aca="false">IFERROR(__xludf.dummyfunction("""COMPUTED_VALUE"""),"確認しました")</f>
        <v>確認しました</v>
      </c>
      <c r="AI230" s="6"/>
      <c r="AJ230" s="6" t="str">
        <v/>
      </c>
      <c r="AK230" s="6" t="str">
        <v/>
      </c>
      <c r="AL230" s="6" t="str">
        <v/>
      </c>
      <c r="AM230" s="6" t="str">
        <v/>
      </c>
      <c r="AN230" s="6" t="n">
        <f aca="false">TRUE()</f>
        <v>1</v>
      </c>
    </row>
    <row r="231" customFormat="false" ht="52.5" hidden="false" customHeight="true" outlineLevel="0" collapsed="false">
      <c r="A231" s="6" t="str">
        <f aca="false">IFERROR(__xludf.dummyfunction("""COMPUTED_VALUE"""),"2026/03/01 18:08:31")</f>
        <v>2026/03/01 18:08:31</v>
      </c>
      <c r="B231" s="6"/>
      <c r="C231" s="6" t="str">
        <f aca="false">IFERROR(__xludf.dummyfunction("""COMPUTED_VALUE"""),"70601")</f>
        <v>70601</v>
      </c>
      <c r="D231" s="6"/>
      <c r="E231" s="6"/>
      <c r="F231" s="6"/>
      <c r="G231" s="6" t="str">
        <f aca="false">IFERROR(__xludf.dummyfunction("""COMPUTED_VALUE"""),"2026/03/30")</f>
        <v>2026/03/30</v>
      </c>
      <c r="H231" s="6" t="str">
        <f aca="false">IFERROR(__xludf.dummyfunction("""COMPUTED_VALUE"""),"必要")</f>
        <v>必要</v>
      </c>
      <c r="I231" s="6" t="str">
        <f aca="false">IFERROR(__xludf.dummyfunction("""COMPUTED_VALUE"""),"男性")</f>
        <v>男性</v>
      </c>
      <c r="J231" s="6" t="str">
        <f aca="false">IFERROR(__xludf.dummyfunction("""COMPUTED_VALUE"""),"日本")</f>
        <v>日本</v>
      </c>
      <c r="K231" s="6" t="str">
        <f aca="false">IFERROR(__xludf.dummyfunction("""COMPUTED_VALUE"""),"9")</f>
        <v>9</v>
      </c>
      <c r="L231" s="6" t="str">
        <f aca="false">IFERROR(__xludf.dummyfunction("""COMPUTED_VALUE"""),"冷蔵庫(1点)
電子レンジ(1点)
洗濯機(1点)
変更の可能性あり")</f>
        <v>冷蔵庫(1点)
電子レンジ(1点)
洗濯機(1点)
変更の可能性あり</v>
      </c>
      <c r="M231" s="6" t="str">
        <f aca="false">IFERROR(__xludf.dummyfunction("""COMPUTED_VALUE"""),"布団(2点)
毛布(1点)
カーテン(2点)
変更の可能性あり")</f>
        <v>布団(2点)
毛布(1点)
カーテン(2点)
変更の可能性あり</v>
      </c>
      <c r="N231" s="6" t="str">
        <f aca="false">IFERROR(__xludf.dummyfunction("""COMPUTED_VALUE"""),"折りたたみ自転車(1点)
衣装ケース(2点)
ゴミ箱(1点)
洗濯籠(1点)
スーツケース(2点):変更の可能性あり")</f>
        <v>折りたたみ自転車(1点)
衣装ケース(2点)
ゴミ箱(1点)
洗濯籠(1点)
スーツケース(2点):変更の可能性あり</v>
      </c>
      <c r="O231" s="6" t="str">
        <f aca="false">IFERROR(__xludf.dummyfunction("""COMPUTED_VALUE"""),"不要")</f>
        <v>不要</v>
      </c>
      <c r="P231" s="6"/>
      <c r="Q231" s="6"/>
      <c r="R231" s="6"/>
      <c r="S231" s="6" t="str">
        <f aca="false">IFERROR(__xludf.dummyfunction("""COMPUTED_VALUE"""),"家具家電付き社宅")</f>
        <v>家具家電付き社宅</v>
      </c>
      <c r="T231" s="6" t="str">
        <f aca="false">IFERROR(__xludf.dummyfunction("""COMPUTED_VALUE"""),"利用する")</f>
        <v>利用する</v>
      </c>
      <c r="U231" s="6" t="str">
        <f aca="false">IFERROR(__xludf.dummyfunction("""COMPUTED_VALUE"""),"なし")</f>
        <v>なし</v>
      </c>
      <c r="V231" s="6" t="str">
        <f aca="false">IFERROR(__xludf.dummyfunction("""COMPUTED_VALUE"""),"徒歩, 自転車, 電車")</f>
        <v>徒歩, 自転車, 電車</v>
      </c>
      <c r="W231" s="6"/>
      <c r="X231" s="6" t="str">
        <f aca="false">IFERROR(__xludf.dummyfunction("""COMPUTED_VALUE"""),"株式会社ビーネックステクノロジーズの社宅")</f>
        <v>株式会社ビーネックステクノロジーズの社宅</v>
      </c>
      <c r="Y231" s="6" t="str">
        <f aca="false">IFERROR(__xludf.dummyfunction("""COMPUTED_VALUE"""),"新社宅へ引き継ぎ希望")</f>
        <v>新社宅へ引き継ぎ希望</v>
      </c>
      <c r="Z231" s="6" t="str">
        <f aca="false">IFERROR(__xludf.dummyfunction("""COMPUTED_VALUE"""),"希望する")</f>
        <v>希望する</v>
      </c>
      <c r="AA231" s="6" t="str">
        <f aca="false">IFERROR(__xludf.dummyfunction("""COMPUTED_VALUE"""),"単身")</f>
        <v>単身</v>
      </c>
      <c r="AB231" s="6"/>
      <c r="AC231" s="6"/>
      <c r="AD231" s="6"/>
      <c r="AE231" s="6" t="str">
        <f aca="false">IFERROR(__xludf.dummyfunction("""COMPUTED_VALUE"""),"確認しました。")</f>
        <v>確認しました。</v>
      </c>
      <c r="AF231" s="6" t="str">
        <f aca="false">IFERROR(__xludf.dummyfunction("""COMPUTED_VALUE"""),"社宅基準の内容について確認しました")</f>
        <v>社宅基準の内容について確認しました</v>
      </c>
      <c r="AG231" s="6" t="str">
        <f aca="false">IFERROR(__xludf.dummyfunction("""COMPUTED_VALUE"""),"入居のしおりの内容についてご確認しました")</f>
        <v>入居のしおりの内容についてご確認しました</v>
      </c>
      <c r="AH231" s="6" t="str">
        <f aca="false">IFERROR(__xludf.dummyfunction("""COMPUTED_VALUE"""),"確認しました")</f>
        <v>確認しました</v>
      </c>
      <c r="AI231" s="6"/>
      <c r="AJ231" s="6" t="str">
        <v/>
      </c>
      <c r="AK231" s="6" t="str">
        <v/>
      </c>
      <c r="AL231" s="6" t="str">
        <v/>
      </c>
      <c r="AM231" s="6" t="str">
        <v/>
      </c>
      <c r="AN231" s="6" t="n">
        <f aca="false">TRUE()</f>
        <v>1</v>
      </c>
    </row>
    <row r="232" customFormat="false" ht="52.5" hidden="false" customHeight="true" outlineLevel="0" collapsed="false">
      <c r="A232" s="6" t="str">
        <f aca="false">IFERROR(__xludf.dummyfunction("""COMPUTED_VALUE"""),"2026/03/01 20:55:42")</f>
        <v>2026/03/01 20:55:42</v>
      </c>
      <c r="B232" s="6"/>
      <c r="C232" s="6" t="str">
        <f aca="false">IFERROR(__xludf.dummyfunction("""COMPUTED_VALUE"""),"13815")</f>
        <v>13815</v>
      </c>
      <c r="D232" s="6"/>
      <c r="E232" s="6"/>
      <c r="F232" s="6"/>
      <c r="G232" s="6" t="str">
        <f aca="false">IFERROR(__xludf.dummyfunction("""COMPUTED_VALUE"""),"2026/03/08")</f>
        <v>2026/03/08</v>
      </c>
      <c r="H232" s="6" t="str">
        <f aca="false">IFERROR(__xludf.dummyfunction("""COMPUTED_VALUE"""),"必要")</f>
        <v>必要</v>
      </c>
      <c r="I232" s="6" t="str">
        <f aca="false">IFERROR(__xludf.dummyfunction("""COMPUTED_VALUE"""),"男性")</f>
        <v>男性</v>
      </c>
      <c r="J232" s="6" t="str">
        <f aca="false">IFERROR(__xludf.dummyfunction("""COMPUTED_VALUE"""),"ベトナム")</f>
        <v>ベトナム</v>
      </c>
      <c r="K232" s="6" t="str">
        <f aca="false">IFERROR(__xludf.dummyfunction("""COMPUTED_VALUE"""),"3")</f>
        <v>3</v>
      </c>
      <c r="L232" s="6" t="str">
        <f aca="false">IFERROR(__xludf.dummyfunction("""COMPUTED_VALUE"""),"家電：
・炊飯器
・電気ケトル
・ヒーター
・プロジェクター
・体重計")</f>
        <v>家電：
・炊飯器
・電気ケトル
・ヒーター
・プロジェクター
・体重計</v>
      </c>
      <c r="M232" s="6" t="str">
        <f aca="false">IFERROR(__xludf.dummyfunction("""COMPUTED_VALUE"""),"家具／その他：
・マットレス（幅90cm × 奥行180cm）
・枕 2個
・電気毛布（176cm × 176cm）
・掛け布団 2枚
・バケツ 2個
・ゴミ箱 2個
・ほうき 1本
・ちりとり 1個")</f>
        <v>家具／その他：
・マットレス（幅90cm × 奥行180cm）
・枕 2個
・電気毛布（176cm × 176cm）
・掛け布団 2枚
・バケツ 2個
・ゴミ箱 2個
・ほうき 1本
・ちりとり 1個</v>
      </c>
      <c r="N232" s="6" t="str">
        <f aca="false">IFERROR(__xludf.dummyfunction("""COMPUTED_VALUE"""),"・スーツケース 3個")</f>
        <v>・スーツケース 3個</v>
      </c>
      <c r="O232" s="6" t="str">
        <f aca="false">IFERROR(__xludf.dummyfunction("""COMPUTED_VALUE"""),"不要")</f>
        <v>不要</v>
      </c>
      <c r="P232" s="6"/>
      <c r="Q232" s="6"/>
      <c r="R232" s="6"/>
      <c r="S232" s="6" t="str">
        <f aca="false">IFERROR(__xludf.dummyfunction("""COMPUTED_VALUE"""),"家具家電付き社宅")</f>
        <v>家具家電付き社宅</v>
      </c>
      <c r="T232" s="6" t="str">
        <f aca="false">IFERROR(__xludf.dummyfunction("""COMPUTED_VALUE"""),"利用しない")</f>
        <v>利用しない</v>
      </c>
      <c r="U232" s="6"/>
      <c r="V232" s="6" t="str">
        <f aca="false">IFERROR(__xludf.dummyfunction("""COMPUTED_VALUE"""),"徒歩")</f>
        <v>徒歩</v>
      </c>
      <c r="W232" s="6"/>
      <c r="X232" s="6" t="str">
        <f aca="false">IFERROR(__xludf.dummyfunction("""COMPUTED_VALUE"""),"株式会社ビーネックステクノロジーズの社宅")</f>
        <v>株式会社ビーネックステクノロジーズの社宅</v>
      </c>
      <c r="Y232" s="6" t="str">
        <f aca="false">IFERROR(__xludf.dummyfunction("""COMPUTED_VALUE"""),"利用なし")</f>
        <v>利用なし</v>
      </c>
      <c r="Z232" s="6" t="str">
        <f aca="false">IFERROR(__xludf.dummyfunction("""COMPUTED_VALUE"""),"希望する")</f>
        <v>希望する</v>
      </c>
      <c r="AA232" s="6" t="str">
        <f aca="false">IFERROR(__xludf.dummyfunction("""COMPUTED_VALUE"""),"単身")</f>
        <v>単身</v>
      </c>
      <c r="AB232" s="6"/>
      <c r="AC232" s="6"/>
      <c r="AD232" s="6"/>
      <c r="AE232" s="6" t="str">
        <f aca="false">IFERROR(__xludf.dummyfunction("""COMPUTED_VALUE"""),"確認しました。")</f>
        <v>確認しました。</v>
      </c>
      <c r="AF232" s="6" t="str">
        <f aca="false">IFERROR(__xludf.dummyfunction("""COMPUTED_VALUE"""),"社宅基準の内容について確認しました")</f>
        <v>社宅基準の内容について確認しました</v>
      </c>
      <c r="AG232" s="6" t="str">
        <f aca="false">IFERROR(__xludf.dummyfunction("""COMPUTED_VALUE"""),"入居のしおりの内容についてご確認しました")</f>
        <v>入居のしおりの内容についてご確認しました</v>
      </c>
      <c r="AH232" s="6" t="str">
        <f aca="false">IFERROR(__xludf.dummyfunction("""COMPUTED_VALUE"""),"確認しました")</f>
        <v>確認しました</v>
      </c>
      <c r="AI232" s="6"/>
      <c r="AJ232" s="6" t="str">
        <v/>
      </c>
      <c r="AK232" s="6" t="str">
        <v/>
      </c>
      <c r="AL232" s="6" t="str">
        <v/>
      </c>
      <c r="AM232" s="6" t="str">
        <v/>
      </c>
      <c r="AN232" s="6" t="n">
        <f aca="false">TRUE()</f>
        <v>1</v>
      </c>
    </row>
    <row r="233" customFormat="false" ht="52.5" hidden="false" customHeight="true" outlineLevel="0" collapsed="false">
      <c r="A233" s="6" t="str">
        <f aca="false">IFERROR(__xludf.dummyfunction("""COMPUTED_VALUE"""),"2026/03/01 22:07:58")</f>
        <v>2026/03/01 22:07:58</v>
      </c>
      <c r="B233" s="6"/>
      <c r="C233" s="6" t="str">
        <f aca="false">IFERROR(__xludf.dummyfunction("""COMPUTED_VALUE"""),"70601")</f>
        <v>70601</v>
      </c>
      <c r="D233" s="6"/>
      <c r="E233" s="6"/>
      <c r="F233" s="6"/>
      <c r="G233" s="6" t="str">
        <f aca="false">IFERROR(__xludf.dummyfunction("""COMPUTED_VALUE"""),"2026/03/30")</f>
        <v>2026/03/30</v>
      </c>
      <c r="H233" s="6" t="str">
        <f aca="false">IFERROR(__xludf.dummyfunction("""COMPUTED_VALUE"""),"必要")</f>
        <v>必要</v>
      </c>
      <c r="I233" s="6" t="str">
        <f aca="false">IFERROR(__xludf.dummyfunction("""COMPUTED_VALUE"""),"男性")</f>
        <v>男性</v>
      </c>
      <c r="J233" s="6" t="str">
        <f aca="false">IFERROR(__xludf.dummyfunction("""COMPUTED_VALUE"""),"日本")</f>
        <v>日本</v>
      </c>
      <c r="K233" s="6" t="str">
        <f aca="false">IFERROR(__xludf.dummyfunction("""COMPUTED_VALUE"""),"10")</f>
        <v>10</v>
      </c>
      <c r="L233" s="6" t="str">
        <f aca="false">IFERROR(__xludf.dummyfunction("""COMPUTED_VALUE"""),"冷蔵庫(1点)
電子レンジ(1点)
洗濯機(1点)
照明(1点)")</f>
        <v>冷蔵庫(1点)
電子レンジ(1点)
洗濯機(1点)
照明(1点)</v>
      </c>
      <c r="M233" s="6" t="str">
        <f aca="false">IFERROR(__xludf.dummyfunction("""COMPUTED_VALUE"""),"布団(2点)
毛布(1点)
カーテン(2点)
物干し竿(2点)
衣装ケース(2点)")</f>
        <v>布団(2点)
毛布(1点)
カーテン(2点)
物干し竿(2点)
衣装ケース(2点)</v>
      </c>
      <c r="N233" s="6" t="str">
        <f aca="false">IFERROR(__xludf.dummyfunction("""COMPUTED_VALUE"""),"折りたたみ自転車(1点)
ゴミ箱(1点)
洗濯籠(1点)
スーツケース(2点)")</f>
        <v>折りたたみ自転車(1点)
ゴミ箱(1点)
洗濯籠(1点)
スーツケース(2点)</v>
      </c>
      <c r="O233" s="6" t="str">
        <f aca="false">IFERROR(__xludf.dummyfunction("""COMPUTED_VALUE"""),"不要")</f>
        <v>不要</v>
      </c>
      <c r="P233" s="6"/>
      <c r="Q233" s="6"/>
      <c r="R233" s="6"/>
      <c r="S233" s="6" t="str">
        <f aca="false">IFERROR(__xludf.dummyfunction("""COMPUTED_VALUE"""),"家具家電付き社宅")</f>
        <v>家具家電付き社宅</v>
      </c>
      <c r="T233" s="6" t="str">
        <f aca="false">IFERROR(__xludf.dummyfunction("""COMPUTED_VALUE"""),"利用しない")</f>
        <v>利用しない</v>
      </c>
      <c r="U233" s="6"/>
      <c r="V233" s="6" t="str">
        <f aca="false">IFERROR(__xludf.dummyfunction("""COMPUTED_VALUE"""),"徒歩, 自転車, 電車, バス")</f>
        <v>徒歩, 自転車, 電車, バス</v>
      </c>
      <c r="W233" s="6"/>
      <c r="X233" s="6" t="str">
        <f aca="false">IFERROR(__xludf.dummyfunction("""COMPUTED_VALUE"""),"株式会社ビーネックステクノロジーズの社宅")</f>
        <v>株式会社ビーネックステクノロジーズの社宅</v>
      </c>
      <c r="Y233" s="6" t="str">
        <f aca="false">IFERROR(__xludf.dummyfunction("""COMPUTED_VALUE"""),"新社宅へ引き継ぎ希望(レオパレスの場合はレンタル家具家電は返却します)")</f>
        <v>新社宅へ引き継ぎ希望(レオパレスの場合はレンタル家具家電は返却します)</v>
      </c>
      <c r="Z233" s="6" t="str">
        <f aca="false">IFERROR(__xludf.dummyfunction("""COMPUTED_VALUE"""),"希望する")</f>
        <v>希望する</v>
      </c>
      <c r="AA233" s="6" t="str">
        <f aca="false">IFERROR(__xludf.dummyfunction("""COMPUTED_VALUE"""),"単身")</f>
        <v>単身</v>
      </c>
      <c r="AB233" s="6"/>
      <c r="AC233" s="6"/>
      <c r="AD233" s="6" t="str">
        <f aca="false">IFERROR(__xludf.dummyfunction("""COMPUTED_VALUE"""),"変更点が有れば連絡致します。")</f>
        <v>変更点が有れば連絡致します。</v>
      </c>
      <c r="AE233" s="6" t="str">
        <f aca="false">IFERROR(__xludf.dummyfunction("""COMPUTED_VALUE"""),"確認しました。")</f>
        <v>確認しました。</v>
      </c>
      <c r="AF233" s="6" t="str">
        <f aca="false">IFERROR(__xludf.dummyfunction("""COMPUTED_VALUE"""),"社宅基準の内容について確認しました")</f>
        <v>社宅基準の内容について確認しました</v>
      </c>
      <c r="AG233" s="6" t="str">
        <f aca="false">IFERROR(__xludf.dummyfunction("""COMPUTED_VALUE"""),"入居のしおりの内容についてご確認しました")</f>
        <v>入居のしおりの内容についてご確認しました</v>
      </c>
      <c r="AH233" s="6" t="str">
        <f aca="false">IFERROR(__xludf.dummyfunction("""COMPUTED_VALUE"""),"確認しました")</f>
        <v>確認しました</v>
      </c>
      <c r="AI233" s="6"/>
      <c r="AJ233" s="6" t="str">
        <v/>
      </c>
      <c r="AK233" s="6" t="str">
        <v/>
      </c>
      <c r="AL233" s="6" t="str">
        <v/>
      </c>
      <c r="AM233" s="6" t="str">
        <v/>
      </c>
      <c r="AN233" s="6" t="n">
        <f aca="false">FALSE()</f>
        <v>0</v>
      </c>
    </row>
    <row r="234" customFormat="false" ht="52.5" hidden="false" customHeight="true" outlineLevel="0" collapsed="false">
      <c r="A234" s="6" t="str">
        <f aca="false">IFERROR(__xludf.dummyfunction("""COMPUTED_VALUE"""),"2026/03/02 6:28:34")</f>
        <v>2026/03/02 6:28:34</v>
      </c>
      <c r="B234" s="6"/>
      <c r="C234" s="6" t="str">
        <f aca="false">IFERROR(__xludf.dummyfunction("""COMPUTED_VALUE"""),"70518")</f>
        <v>70518</v>
      </c>
      <c r="D234" s="6"/>
      <c r="E234" s="6"/>
      <c r="F234" s="6"/>
      <c r="G234" s="6" t="str">
        <f aca="false">IFERROR(__xludf.dummyfunction("""COMPUTED_VALUE"""),"2026/03/29")</f>
        <v>2026/03/29</v>
      </c>
      <c r="H234" s="6" t="str">
        <f aca="false">IFERROR(__xludf.dummyfunction("""COMPUTED_VALUE"""),"必要")</f>
        <v>必要</v>
      </c>
      <c r="I234" s="6" t="str">
        <f aca="false">IFERROR(__xludf.dummyfunction("""COMPUTED_VALUE"""),"男性")</f>
        <v>男性</v>
      </c>
      <c r="J234" s="6" t="str">
        <f aca="false">IFERROR(__xludf.dummyfunction("""COMPUTED_VALUE"""),"日本")</f>
        <v>日本</v>
      </c>
      <c r="K234" s="6" t="str">
        <f aca="false">IFERROR(__xludf.dummyfunction("""COMPUTED_VALUE"""),"15")</f>
        <v>15</v>
      </c>
      <c r="L234" s="6" t="str">
        <f aca="false">IFERROR(__xludf.dummyfunction("""COMPUTED_VALUE"""),"単身用冷蔵庫 電子レンジ トースター　普通の洗濯機 掃除機 PC プリンター等")</f>
        <v>単身用冷蔵庫 電子レンジ トースター　普通の洗濯機 掃除機 PC プリンター等</v>
      </c>
      <c r="M234" s="6" t="str">
        <f aca="false">IFERROR(__xludf.dummyfunction("""COMPUTED_VALUE"""),"カラーボックス6個程度ほか")</f>
        <v>カラーボックス6個程度ほか</v>
      </c>
      <c r="N234" s="6" t="str">
        <f aca="false">IFERROR(__xludf.dummyfunction("""COMPUTED_VALUE"""),"自転車2台")</f>
        <v>自転車2台</v>
      </c>
      <c r="O234" s="6" t="str">
        <f aca="false">IFERROR(__xludf.dummyfunction("""COMPUTED_VALUE"""),"必要")</f>
        <v>必要</v>
      </c>
      <c r="P234" s="6" t="str">
        <f aca="false">IFERROR(__xludf.dummyfunction("""COMPUTED_VALUE"""),"未定(3ナンバーサイズ)")</f>
        <v>未定(3ナンバーサイズ)</v>
      </c>
      <c r="Q234" s="6" t="str">
        <f aca="false">IFERROR(__xludf.dummyfunction("""COMPUTED_VALUE"""),"未定")</f>
        <v>未定</v>
      </c>
      <c r="R234" s="6" t="str">
        <f aca="false">IFERROR(__xludf.dummyfunction("""COMPUTED_VALUE"""),"未定")</f>
        <v>未定</v>
      </c>
      <c r="S234" s="6" t="str">
        <f aca="false">IFERROR(__xludf.dummyfunction("""COMPUTED_VALUE"""),"家具家電なし社宅")</f>
        <v>家具家電なし社宅</v>
      </c>
      <c r="T234" s="6" t="str">
        <f aca="false">IFERROR(__xludf.dummyfunction("""COMPUTED_VALUE"""),"利用しない")</f>
        <v>利用しない</v>
      </c>
      <c r="U234" s="6"/>
      <c r="V234" s="6" t="str">
        <f aca="false">IFERROR(__xludf.dummyfunction("""COMPUTED_VALUE"""),"徒歩, 自動車, 自転車, 電車, 社用バス, バイク")</f>
        <v>徒歩, 自動車, 自転車, 電車, 社用バス, バイク</v>
      </c>
      <c r="W234" s="6"/>
      <c r="X234" s="6" t="str">
        <f aca="false">IFERROR(__xludf.dummyfunction("""COMPUTED_VALUE"""),"株式会社ビーネックステクノロジーズの社宅")</f>
        <v>株式会社ビーネックステクノロジーズの社宅</v>
      </c>
      <c r="Y234" s="6" t="str">
        <f aca="false">IFERROR(__xludf.dummyfunction("""COMPUTED_VALUE"""),"利用なし")</f>
        <v>利用なし</v>
      </c>
      <c r="Z234" s="6" t="str">
        <f aca="false">IFERROR(__xludf.dummyfunction("""COMPUTED_VALUE"""),"希望する")</f>
        <v>希望する</v>
      </c>
      <c r="AA234" s="6" t="str">
        <f aca="false">IFERROR(__xludf.dummyfunction("""COMPUTED_VALUE"""),"単身")</f>
        <v>単身</v>
      </c>
      <c r="AB234" s="6"/>
      <c r="AC234" s="6"/>
      <c r="AD234" s="6" t="str">
        <f aca="false">IFERROR(__xludf.dummyfunction("""COMPUTED_VALUE"""),"2トン車に可能な限り積んでいただき、残りは後日、自分で運びます。(荷物が多いため)")</f>
        <v>2トン車に可能な限り積んでいただき、残りは後日、自分で運びます。(荷物が多いため)</v>
      </c>
      <c r="AE234" s="6" t="str">
        <f aca="false">IFERROR(__xludf.dummyfunction("""COMPUTED_VALUE"""),"確認しました。")</f>
        <v>確認しました。</v>
      </c>
      <c r="AF234" s="6" t="str">
        <f aca="false">IFERROR(__xludf.dummyfunction("""COMPUTED_VALUE"""),"社宅基準の内容について確認しました")</f>
        <v>社宅基準の内容について確認しました</v>
      </c>
      <c r="AG234" s="6" t="str">
        <f aca="false">IFERROR(__xludf.dummyfunction("""COMPUTED_VALUE"""),"入居のしおりの内容についてご確認しました")</f>
        <v>入居のしおりの内容についてご確認しました</v>
      </c>
      <c r="AH234" s="6" t="str">
        <f aca="false">IFERROR(__xludf.dummyfunction("""COMPUTED_VALUE"""),"確認しました")</f>
        <v>確認しました</v>
      </c>
      <c r="AI234" s="6"/>
      <c r="AJ234" s="6" t="str">
        <v/>
      </c>
      <c r="AK234" s="6" t="str">
        <v/>
      </c>
      <c r="AL234" s="6" t="str">
        <v/>
      </c>
      <c r="AM234" s="6" t="str">
        <v/>
      </c>
      <c r="AN234" s="6" t="n">
        <f aca="false">TRUE()</f>
        <v>1</v>
      </c>
    </row>
    <row r="235" customFormat="false" ht="52.5" hidden="false" customHeight="true" outlineLevel="0" collapsed="false">
      <c r="A235" s="6" t="str">
        <f aca="false">IFERROR(__xludf.dummyfunction("""COMPUTED_VALUE"""),"2026/03/02 7:59:18")</f>
        <v>2026/03/02 7:59:18</v>
      </c>
      <c r="B235" s="6"/>
      <c r="C235" s="6" t="str">
        <f aca="false">IFERROR(__xludf.dummyfunction("""COMPUTED_VALUE"""),"70594")</f>
        <v>70594</v>
      </c>
      <c r="D235" s="6"/>
      <c r="E235" s="6"/>
      <c r="F235" s="6"/>
      <c r="G235" s="6" t="str">
        <f aca="false">IFERROR(__xludf.dummyfunction("""COMPUTED_VALUE"""),"2026/03/19")</f>
        <v>2026/03/19</v>
      </c>
      <c r="H235" s="6" t="str">
        <f aca="false">IFERROR(__xludf.dummyfunction("""COMPUTED_VALUE"""),"不要")</f>
        <v>不要</v>
      </c>
      <c r="I235" s="6" t="str">
        <f aca="false">IFERROR(__xludf.dummyfunction("""COMPUTED_VALUE"""),"男性")</f>
        <v>男性</v>
      </c>
      <c r="J235" s="6" t="str">
        <f aca="false">IFERROR(__xludf.dummyfunction("""COMPUTED_VALUE"""),"日本")</f>
        <v>日本</v>
      </c>
      <c r="K235" s="6"/>
      <c r="L235" s="6"/>
      <c r="M235" s="6"/>
      <c r="N235" s="6"/>
      <c r="O235" s="6" t="str">
        <f aca="false">IFERROR(__xludf.dummyfunction("""COMPUTED_VALUE"""),"不要")</f>
        <v>不要</v>
      </c>
      <c r="P235" s="6"/>
      <c r="Q235" s="6"/>
      <c r="R235" s="6"/>
      <c r="S235" s="6" t="str">
        <f aca="false">IFERROR(__xludf.dummyfunction("""COMPUTED_VALUE"""),"家具家電なし社宅")</f>
        <v>家具家電なし社宅</v>
      </c>
      <c r="T235" s="6" t="str">
        <f aca="false">IFERROR(__xludf.dummyfunction("""COMPUTED_VALUE"""),"利用しない")</f>
        <v>利用しない</v>
      </c>
      <c r="U235" s="6"/>
      <c r="V235" s="6" t="str">
        <f aca="false">IFERROR(__xludf.dummyfunction("""COMPUTED_VALUE"""),"徒歩, 自転車")</f>
        <v>徒歩, 自転車</v>
      </c>
      <c r="W235" s="6"/>
      <c r="X235" s="6" t="str">
        <f aca="false">IFERROR(__xludf.dummyfunction("""COMPUTED_VALUE"""),"実家")</f>
        <v>実家</v>
      </c>
      <c r="Y235" s="6"/>
      <c r="Z235" s="6" t="str">
        <f aca="false">IFERROR(__xludf.dummyfunction("""COMPUTED_VALUE"""),"希望する")</f>
        <v>希望する</v>
      </c>
      <c r="AA235" s="6" t="str">
        <f aca="false">IFERROR(__xludf.dummyfunction("""COMPUTED_VALUE"""),"単身")</f>
        <v>単身</v>
      </c>
      <c r="AB235" s="6"/>
      <c r="AC235" s="6"/>
      <c r="AD235" s="6"/>
      <c r="AE235" s="6" t="str">
        <f aca="false">IFERROR(__xludf.dummyfunction("""COMPUTED_VALUE"""),"確認しました。")</f>
        <v>確認しました。</v>
      </c>
      <c r="AF235" s="6" t="str">
        <f aca="false">IFERROR(__xludf.dummyfunction("""COMPUTED_VALUE"""),"社宅基準の内容について確認しました")</f>
        <v>社宅基準の内容について確認しました</v>
      </c>
      <c r="AG235" s="6" t="str">
        <f aca="false">IFERROR(__xludf.dummyfunction("""COMPUTED_VALUE"""),"入居のしおりの内容についてご確認しました")</f>
        <v>入居のしおりの内容についてご確認しました</v>
      </c>
      <c r="AH235" s="6" t="str">
        <f aca="false">IFERROR(__xludf.dummyfunction("""COMPUTED_VALUE"""),"確認しました")</f>
        <v>確認しました</v>
      </c>
      <c r="AI235" s="6"/>
      <c r="AJ235" s="6" t="str">
        <v/>
      </c>
      <c r="AK235" s="6" t="str">
        <v/>
      </c>
      <c r="AL235" s="6" t="str">
        <v/>
      </c>
      <c r="AM235" s="6" t="str">
        <v/>
      </c>
      <c r="AN235" s="6" t="n">
        <f aca="false">TRUE()</f>
        <v>1</v>
      </c>
    </row>
    <row r="236" customFormat="false" ht="52.5" hidden="false" customHeight="true" outlineLevel="0" collapsed="false">
      <c r="A236" s="6" t="str">
        <f aca="false">IFERROR(__xludf.dummyfunction("""COMPUTED_VALUE"""),"2026/03/02 14:19:14")</f>
        <v>2026/03/02 14:19:14</v>
      </c>
      <c r="B236" s="6"/>
      <c r="C236" s="6" t="str">
        <f aca="false">IFERROR(__xludf.dummyfunction("""COMPUTED_VALUE"""),"70656")</f>
        <v>70656</v>
      </c>
      <c r="D236" s="6"/>
      <c r="E236" s="6"/>
      <c r="F236" s="6"/>
      <c r="G236" s="6" t="str">
        <f aca="false">IFERROR(__xludf.dummyfunction("""COMPUTED_VALUE"""),"2026/03/09")</f>
        <v>2026/03/09</v>
      </c>
      <c r="H236" s="6" t="str">
        <f aca="false">IFERROR(__xludf.dummyfunction("""COMPUTED_VALUE"""),"必要")</f>
        <v>必要</v>
      </c>
      <c r="I236" s="6" t="str">
        <f aca="false">IFERROR(__xludf.dummyfunction("""COMPUTED_VALUE"""),"男性")</f>
        <v>男性</v>
      </c>
      <c r="J236" s="6" t="str">
        <f aca="false">IFERROR(__xludf.dummyfunction("""COMPUTED_VALUE"""),"日本")</f>
        <v>日本</v>
      </c>
      <c r="K236" s="6" t="str">
        <f aca="false">IFERROR(__xludf.dummyfunction("""COMPUTED_VALUE"""),"10")</f>
        <v>10</v>
      </c>
      <c r="L236" s="6" t="str">
        <f aca="false">IFERROR(__xludf.dummyfunction("""COMPUTED_VALUE"""),"なし")</f>
        <v>なし</v>
      </c>
      <c r="M236" s="6" t="str">
        <f aca="false">IFERROR(__xludf.dummyfunction("""COMPUTED_VALUE"""),"L字デスク、チェア")</f>
        <v>L字デスク、チェア</v>
      </c>
      <c r="N236" s="6" t="str">
        <f aca="false">IFERROR(__xludf.dummyfunction("""COMPUTED_VALUE"""),"なし")</f>
        <v>なし</v>
      </c>
      <c r="O236" s="6" t="str">
        <f aca="false">IFERROR(__xludf.dummyfunction("""COMPUTED_VALUE"""),"不要")</f>
        <v>不要</v>
      </c>
      <c r="P236" s="6"/>
      <c r="Q236" s="6"/>
      <c r="R236" s="6"/>
      <c r="S236" s="6" t="str">
        <f aca="false">IFERROR(__xludf.dummyfunction("""COMPUTED_VALUE"""),"家具家電なし社宅")</f>
        <v>家具家電なし社宅</v>
      </c>
      <c r="T236" s="6" t="str">
        <f aca="false">IFERROR(__xludf.dummyfunction("""COMPUTED_VALUE"""),"利用する")</f>
        <v>利用する</v>
      </c>
      <c r="U236" s="6" t="str">
        <f aca="false">IFERROR(__xludf.dummyfunction("""COMPUTED_VALUE"""),"電子レンジ、冷凍冷蔵庫(1番上に記載されている物)
")</f>
        <v>電子レンジ、冷凍冷蔵庫(1番上に記載されている物)
</v>
      </c>
      <c r="V236" s="6" t="str">
        <f aca="false">IFERROR(__xludf.dummyfunction("""COMPUTED_VALUE"""),"徒歩, 自転車, 電車")</f>
        <v>徒歩, 自転車, 電車</v>
      </c>
      <c r="W236" s="6"/>
      <c r="X236" s="6" t="str">
        <f aca="false">IFERROR(__xludf.dummyfunction("""COMPUTED_VALUE"""),"実家")</f>
        <v>実家</v>
      </c>
      <c r="Y236" s="6"/>
      <c r="Z236" s="6" t="str">
        <f aca="false">IFERROR(__xludf.dummyfunction("""COMPUTED_VALUE"""),"希望する")</f>
        <v>希望する</v>
      </c>
      <c r="AA236" s="6" t="str">
        <f aca="false">IFERROR(__xludf.dummyfunction("""COMPUTED_VALUE"""),"単身")</f>
        <v>単身</v>
      </c>
      <c r="AB236" s="6"/>
      <c r="AC236" s="6"/>
      <c r="AD236" s="6"/>
      <c r="AE236" s="6" t="str">
        <f aca="false">IFERROR(__xludf.dummyfunction("""COMPUTED_VALUE"""),"確認しました。")</f>
        <v>確認しました。</v>
      </c>
      <c r="AF236" s="6" t="str">
        <f aca="false">IFERROR(__xludf.dummyfunction("""COMPUTED_VALUE"""),"社宅基準の内容について確認しました")</f>
        <v>社宅基準の内容について確認しました</v>
      </c>
      <c r="AG236" s="6" t="str">
        <f aca="false">IFERROR(__xludf.dummyfunction("""COMPUTED_VALUE"""),"入居のしおりの内容についてご確認しました")</f>
        <v>入居のしおりの内容についてご確認しました</v>
      </c>
      <c r="AH236" s="6" t="str">
        <f aca="false">IFERROR(__xludf.dummyfunction("""COMPUTED_VALUE"""),"確認しました")</f>
        <v>確認しました</v>
      </c>
      <c r="AI236" s="6"/>
      <c r="AJ236" s="6" t="str">
        <v/>
      </c>
      <c r="AK236" s="6" t="str">
        <v/>
      </c>
      <c r="AL236" s="6" t="str">
        <v/>
      </c>
      <c r="AM236" s="6" t="str">
        <v/>
      </c>
      <c r="AN236" s="6" t="n">
        <f aca="false">FALSE()</f>
        <v>0</v>
      </c>
    </row>
    <row r="237" customFormat="false" ht="52.5" hidden="false" customHeight="true" outlineLevel="0" collapsed="false">
      <c r="A237" s="6" t="str">
        <f aca="false">IFERROR(__xludf.dummyfunction("""COMPUTED_VALUE"""),"2026/03/02 16:03:45")</f>
        <v>2026/03/02 16:03:45</v>
      </c>
      <c r="B237" s="6"/>
      <c r="C237" s="6" t="str">
        <f aca="false">IFERROR(__xludf.dummyfunction("""COMPUTED_VALUE"""),"70698")</f>
        <v>70698</v>
      </c>
      <c r="D237" s="6"/>
      <c r="E237" s="6"/>
      <c r="F237" s="6"/>
      <c r="G237" s="6" t="str">
        <f aca="false">IFERROR(__xludf.dummyfunction("""COMPUTED_VALUE"""),"2026/03/29")</f>
        <v>2026/03/29</v>
      </c>
      <c r="H237" s="6" t="str">
        <f aca="false">IFERROR(__xludf.dummyfunction("""COMPUTED_VALUE"""),"必要")</f>
        <v>必要</v>
      </c>
      <c r="I237" s="6" t="str">
        <f aca="false">IFERROR(__xludf.dummyfunction("""COMPUTED_VALUE"""),"男性")</f>
        <v>男性</v>
      </c>
      <c r="J237" s="6" t="str">
        <f aca="false">IFERROR(__xludf.dummyfunction("""COMPUTED_VALUE"""),"日本")</f>
        <v>日本</v>
      </c>
      <c r="K237" s="6" t="str">
        <f aca="false">IFERROR(__xludf.dummyfunction("""COMPUTED_VALUE"""),"10")</f>
        <v>10</v>
      </c>
      <c r="L237" s="6" t="str">
        <f aca="false">IFERROR(__xludf.dummyfunction("""COMPUTED_VALUE"""),"冷蔵庫（単身用）、電子レンジ、洗濯機、扇風機")</f>
        <v>冷蔵庫（単身用）、電子レンジ、洗濯機、扇風機</v>
      </c>
      <c r="M237" s="6" t="str">
        <f aca="false">IFERROR(__xludf.dummyfunction("""COMPUTED_VALUE"""),"折りたたみテーブル×2（縦80×横60）とそれ未満、ベット（シングル）、室内用物干し竿×2（200cmと140cm）、外用物干し竿×2、衣装タンス（縦60×横40×高さ80）、ゴミ箱×2")</f>
        <v>折りたたみテーブル×2（縦80×横60）とそれ未満、ベット（シングル）、室内用物干し竿×2（200cmと140cm）、外用物干し竿×2、衣装タンス（縦60×横40×高さ80）、ゴミ箱×2</v>
      </c>
      <c r="N237" s="6" t="str">
        <f aca="false">IFERROR(__xludf.dummyfunction("""COMPUTED_VALUE"""),"自転車")</f>
        <v>自転車</v>
      </c>
      <c r="O237" s="6" t="str">
        <f aca="false">IFERROR(__xludf.dummyfunction("""COMPUTED_VALUE"""),"不要")</f>
        <v>不要</v>
      </c>
      <c r="P237" s="6"/>
      <c r="Q237" s="6"/>
      <c r="R237" s="6"/>
      <c r="S237" s="6" t="str">
        <f aca="false">IFERROR(__xludf.dummyfunction("""COMPUTED_VALUE"""),"家具家電なし社宅")</f>
        <v>家具家電なし社宅</v>
      </c>
      <c r="T237" s="6" t="str">
        <f aca="false">IFERROR(__xludf.dummyfunction("""COMPUTED_VALUE"""),"利用しない")</f>
        <v>利用しない</v>
      </c>
      <c r="U237" s="6"/>
      <c r="V237" s="6" t="str">
        <f aca="false">IFERROR(__xludf.dummyfunction("""COMPUTED_VALUE"""),"徒歩, 自転車")</f>
        <v>徒歩, 自転車</v>
      </c>
      <c r="W237" s="6"/>
      <c r="X237" s="6" t="str">
        <f aca="false">IFERROR(__xludf.dummyfunction("""COMPUTED_VALUE"""),"株式会社ビーネックステクノロジーズの社宅")</f>
        <v>株式会社ビーネックステクノロジーズの社宅</v>
      </c>
      <c r="Y237" s="6" t="str">
        <f aca="false">IFERROR(__xludf.dummyfunction("""COMPUTED_VALUE"""),"利用なし")</f>
        <v>利用なし</v>
      </c>
      <c r="Z237" s="6" t="str">
        <f aca="false">IFERROR(__xludf.dummyfunction("""COMPUTED_VALUE"""),"希望する")</f>
        <v>希望する</v>
      </c>
      <c r="AA237" s="6" t="str">
        <f aca="false">IFERROR(__xludf.dummyfunction("""COMPUTED_VALUE"""),"単身")</f>
        <v>単身</v>
      </c>
      <c r="AB237" s="6"/>
      <c r="AC237" s="6"/>
      <c r="AD237" s="6" t="str">
        <f aca="false">IFERROR(__xludf.dummyfunction("""COMPUTED_VALUE"""),"駐輪場あり、徒歩10分自転車30分圏内にスーパー")</f>
        <v>駐輪場あり、徒歩10分自転車30分圏内にスーパー</v>
      </c>
      <c r="AE237" s="6" t="str">
        <f aca="false">IFERROR(__xludf.dummyfunction("""COMPUTED_VALUE"""),"確認しました。")</f>
        <v>確認しました。</v>
      </c>
      <c r="AF237" s="6" t="str">
        <f aca="false">IFERROR(__xludf.dummyfunction("""COMPUTED_VALUE"""),"社宅基準の内容について確認しました")</f>
        <v>社宅基準の内容について確認しました</v>
      </c>
      <c r="AG237" s="6" t="str">
        <f aca="false">IFERROR(__xludf.dummyfunction("""COMPUTED_VALUE"""),"入居のしおりの内容についてご確認しました")</f>
        <v>入居のしおりの内容についてご確認しました</v>
      </c>
      <c r="AH237" s="6" t="str">
        <f aca="false">IFERROR(__xludf.dummyfunction("""COMPUTED_VALUE"""),"確認しました")</f>
        <v>確認しました</v>
      </c>
      <c r="AI237" s="6"/>
      <c r="AJ237" s="6" t="str">
        <v/>
      </c>
      <c r="AK237" s="6" t="str">
        <v/>
      </c>
      <c r="AL237" s="6" t="str">
        <v/>
      </c>
      <c r="AM237" s="6" t="str">
        <v/>
      </c>
      <c r="AN237" s="6" t="n">
        <f aca="false">TRUE()</f>
        <v>1</v>
      </c>
    </row>
    <row r="238" customFormat="false" ht="52.5" hidden="false" customHeight="true" outlineLevel="0" collapsed="false">
      <c r="A238" s="6" t="str">
        <f aca="false">IFERROR(__xludf.dummyfunction("""COMPUTED_VALUE"""),"2026/03/02 17:27:11")</f>
        <v>2026/03/02 17:27:11</v>
      </c>
      <c r="B238" s="6"/>
      <c r="C238" s="6" t="str">
        <f aca="false">IFERROR(__xludf.dummyfunction("""COMPUTED_VALUE"""),"70657")</f>
        <v>70657</v>
      </c>
      <c r="D238" s="6"/>
      <c r="E238" s="6"/>
      <c r="F238" s="6"/>
      <c r="G238" s="6" t="str">
        <f aca="false">IFERROR(__xludf.dummyfunction("""COMPUTED_VALUE"""),"2026/03/31")</f>
        <v>2026/03/31</v>
      </c>
      <c r="H238" s="6" t="str">
        <f aca="false">IFERROR(__xludf.dummyfunction("""COMPUTED_VALUE"""),"必要")</f>
        <v>必要</v>
      </c>
      <c r="I238" s="6" t="str">
        <f aca="false">IFERROR(__xludf.dummyfunction("""COMPUTED_VALUE"""),"男性")</f>
        <v>男性</v>
      </c>
      <c r="J238" s="6" t="str">
        <f aca="false">IFERROR(__xludf.dummyfunction("""COMPUTED_VALUE"""),"日本")</f>
        <v>日本</v>
      </c>
      <c r="K238" s="6" t="str">
        <f aca="false">IFERROR(__xludf.dummyfunction("""COMPUTED_VALUE"""),"30")</f>
        <v>30</v>
      </c>
      <c r="L238" s="6" t="str">
        <f aca="false">IFERROR(__xludf.dummyfunction("""COMPUTED_VALUE"""),"冷蔵庫(2ドア) 洗濯機　食器乾燥機　炊飯器　テレビ")</f>
        <v>冷蔵庫(2ドア) 洗濯機　食器乾燥機　炊飯器　テレビ</v>
      </c>
      <c r="M238" s="6" t="str">
        <f aca="false">IFERROR(__xludf.dummyfunction("""COMPUTED_VALUE"""),"ベッド(シングル) 炬燵(60×60×20) 机(110×60×70) キャビネット(50×60×70) カラーラック(30×40×90) キッチンラック(40×40×90) スチールラック(30×40×100)洋服箪笥(40×60×100 30×40×80) 靴箱(30×40×90)")</f>
        <v>ベッド(シングル) 炬燵(60×60×20) 机(110×60×70) キャビネット(50×60×70) カラーラック(30×40×90) キッチンラック(40×40×90) スチールラック(30×40×100)洋服箪笥(40×60×100 30×40×80) 靴箱(30×40×90)</v>
      </c>
      <c r="N238" s="6" t="str">
        <f aca="false">IFERROR(__xludf.dummyfunction("""COMPUTED_VALUE"""),"自転車")</f>
        <v>自転車</v>
      </c>
      <c r="O238" s="6" t="str">
        <f aca="false">IFERROR(__xludf.dummyfunction("""COMPUTED_VALUE"""),"不要")</f>
        <v>不要</v>
      </c>
      <c r="P238" s="6"/>
      <c r="Q238" s="6"/>
      <c r="R238" s="6"/>
      <c r="S238" s="6" t="str">
        <f aca="false">IFERROR(__xludf.dummyfunction("""COMPUTED_VALUE"""),"家具家電なし社宅")</f>
        <v>家具家電なし社宅</v>
      </c>
      <c r="T238" s="6" t="str">
        <f aca="false">IFERROR(__xludf.dummyfunction("""COMPUTED_VALUE"""),"利用しない")</f>
        <v>利用しない</v>
      </c>
      <c r="U238" s="6"/>
      <c r="V238" s="6" t="str">
        <f aca="false">IFERROR(__xludf.dummyfunction("""COMPUTED_VALUE"""),"徒歩, 自動車, 電車, バス")</f>
        <v>徒歩, 自動車, 電車, バス</v>
      </c>
      <c r="W238" s="6"/>
      <c r="X238" s="6" t="str">
        <f aca="false">IFERROR(__xludf.dummyfunction("""COMPUTED_VALUE"""),"株式会社ビーネックステクノロジーズの社宅")</f>
        <v>株式会社ビーネックステクノロジーズの社宅</v>
      </c>
      <c r="Y238" s="6" t="str">
        <f aca="false">IFERROR(__xludf.dummyfunction("""COMPUTED_VALUE"""),"炊飯器　冷蔵庫　洗濯機")</f>
        <v>炊飯器　冷蔵庫　洗濯機</v>
      </c>
      <c r="Z238" s="6" t="str">
        <f aca="false">IFERROR(__xludf.dummyfunction("""COMPUTED_VALUE"""),"希望する")</f>
        <v>希望する</v>
      </c>
      <c r="AA238" s="6" t="str">
        <f aca="false">IFERROR(__xludf.dummyfunction("""COMPUTED_VALUE"""),"単身")</f>
        <v>単身</v>
      </c>
      <c r="AB238" s="6"/>
      <c r="AC238" s="6"/>
      <c r="AD238" s="6" t="str">
        <f aca="false">IFERROR(__xludf.dummyfunction("""COMPUTED_VALUE"""),"リビング 10帖以上　通勤時間 30分前後　付属家具 エアコン")</f>
        <v>リビング 10帖以上　通勤時間 30分前後　付属家具 エアコン</v>
      </c>
      <c r="AE238" s="6" t="str">
        <f aca="false">IFERROR(__xludf.dummyfunction("""COMPUTED_VALUE"""),"確認しました。")</f>
        <v>確認しました。</v>
      </c>
      <c r="AF238" s="6" t="str">
        <f aca="false">IFERROR(__xludf.dummyfunction("""COMPUTED_VALUE"""),"社宅基準の内容について確認しました")</f>
        <v>社宅基準の内容について確認しました</v>
      </c>
      <c r="AG238" s="6" t="str">
        <f aca="false">IFERROR(__xludf.dummyfunction("""COMPUTED_VALUE"""),"入居のしおりの内容についてご確認しました")</f>
        <v>入居のしおりの内容についてご確認しました</v>
      </c>
      <c r="AH238" s="6" t="str">
        <f aca="false">IFERROR(__xludf.dummyfunction("""COMPUTED_VALUE"""),"確認しました")</f>
        <v>確認しました</v>
      </c>
      <c r="AI238" s="6"/>
      <c r="AJ238" s="6" t="str">
        <v/>
      </c>
      <c r="AK238" s="6" t="str">
        <v/>
      </c>
      <c r="AL238" s="6" t="str">
        <v/>
      </c>
      <c r="AM238" s="6" t="str">
        <v/>
      </c>
      <c r="AN238" s="6" t="n">
        <f aca="false">TRUE()</f>
        <v>1</v>
      </c>
    </row>
    <row r="239" customFormat="false" ht="52.5" hidden="false" customHeight="true" outlineLevel="0" collapsed="false">
      <c r="A239" s="6" t="str">
        <f aca="false">IFERROR(__xludf.dummyfunction("""COMPUTED_VALUE"""),"2026/03/02 17:34:37")</f>
        <v>2026/03/02 17:34:37</v>
      </c>
      <c r="B239" s="6"/>
      <c r="C239" s="6" t="str">
        <f aca="false">IFERROR(__xludf.dummyfunction("""COMPUTED_VALUE"""),"70659")</f>
        <v>70659</v>
      </c>
      <c r="D239" s="6"/>
      <c r="E239" s="6"/>
      <c r="F239" s="6"/>
      <c r="G239" s="6" t="str">
        <f aca="false">IFERROR(__xludf.dummyfunction("""COMPUTED_VALUE"""),"2026/03/25")</f>
        <v>2026/03/25</v>
      </c>
      <c r="H239" s="6" t="str">
        <f aca="false">IFERROR(__xludf.dummyfunction("""COMPUTED_VALUE"""),"必要")</f>
        <v>必要</v>
      </c>
      <c r="I239" s="6" t="str">
        <f aca="false">IFERROR(__xludf.dummyfunction("""COMPUTED_VALUE"""),"男性")</f>
        <v>男性</v>
      </c>
      <c r="J239" s="6" t="str">
        <f aca="false">IFERROR(__xludf.dummyfunction("""COMPUTED_VALUE"""),"日本")</f>
        <v>日本</v>
      </c>
      <c r="K239" s="6" t="str">
        <f aca="false">IFERROR(__xludf.dummyfunction("""COMPUTED_VALUE"""),"8")</f>
        <v>8</v>
      </c>
      <c r="L239" s="6" t="str">
        <f aca="false">IFERROR(__xludf.dummyfunction("""COMPUTED_VALUE"""),"なし")</f>
        <v>なし</v>
      </c>
      <c r="M239" s="6" t="str">
        <f aca="false">IFERROR(__xludf.dummyfunction("""COMPUTED_VALUE"""),"ソファ(2人) ベッド(シングル) 机(およそ150,120,75) ゲーミングチェア")</f>
        <v>ソファ(2人) ベッド(シングル) 机(およそ150,120,75) ゲーミングチェア</v>
      </c>
      <c r="N239" s="6" t="str">
        <f aca="false">IFERROR(__xludf.dummyfunction("""COMPUTED_VALUE"""),"pcモニター(精密機器) pc(精密機器)")</f>
        <v>pcモニター(精密機器) pc(精密機器)</v>
      </c>
      <c r="O239" s="6" t="str">
        <f aca="false">IFERROR(__xludf.dummyfunction("""COMPUTED_VALUE"""),"不要")</f>
        <v>不要</v>
      </c>
      <c r="P239" s="6"/>
      <c r="Q239" s="6"/>
      <c r="R239" s="6"/>
      <c r="S239" s="6" t="str">
        <f aca="false">IFERROR(__xludf.dummyfunction("""COMPUTED_VALUE"""),"家具家電なし社宅")</f>
        <v>家具家電なし社宅</v>
      </c>
      <c r="T239" s="6" t="str">
        <f aca="false">IFERROR(__xludf.dummyfunction("""COMPUTED_VALUE"""),"利用しない")</f>
        <v>利用しない</v>
      </c>
      <c r="U239" s="6"/>
      <c r="V239" s="6" t="str">
        <f aca="false">IFERROR(__xludf.dummyfunction("""COMPUTED_VALUE"""),"徒歩, 電車, バス, 徒歩圏内、電車、バスの順で希望")</f>
        <v>徒歩, 電車, バス, 徒歩圏内、電車、バスの順で希望</v>
      </c>
      <c r="W239" s="6"/>
      <c r="X239" s="6" t="str">
        <f aca="false">IFERROR(__xludf.dummyfunction("""COMPUTED_VALUE"""),"ご自身で契約中の物件")</f>
        <v>ご自身で契約中の物件</v>
      </c>
      <c r="Y239" s="6"/>
      <c r="Z239" s="6" t="str">
        <f aca="false">IFERROR(__xludf.dummyfunction("""COMPUTED_VALUE"""),"希望する")</f>
        <v>希望する</v>
      </c>
      <c r="AA239" s="6" t="str">
        <f aca="false">IFERROR(__xludf.dummyfunction("""COMPUTED_VALUE"""),"単身")</f>
        <v>単身</v>
      </c>
      <c r="AB239" s="6"/>
      <c r="AC239" s="6"/>
      <c r="AD239" s="6"/>
      <c r="AE239" s="6" t="str">
        <f aca="false">IFERROR(__xludf.dummyfunction("""COMPUTED_VALUE"""),"確認しました。")</f>
        <v>確認しました。</v>
      </c>
      <c r="AF239" s="6" t="str">
        <f aca="false">IFERROR(__xludf.dummyfunction("""COMPUTED_VALUE"""),"社宅基準の内容について確認しました")</f>
        <v>社宅基準の内容について確認しました</v>
      </c>
      <c r="AG239" s="6" t="str">
        <f aca="false">IFERROR(__xludf.dummyfunction("""COMPUTED_VALUE"""),"入居のしおりの内容についてご確認しました")</f>
        <v>入居のしおりの内容についてご確認しました</v>
      </c>
      <c r="AH239" s="6" t="str">
        <f aca="false">IFERROR(__xludf.dummyfunction("""COMPUTED_VALUE"""),"確認しました")</f>
        <v>確認しました</v>
      </c>
      <c r="AI239" s="6"/>
      <c r="AJ239" s="6" t="str">
        <v/>
      </c>
      <c r="AK239" s="6" t="str">
        <v/>
      </c>
      <c r="AL239" s="6" t="str">
        <v/>
      </c>
      <c r="AM239" s="6" t="str">
        <v/>
      </c>
      <c r="AN239" s="6" t="n">
        <f aca="false">FALSE()</f>
        <v>0</v>
      </c>
    </row>
    <row r="240" customFormat="false" ht="52.5" hidden="false" customHeight="true" outlineLevel="0" collapsed="false">
      <c r="A240" s="6" t="str">
        <f aca="false">IFERROR(__xludf.dummyfunction("""COMPUTED_VALUE"""),"2026/03/02 20:04:11")</f>
        <v>2026/03/02 20:04:11</v>
      </c>
      <c r="B240" s="6"/>
      <c r="C240" s="6" t="str">
        <f aca="false">IFERROR(__xludf.dummyfunction("""COMPUTED_VALUE"""),"69895")</f>
        <v>69895</v>
      </c>
      <c r="D240" s="6"/>
      <c r="E240" s="6"/>
      <c r="F240" s="6"/>
      <c r="G240" s="6" t="str">
        <f aca="false">IFERROR(__xludf.dummyfunction("""COMPUTED_VALUE"""),"2026/03/28")</f>
        <v>2026/03/28</v>
      </c>
      <c r="H240" s="6" t="str">
        <f aca="false">IFERROR(__xludf.dummyfunction("""COMPUTED_VALUE"""),"必要")</f>
        <v>必要</v>
      </c>
      <c r="I240" s="6" t="str">
        <f aca="false">IFERROR(__xludf.dummyfunction("""COMPUTED_VALUE"""),"男性")</f>
        <v>男性</v>
      </c>
      <c r="J240" s="6" t="str">
        <f aca="false">IFERROR(__xludf.dummyfunction("""COMPUTED_VALUE"""),"日本")</f>
        <v>日本</v>
      </c>
      <c r="K240" s="6" t="str">
        <f aca="false">IFERROR(__xludf.dummyfunction("""COMPUTED_VALUE"""),"15")</f>
        <v>15</v>
      </c>
      <c r="L240" s="6" t="str">
        <f aca="false">IFERROR(__xludf.dummyfunction("""COMPUTED_VALUE"""),"トースター、炊飯器")</f>
        <v>トースター、炊飯器</v>
      </c>
      <c r="M240" s="6" t="str">
        <f aca="false">IFERROR(__xludf.dummyfunction("""COMPUTED_VALUE"""),"整理タンス高さ130センチ、60センチ、45センチ")</f>
        <v>整理タンス高さ130センチ、60センチ、45センチ</v>
      </c>
      <c r="N240" s="6" t="str">
        <f aca="false">IFERROR(__xludf.dummyfunction("""COMPUTED_VALUE"""),"自転車")</f>
        <v>自転車</v>
      </c>
      <c r="O240" s="6" t="str">
        <f aca="false">IFERROR(__xludf.dummyfunction("""COMPUTED_VALUE"""),"不要")</f>
        <v>不要</v>
      </c>
      <c r="P240" s="6"/>
      <c r="Q240" s="6"/>
      <c r="R240" s="6"/>
      <c r="S240" s="6" t="str">
        <f aca="false">IFERROR(__xludf.dummyfunction("""COMPUTED_VALUE"""),"家具家電付き社宅")</f>
        <v>家具家電付き社宅</v>
      </c>
      <c r="T240" s="6" t="str">
        <f aca="false">IFERROR(__xludf.dummyfunction("""COMPUTED_VALUE"""),"利用しない")</f>
        <v>利用しない</v>
      </c>
      <c r="U240" s="6"/>
      <c r="V240" s="6" t="str">
        <f aca="false">IFERROR(__xludf.dummyfunction("""COMPUTED_VALUE"""),"自転車")</f>
        <v>自転車</v>
      </c>
      <c r="W240" s="6"/>
      <c r="X240" s="6" t="str">
        <f aca="false">IFERROR(__xludf.dummyfunction("""COMPUTED_VALUE"""),"株式会社ビーネックステクノロジーズの社宅")</f>
        <v>株式会社ビーネックステクノロジーズの社宅</v>
      </c>
      <c r="Y240" s="6" t="str">
        <f aca="false">IFERROR(__xludf.dummyfunction("""COMPUTED_VALUE"""),"利用なし")</f>
        <v>利用なし</v>
      </c>
      <c r="Z240" s="6" t="str">
        <f aca="false">IFERROR(__xludf.dummyfunction("""COMPUTED_VALUE"""),"希望する")</f>
        <v>希望する</v>
      </c>
      <c r="AA240" s="6" t="str">
        <f aca="false">IFERROR(__xludf.dummyfunction("""COMPUTED_VALUE"""),"単身")</f>
        <v>単身</v>
      </c>
      <c r="AB240" s="6"/>
      <c r="AC240" s="6"/>
      <c r="AD240" s="6" t="str">
        <f aca="false">IFERROR(__xludf.dummyfunction("""COMPUTED_VALUE"""),"お風呂とトイレは別でお願いします。")</f>
        <v>お風呂とトイレは別でお願いします。</v>
      </c>
      <c r="AE240" s="6" t="str">
        <f aca="false">IFERROR(__xludf.dummyfunction("""COMPUTED_VALUE"""),"確認しました。")</f>
        <v>確認しました。</v>
      </c>
      <c r="AF240" s="6" t="str">
        <f aca="false">IFERROR(__xludf.dummyfunction("""COMPUTED_VALUE"""),"社宅基準の内容について確認しました")</f>
        <v>社宅基準の内容について確認しました</v>
      </c>
      <c r="AG240" s="6" t="str">
        <f aca="false">IFERROR(__xludf.dummyfunction("""COMPUTED_VALUE"""),"入居のしおりの内容についてご確認しました")</f>
        <v>入居のしおりの内容についてご確認しました</v>
      </c>
      <c r="AH240" s="6" t="str">
        <f aca="false">IFERROR(__xludf.dummyfunction("""COMPUTED_VALUE"""),"確認しました")</f>
        <v>確認しました</v>
      </c>
      <c r="AI240" s="6"/>
      <c r="AJ240" s="6" t="str">
        <v/>
      </c>
      <c r="AK240" s="6" t="str">
        <v/>
      </c>
      <c r="AL240" s="6" t="str">
        <v/>
      </c>
      <c r="AM240" s="6" t="str">
        <v/>
      </c>
      <c r="AN240" s="6" t="n">
        <f aca="false">TRUE()</f>
        <v>1</v>
      </c>
    </row>
    <row r="241" customFormat="false" ht="52.5" hidden="false" customHeight="true" outlineLevel="0" collapsed="false">
      <c r="A241" s="6" t="str">
        <f aca="false">IFERROR(__xludf.dummyfunction("""COMPUTED_VALUE"""),"2026/03/02 20:57:53")</f>
        <v>2026/03/02 20:57:53</v>
      </c>
      <c r="B241" s="6"/>
      <c r="C241" s="6" t="str">
        <f aca="false">IFERROR(__xludf.dummyfunction("""COMPUTED_VALUE"""),"70146")</f>
        <v>70146</v>
      </c>
      <c r="D241" s="6"/>
      <c r="E241" s="6"/>
      <c r="F241" s="6"/>
      <c r="G241" s="6" t="str">
        <f aca="false">IFERROR(__xludf.dummyfunction("""COMPUTED_VALUE"""),"2026/03/30")</f>
        <v>2026/03/30</v>
      </c>
      <c r="H241" s="6" t="str">
        <f aca="false">IFERROR(__xludf.dummyfunction("""COMPUTED_VALUE"""),"必要")</f>
        <v>必要</v>
      </c>
      <c r="I241" s="6" t="str">
        <f aca="false">IFERROR(__xludf.dummyfunction("""COMPUTED_VALUE"""),"男性")</f>
        <v>男性</v>
      </c>
      <c r="J241" s="6" t="str">
        <f aca="false">IFERROR(__xludf.dummyfunction("""COMPUTED_VALUE"""),"日本")</f>
        <v>日本</v>
      </c>
      <c r="K241" s="6" t="str">
        <f aca="false">IFERROR(__xludf.dummyfunction("""COMPUTED_VALUE"""),"25")</f>
        <v>25</v>
      </c>
      <c r="L241" s="6" t="str">
        <f aca="false">IFERROR(__xludf.dummyfunction("""COMPUTED_VALUE"""),"デスクトップPC、ゲーム機")</f>
        <v>デスクトップPC、ゲーム機</v>
      </c>
      <c r="M241" s="6" t="str">
        <f aca="false">IFERROR(__xludf.dummyfunction("""COMPUTED_VALUE"""),"こたつ机")</f>
        <v>こたつ机</v>
      </c>
      <c r="N241" s="6" t="str">
        <f aca="false">IFERROR(__xludf.dummyfunction("""COMPUTED_VALUE"""),"自転車、衣装入れカラー箱、カラー箪笥")</f>
        <v>自転車、衣装入れカラー箱、カラー箪笥</v>
      </c>
      <c r="O241" s="6" t="str">
        <f aca="false">IFERROR(__xludf.dummyfunction("""COMPUTED_VALUE"""),"不要")</f>
        <v>不要</v>
      </c>
      <c r="P241" s="6"/>
      <c r="Q241" s="6"/>
      <c r="R241" s="6"/>
      <c r="S241" s="6" t="str">
        <f aca="false">IFERROR(__xludf.dummyfunction("""COMPUTED_VALUE"""),"家具家電付き社宅")</f>
        <v>家具家電付き社宅</v>
      </c>
      <c r="T241" s="6" t="str">
        <f aca="false">IFERROR(__xludf.dummyfunction("""COMPUTED_VALUE"""),"利用しない")</f>
        <v>利用しない</v>
      </c>
      <c r="U241" s="6"/>
      <c r="V241" s="6" t="str">
        <f aca="false">IFERROR(__xludf.dummyfunction("""COMPUTED_VALUE"""),"徒歩, 自転車, 電車, バス, 社用バス")</f>
        <v>徒歩, 自転車, 電車, バス, 社用バス</v>
      </c>
      <c r="W241" s="6"/>
      <c r="X241" s="6" t="str">
        <f aca="false">IFERROR(__xludf.dummyfunction("""COMPUTED_VALUE"""),"株式会社ビーネックステクノロジーズの社宅")</f>
        <v>株式会社ビーネックステクノロジーズの社宅</v>
      </c>
      <c r="Y241" s="6" t="str">
        <f aca="false">IFERROR(__xludf.dummyfunction("""COMPUTED_VALUE"""),"利用なし")</f>
        <v>利用なし</v>
      </c>
      <c r="Z241" s="6" t="str">
        <f aca="false">IFERROR(__xludf.dummyfunction("""COMPUTED_VALUE"""),"希望しない")</f>
        <v>希望しない</v>
      </c>
      <c r="AA241" s="6" t="str">
        <f aca="false">IFERROR(__xludf.dummyfunction("""COMPUTED_VALUE"""),"単身")</f>
        <v>単身</v>
      </c>
      <c r="AB241" s="6"/>
      <c r="AC241" s="6"/>
      <c r="AD241" s="6" t="str">
        <f aca="false">IFERROR(__xludf.dummyfunction("""COMPUTED_VALUE"""),"建物の最上階
スーパー、コンビニの近く
できれば角部屋
ウォッシュレット付き
")</f>
        <v>建物の最上階
スーパー、コンビニの近く
できれば角部屋
ウォッシュレット付き
</v>
      </c>
      <c r="AE241" s="6" t="str">
        <f aca="false">IFERROR(__xludf.dummyfunction("""COMPUTED_VALUE"""),"確認しました。")</f>
        <v>確認しました。</v>
      </c>
      <c r="AF241" s="6" t="str">
        <f aca="false">IFERROR(__xludf.dummyfunction("""COMPUTED_VALUE"""),"社宅基準の内容について確認しました")</f>
        <v>社宅基準の内容について確認しました</v>
      </c>
      <c r="AG241" s="6" t="str">
        <f aca="false">IFERROR(__xludf.dummyfunction("""COMPUTED_VALUE"""),"入居のしおりの内容についてご確認しました")</f>
        <v>入居のしおりの内容についてご確認しました</v>
      </c>
      <c r="AH241" s="6" t="str">
        <f aca="false">IFERROR(__xludf.dummyfunction("""COMPUTED_VALUE"""),"確認しました")</f>
        <v>確認しました</v>
      </c>
      <c r="AI241" s="6"/>
      <c r="AJ241" s="6" t="str">
        <v/>
      </c>
      <c r="AK241" s="6" t="str">
        <v/>
      </c>
      <c r="AL241" s="6" t="str">
        <v/>
      </c>
      <c r="AM241" s="6" t="str">
        <v/>
      </c>
      <c r="AN241" s="6" t="n">
        <f aca="false">FALSE()</f>
        <v>0</v>
      </c>
    </row>
    <row r="242" customFormat="false" ht="52.5" hidden="false" customHeight="true" outlineLevel="0" collapsed="false">
      <c r="A242" s="6" t="str">
        <f aca="false">IFERROR(__xludf.dummyfunction("""COMPUTED_VALUE"""),"2026/03/02 22:37:34")</f>
        <v>2026/03/02 22:37:34</v>
      </c>
      <c r="B242" s="6"/>
      <c r="C242" s="6" t="str">
        <f aca="false">IFERROR(__xludf.dummyfunction("""COMPUTED_VALUE"""),"70704")</f>
        <v>70704</v>
      </c>
      <c r="D242" s="6"/>
      <c r="E242" s="6"/>
      <c r="F242" s="6"/>
      <c r="G242" s="6" t="str">
        <f aca="false">IFERROR(__xludf.dummyfunction("""COMPUTED_VALUE"""),"2026/03/29")</f>
        <v>2026/03/29</v>
      </c>
      <c r="H242" s="6" t="str">
        <f aca="false">IFERROR(__xludf.dummyfunction("""COMPUTED_VALUE"""),"必要")</f>
        <v>必要</v>
      </c>
      <c r="I242" s="6" t="str">
        <f aca="false">IFERROR(__xludf.dummyfunction("""COMPUTED_VALUE"""),"男性")</f>
        <v>男性</v>
      </c>
      <c r="J242" s="6" t="str">
        <f aca="false">IFERROR(__xludf.dummyfunction("""COMPUTED_VALUE"""),"日本")</f>
        <v>日本</v>
      </c>
      <c r="K242" s="6" t="str">
        <f aca="false">IFERROR(__xludf.dummyfunction("""COMPUTED_VALUE"""),"20")</f>
        <v>20</v>
      </c>
      <c r="L242" s="6" t="str">
        <f aca="false">IFERROR(__xludf.dummyfunction("""COMPUTED_VALUE"""),"冷蔵庫単身用、電子レンジ、炊飯器、オーブン
コーヒーメーカ、洗濯機、ガスコンロ")</f>
        <v>冷蔵庫単身用、電子レンジ、炊飯器、オーブン
コーヒーメーカ、洗濯機、ガスコンロ</v>
      </c>
      <c r="M242" s="6" t="str">
        <f aca="false">IFERROR(__xludf.dummyfunction("""COMPUTED_VALUE"""),"ベット縦140横175奥100.テーブル1縦65横 31
奥43.テーブル2縦72横40奥75テーブル3縦75横150奥60テーブル4縦75横40奥80テーブル5縦75横60奥45 マットレスシングル2つ、ソファ2人、ゲーミングチェア2つ")</f>
        <v>ベット縦140横175奥100.テーブル1縦65横 31
奥43.テーブル2縦72横40奥75テーブル3縦75横150奥60テーブル4縦75横40奥80テーブル5縦75横60奥45 マットレスシングル2つ、ソファ2人、ゲーミングチェア2つ</v>
      </c>
      <c r="N242" s="6" t="str">
        <f aca="false">IFERROR(__xludf.dummyfunction("""COMPUTED_VALUE"""),"なし")</f>
        <v>なし</v>
      </c>
      <c r="O242" s="6" t="str">
        <f aca="false">IFERROR(__xludf.dummyfunction("""COMPUTED_VALUE"""),"不要")</f>
        <v>不要</v>
      </c>
      <c r="P242" s="6"/>
      <c r="Q242" s="6"/>
      <c r="R242" s="6"/>
      <c r="S242" s="6" t="str">
        <f aca="false">IFERROR(__xludf.dummyfunction("""COMPUTED_VALUE"""),"家具家電なし社宅")</f>
        <v>家具家電なし社宅</v>
      </c>
      <c r="T242" s="6" t="str">
        <f aca="false">IFERROR(__xludf.dummyfunction("""COMPUTED_VALUE"""),"利用しない")</f>
        <v>利用しない</v>
      </c>
      <c r="U242" s="6"/>
      <c r="V242" s="6" t="str">
        <f aca="false">IFERROR(__xludf.dummyfunction("""COMPUTED_VALUE"""),"バス, 社用バス")</f>
        <v>バス, 社用バス</v>
      </c>
      <c r="W242" s="6"/>
      <c r="X242" s="6" t="str">
        <f aca="false">IFERROR(__xludf.dummyfunction("""COMPUTED_VALUE"""),"株式会社ビーネックステクノロジーズの社宅")</f>
        <v>株式会社ビーネックステクノロジーズの社宅</v>
      </c>
      <c r="Y242" s="6" t="str">
        <f aca="false">IFERROR(__xludf.dummyfunction("""COMPUTED_VALUE"""),"新社宅へ引き継ぎ希望
")</f>
        <v>新社宅へ引き継ぎ希望
</v>
      </c>
      <c r="Z242" s="6" t="str">
        <f aca="false">IFERROR(__xludf.dummyfunction("""COMPUTED_VALUE"""),"希望する")</f>
        <v>希望する</v>
      </c>
      <c r="AA242" s="6" t="str">
        <f aca="false">IFERROR(__xludf.dummyfunction("""COMPUTED_VALUE"""),"単身")</f>
        <v>単身</v>
      </c>
      <c r="AB242" s="6"/>
      <c r="AC242" s="6"/>
      <c r="AD242" s="6" t="str">
        <f aca="false">IFERROR(__xludf.dummyfunction("""COMPUTED_VALUE"""),"防音性がいいところをお願い致します")</f>
        <v>防音性がいいところをお願い致します</v>
      </c>
      <c r="AE242" s="6" t="str">
        <f aca="false">IFERROR(__xludf.dummyfunction("""COMPUTED_VALUE"""),"確認しました。")</f>
        <v>確認しました。</v>
      </c>
      <c r="AF242" s="6" t="str">
        <f aca="false">IFERROR(__xludf.dummyfunction("""COMPUTED_VALUE"""),"社宅基準の内容について確認しました")</f>
        <v>社宅基準の内容について確認しました</v>
      </c>
      <c r="AG242" s="6" t="str">
        <f aca="false">IFERROR(__xludf.dummyfunction("""COMPUTED_VALUE"""),"入居のしおりの内容についてご確認しました")</f>
        <v>入居のしおりの内容についてご確認しました</v>
      </c>
      <c r="AH242" s="6" t="str">
        <f aca="false">IFERROR(__xludf.dummyfunction("""COMPUTED_VALUE"""),"確認しました")</f>
        <v>確認しました</v>
      </c>
      <c r="AI242" s="6"/>
      <c r="AJ242" s="6" t="str">
        <v/>
      </c>
      <c r="AK242" s="6" t="str">
        <v/>
      </c>
      <c r="AL242" s="6" t="str">
        <v/>
      </c>
      <c r="AM242" s="6" t="str">
        <v/>
      </c>
      <c r="AN242" s="6" t="n">
        <f aca="false">FALSE()</f>
        <v>0</v>
      </c>
    </row>
    <row r="243" customFormat="false" ht="52.5" hidden="false" customHeight="true" outlineLevel="0" collapsed="false">
      <c r="A243" s="6" t="str">
        <f aca="false">IFERROR(__xludf.dummyfunction("""COMPUTED_VALUE"""),"2026/03/03 0:07:32")</f>
        <v>2026/03/03 0:07:32</v>
      </c>
      <c r="B243" s="6"/>
      <c r="C243" s="6" t="str">
        <f aca="false">IFERROR(__xludf.dummyfunction("""COMPUTED_VALUE"""),"70682")</f>
        <v>70682</v>
      </c>
      <c r="D243" s="6"/>
      <c r="E243" s="6"/>
      <c r="F243" s="6"/>
      <c r="G243" s="6" t="str">
        <f aca="false">IFERROR(__xludf.dummyfunction("""COMPUTED_VALUE"""),"2026/03/28")</f>
        <v>2026/03/28</v>
      </c>
      <c r="H243" s="6" t="str">
        <f aca="false">IFERROR(__xludf.dummyfunction("""COMPUTED_VALUE"""),"必要")</f>
        <v>必要</v>
      </c>
      <c r="I243" s="6" t="str">
        <f aca="false">IFERROR(__xludf.dummyfunction("""COMPUTED_VALUE"""),"男性")</f>
        <v>男性</v>
      </c>
      <c r="J243" s="6" t="str">
        <f aca="false">IFERROR(__xludf.dummyfunction("""COMPUTED_VALUE"""),"日本")</f>
        <v>日本</v>
      </c>
      <c r="K243" s="6" t="str">
        <f aca="false">IFERROR(__xludf.dummyfunction("""COMPUTED_VALUE"""),"10")</f>
        <v>10</v>
      </c>
      <c r="L243" s="6" t="str">
        <f aca="false">IFERROR(__xludf.dummyfunction("""COMPUTED_VALUE"""),"ポット、扇風機、掃除機")</f>
        <v>ポット、扇風機、掃除機</v>
      </c>
      <c r="M243" s="6" t="str">
        <f aca="false">IFERROR(__xludf.dummyfunction("""COMPUTED_VALUE"""),"椅子")</f>
        <v>椅子</v>
      </c>
      <c r="N243" s="6"/>
      <c r="O243" s="6" t="str">
        <f aca="false">IFERROR(__xludf.dummyfunction("""COMPUTED_VALUE"""),"不要")</f>
        <v>不要</v>
      </c>
      <c r="P243" s="6"/>
      <c r="Q243" s="6"/>
      <c r="R243" s="6"/>
      <c r="S243" s="6" t="str">
        <f aca="false">IFERROR(__xludf.dummyfunction("""COMPUTED_VALUE"""),"家具家電付き社宅")</f>
        <v>家具家電付き社宅</v>
      </c>
      <c r="T243" s="6" t="str">
        <f aca="false">IFERROR(__xludf.dummyfunction("""COMPUTED_VALUE"""),"利用しない")</f>
        <v>利用しない</v>
      </c>
      <c r="U243" s="6"/>
      <c r="V243" s="6" t="str">
        <f aca="false">IFERROR(__xludf.dummyfunction("""COMPUTED_VALUE"""),"徒歩, 自転車, 電車, バス")</f>
        <v>徒歩, 自転車, 電車, バス</v>
      </c>
      <c r="W243" s="6"/>
      <c r="X243" s="6" t="str">
        <f aca="false">IFERROR(__xludf.dummyfunction("""COMPUTED_VALUE"""),"株式会社ビーネックステクノロジーズの社宅")</f>
        <v>株式会社ビーネックステクノロジーズの社宅</v>
      </c>
      <c r="Y243" s="6" t="str">
        <f aca="false">IFERROR(__xludf.dummyfunction("""COMPUTED_VALUE"""),"利用なし")</f>
        <v>利用なし</v>
      </c>
      <c r="Z243" s="6" t="str">
        <f aca="false">IFERROR(__xludf.dummyfunction("""COMPUTED_VALUE"""),"希望する")</f>
        <v>希望する</v>
      </c>
      <c r="AA243" s="6" t="str">
        <f aca="false">IFERROR(__xludf.dummyfunction("""COMPUTED_VALUE"""),"単身")</f>
        <v>単身</v>
      </c>
      <c r="AB243" s="6"/>
      <c r="AC243" s="6"/>
      <c r="AD243" s="6"/>
      <c r="AE243" s="6" t="str">
        <f aca="false">IFERROR(__xludf.dummyfunction("""COMPUTED_VALUE"""),"確認しました。")</f>
        <v>確認しました。</v>
      </c>
      <c r="AF243" s="6" t="str">
        <f aca="false">IFERROR(__xludf.dummyfunction("""COMPUTED_VALUE"""),"社宅基準の内容について確認しました")</f>
        <v>社宅基準の内容について確認しました</v>
      </c>
      <c r="AG243" s="6" t="str">
        <f aca="false">IFERROR(__xludf.dummyfunction("""COMPUTED_VALUE"""),"入居のしおりの内容についてご確認しました")</f>
        <v>入居のしおりの内容についてご確認しました</v>
      </c>
      <c r="AH243" s="6" t="str">
        <f aca="false">IFERROR(__xludf.dummyfunction("""COMPUTED_VALUE"""),"確認しました")</f>
        <v>確認しました</v>
      </c>
      <c r="AI243" s="6"/>
      <c r="AJ243" s="6" t="str">
        <v/>
      </c>
      <c r="AK243" s="6" t="str">
        <v/>
      </c>
      <c r="AL243" s="6" t="str">
        <v/>
      </c>
      <c r="AM243" s="6" t="str">
        <v/>
      </c>
      <c r="AN243" s="6" t="n">
        <f aca="false">TRUE()</f>
        <v>1</v>
      </c>
    </row>
    <row r="244" customFormat="false" ht="52.5" hidden="false" customHeight="true" outlineLevel="0" collapsed="false">
      <c r="A244" s="6" t="str">
        <f aca="false">IFERROR(__xludf.dummyfunction("""COMPUTED_VALUE"""),"2026/03/03 0:20:38")</f>
        <v>2026/03/03 0:20:38</v>
      </c>
      <c r="B244" s="6"/>
      <c r="C244" s="6" t="str">
        <f aca="false">IFERROR(__xludf.dummyfunction("""COMPUTED_VALUE"""),"70692")</f>
        <v>70692</v>
      </c>
      <c r="D244" s="6"/>
      <c r="E244" s="6"/>
      <c r="F244" s="6"/>
      <c r="G244" s="6" t="str">
        <f aca="false">IFERROR(__xludf.dummyfunction("""COMPUTED_VALUE"""),"2026/03/29")</f>
        <v>2026/03/29</v>
      </c>
      <c r="H244" s="6" t="str">
        <f aca="false">IFERROR(__xludf.dummyfunction("""COMPUTED_VALUE"""),"必要")</f>
        <v>必要</v>
      </c>
      <c r="I244" s="6" t="str">
        <f aca="false">IFERROR(__xludf.dummyfunction("""COMPUTED_VALUE"""),"男性")</f>
        <v>男性</v>
      </c>
      <c r="J244" s="6" t="str">
        <f aca="false">IFERROR(__xludf.dummyfunction("""COMPUTED_VALUE"""),"日本")</f>
        <v>日本</v>
      </c>
      <c r="K244" s="6" t="str">
        <f aca="false">IFERROR(__xludf.dummyfunction("""COMPUTED_VALUE"""),"15")</f>
        <v>15</v>
      </c>
      <c r="L244" s="6" t="str">
        <f aca="false">IFERROR(__xludf.dummyfunction("""COMPUTED_VALUE"""),"・テレビ
・空気清浄機
・電子レンジ
・冷蔵庫(単身用)
・炊飯器
・洗濯機
・扇風機
・掃除機
・ゲーム機
")</f>
        <v>・テレビ
・空気清浄機
・電子レンジ
・冷蔵庫(単身用)
・炊飯器
・洗濯機
・扇風機
・掃除機
・ゲーム機
</v>
      </c>
      <c r="M244" s="6" t="str">
        <f aca="false">IFERROR(__xludf.dummyfunction("""COMPUTED_VALUE"""),"・本棚2台(・180,30,30 ・110,90,40)
・ベッド(シングル)
・椅子
・物置台2台
・机(90,60,100)
・テレビ台
・鏡")</f>
        <v>・本棚2台(・180,30,30 ・110,90,40)
・ベッド(シングル)
・椅子
・物置台2台
・机(90,60,100)
・テレビ台
・鏡</v>
      </c>
      <c r="N244" s="6" t="str">
        <f aca="false">IFERROR(__xludf.dummyfunction("""COMPUTED_VALUE"""),"自転車
エアロバイク")</f>
        <v>自転車
エアロバイク</v>
      </c>
      <c r="O244" s="6" t="str">
        <f aca="false">IFERROR(__xludf.dummyfunction("""COMPUTED_VALUE"""),"不要")</f>
        <v>不要</v>
      </c>
      <c r="P244" s="6"/>
      <c r="Q244" s="6"/>
      <c r="R244" s="6"/>
      <c r="S244" s="6" t="str">
        <f aca="false">IFERROR(__xludf.dummyfunction("""COMPUTED_VALUE"""),"家具家電なし社宅")</f>
        <v>家具家電なし社宅</v>
      </c>
      <c r="T244" s="6" t="str">
        <f aca="false">IFERROR(__xludf.dummyfunction("""COMPUTED_VALUE"""),"利用しない")</f>
        <v>利用しない</v>
      </c>
      <c r="U244" s="6"/>
      <c r="V244" s="6" t="str">
        <f aca="false">IFERROR(__xludf.dummyfunction("""COMPUTED_VALUE"""),"徒歩, 自転車, 電車, バス")</f>
        <v>徒歩, 自転車, 電車, バス</v>
      </c>
      <c r="W244" s="6"/>
      <c r="X244" s="6" t="str">
        <f aca="false">IFERROR(__xludf.dummyfunction("""COMPUTED_VALUE"""),"株式会社ビーネックステクノロジーズの社宅")</f>
        <v>株式会社ビーネックステクノロジーズの社宅</v>
      </c>
      <c r="Y244" s="6" t="str">
        <f aca="false">IFERROR(__xludf.dummyfunction("""COMPUTED_VALUE"""),"利用なし")</f>
        <v>利用なし</v>
      </c>
      <c r="Z244" s="6" t="str">
        <f aca="false">IFERROR(__xludf.dummyfunction("""COMPUTED_VALUE"""),"希望する")</f>
        <v>希望する</v>
      </c>
      <c r="AA244" s="6" t="str">
        <f aca="false">IFERROR(__xludf.dummyfunction("""COMPUTED_VALUE"""),"単身")</f>
        <v>単身</v>
      </c>
      <c r="AB244" s="6"/>
      <c r="AC244" s="6"/>
      <c r="AD244" s="6" t="str">
        <f aca="false">IFERROR(__xludf.dummyfunction("""COMPUTED_VALUE"""),"・駐車場契約は不要ですが、自転車置き場は欲しいです。
・ライフラインについて希望していますが、電気についてはau電気を契約しており継続予定です。また、ネットについてもBIGLOBEを契約しておりこちらも継続予定です。
・トレイと風呂は別希望です。
・トイレは洋式かつウォシュレット付き希望です。
・浴室は乾燥機能希望です。
・コンロは2口を希望します。
・四郷駅周辺が望ましいです。")</f>
        <v>・駐車場契約は不要ですが、自転車置き場は欲しいです。
・ライフラインについて希望していますが、電気についてはau電気を契約しており継続予定です。また、ネットについてもBIGLOBEを契約しておりこちらも継続予定です。
・トレイと風呂は別希望です。
・トイレは洋式かつウォシュレット付き希望です。
・浴室は乾燥機能希望です。
・コンロは2口を希望します。
・四郷駅周辺が望ましいです。</v>
      </c>
      <c r="AE244" s="6" t="str">
        <f aca="false">IFERROR(__xludf.dummyfunction("""COMPUTED_VALUE"""),"確認しました。")</f>
        <v>確認しました。</v>
      </c>
      <c r="AF244" s="6" t="str">
        <f aca="false">IFERROR(__xludf.dummyfunction("""COMPUTED_VALUE"""),"社宅基準の内容について確認しました")</f>
        <v>社宅基準の内容について確認しました</v>
      </c>
      <c r="AG244" s="6" t="str">
        <f aca="false">IFERROR(__xludf.dummyfunction("""COMPUTED_VALUE"""),"入居のしおりの内容についてご確認しました")</f>
        <v>入居のしおりの内容についてご確認しました</v>
      </c>
      <c r="AH244" s="6" t="str">
        <f aca="false">IFERROR(__xludf.dummyfunction("""COMPUTED_VALUE"""),"確認しました")</f>
        <v>確認しました</v>
      </c>
      <c r="AI244" s="6"/>
      <c r="AJ244" s="6" t="str">
        <v/>
      </c>
      <c r="AK244" s="6" t="str">
        <v/>
      </c>
      <c r="AL244" s="6" t="str">
        <v/>
      </c>
      <c r="AM244" s="6" t="str">
        <v/>
      </c>
      <c r="AN244" s="6" t="n">
        <f aca="false">TRUE()</f>
        <v>1</v>
      </c>
    </row>
    <row r="245" customFormat="false" ht="52.5" hidden="false" customHeight="true" outlineLevel="0" collapsed="false">
      <c r="A245" s="6" t="str">
        <f aca="false">IFERROR(__xludf.dummyfunction("""COMPUTED_VALUE"""),"2026/03/03 4:01:17")</f>
        <v>2026/03/03 4:01:17</v>
      </c>
      <c r="B245" s="6"/>
      <c r="C245" s="6" t="str">
        <f aca="false">IFERROR(__xludf.dummyfunction("""COMPUTED_VALUE"""),"70484")</f>
        <v>70484</v>
      </c>
      <c r="D245" s="6"/>
      <c r="E245" s="6"/>
      <c r="F245" s="6"/>
      <c r="G245" s="6" t="str">
        <f aca="false">IFERROR(__xludf.dummyfunction("""COMPUTED_VALUE"""),"2026/03/29")</f>
        <v>2026/03/29</v>
      </c>
      <c r="H245" s="6" t="str">
        <f aca="false">IFERROR(__xludf.dummyfunction("""COMPUTED_VALUE"""),"必要")</f>
        <v>必要</v>
      </c>
      <c r="I245" s="6" t="str">
        <f aca="false">IFERROR(__xludf.dummyfunction("""COMPUTED_VALUE"""),"女性")</f>
        <v>女性</v>
      </c>
      <c r="J245" s="6" t="str">
        <f aca="false">IFERROR(__xludf.dummyfunction("""COMPUTED_VALUE"""),"日本")</f>
        <v>日本</v>
      </c>
      <c r="K245" s="6" t="str">
        <f aca="false">IFERROR(__xludf.dummyfunction("""COMPUTED_VALUE"""),"6")</f>
        <v>6</v>
      </c>
      <c r="L245" s="6" t="str">
        <f aca="false">IFERROR(__xludf.dummyfunction("""COMPUTED_VALUE"""),"炊飯器、ケトル、掃除機、扇風機")</f>
        <v>炊飯器、ケトル、掃除機、扇風機</v>
      </c>
      <c r="M245" s="6" t="str">
        <f aca="false">IFERROR(__xludf.dummyfunction("""COMPUTED_VALUE"""),"椅子1個、")</f>
        <v>椅子1個、</v>
      </c>
      <c r="N245" s="6" t="str">
        <f aca="false">IFERROR(__xludf.dummyfunction("""COMPUTED_VALUE"""),"自転車")</f>
        <v>自転車</v>
      </c>
      <c r="O245" s="6" t="str">
        <f aca="false">IFERROR(__xludf.dummyfunction("""COMPUTED_VALUE"""),"不要")</f>
        <v>不要</v>
      </c>
      <c r="P245" s="6"/>
      <c r="Q245" s="6"/>
      <c r="R245" s="6"/>
      <c r="S245" s="6" t="str">
        <f aca="false">IFERROR(__xludf.dummyfunction("""COMPUTED_VALUE"""),"家具家電付き社宅")</f>
        <v>家具家電付き社宅</v>
      </c>
      <c r="T245" s="6" t="str">
        <f aca="false">IFERROR(__xludf.dummyfunction("""COMPUTED_VALUE"""),"利用する")</f>
        <v>利用する</v>
      </c>
      <c r="U245" s="6" t="str">
        <f aca="false">IFERROR(__xludf.dummyfunction("""COMPUTED_VALUE"""),"なし")</f>
        <v>なし</v>
      </c>
      <c r="V245" s="6" t="str">
        <f aca="false">IFERROR(__xludf.dummyfunction("""COMPUTED_VALUE"""),"徒歩, 電車, バス")</f>
        <v>徒歩, 電車, バス</v>
      </c>
      <c r="W245" s="6"/>
      <c r="X245" s="6" t="str">
        <f aca="false">IFERROR(__xludf.dummyfunction("""COMPUTED_VALUE"""),"実家")</f>
        <v>実家</v>
      </c>
      <c r="Y245" s="6"/>
      <c r="Z245" s="6" t="str">
        <f aca="false">IFERROR(__xludf.dummyfunction("""COMPUTED_VALUE"""),"希望する")</f>
        <v>希望する</v>
      </c>
      <c r="AA245" s="6" t="str">
        <f aca="false">IFERROR(__xludf.dummyfunction("""COMPUTED_VALUE"""),"単身")</f>
        <v>単身</v>
      </c>
      <c r="AB245" s="6"/>
      <c r="AC245" s="6"/>
      <c r="AD245" s="6"/>
      <c r="AE245" s="6" t="str">
        <f aca="false">IFERROR(__xludf.dummyfunction("""COMPUTED_VALUE"""),"確認しました。")</f>
        <v>確認しました。</v>
      </c>
      <c r="AF245" s="6" t="str">
        <f aca="false">IFERROR(__xludf.dummyfunction("""COMPUTED_VALUE"""),"社宅基準の内容について確認しました")</f>
        <v>社宅基準の内容について確認しました</v>
      </c>
      <c r="AG245" s="6" t="str">
        <f aca="false">IFERROR(__xludf.dummyfunction("""COMPUTED_VALUE"""),"入居のしおりの内容についてご確認しました")</f>
        <v>入居のしおりの内容についてご確認しました</v>
      </c>
      <c r="AH245" s="6" t="str">
        <f aca="false">IFERROR(__xludf.dummyfunction("""COMPUTED_VALUE"""),"確認しました")</f>
        <v>確認しました</v>
      </c>
      <c r="AI245" s="6"/>
      <c r="AJ245" s="6" t="str">
        <v/>
      </c>
      <c r="AK245" s="6" t="str">
        <v/>
      </c>
      <c r="AL245" s="6" t="str">
        <v/>
      </c>
      <c r="AM245" s="6" t="str">
        <v/>
      </c>
      <c r="AN245" s="6" t="n">
        <f aca="false">FALSE()</f>
        <v>0</v>
      </c>
    </row>
    <row r="246" customFormat="false" ht="52.5" hidden="false" customHeight="true" outlineLevel="0" collapsed="false">
      <c r="A246" s="6" t="str">
        <f aca="false">IFERROR(__xludf.dummyfunction("""COMPUTED_VALUE"""),"2026/03/03 11:17:13")</f>
        <v>2026/03/03 11:17:13</v>
      </c>
      <c r="B246" s="6"/>
      <c r="C246" s="6" t="str">
        <f aca="false">IFERROR(__xludf.dummyfunction("""COMPUTED_VALUE"""),"70734")</f>
        <v>70734</v>
      </c>
      <c r="D246" s="6"/>
      <c r="E246" s="6"/>
      <c r="F246" s="6"/>
      <c r="G246" s="6" t="str">
        <f aca="false">IFERROR(__xludf.dummyfunction("""COMPUTED_VALUE"""),"2026/03/28")</f>
        <v>2026/03/28</v>
      </c>
      <c r="H246" s="6" t="str">
        <f aca="false">IFERROR(__xludf.dummyfunction("""COMPUTED_VALUE"""),"必要")</f>
        <v>必要</v>
      </c>
      <c r="I246" s="6" t="str">
        <f aca="false">IFERROR(__xludf.dummyfunction("""COMPUTED_VALUE"""),"男性")</f>
        <v>男性</v>
      </c>
      <c r="J246" s="6" t="str">
        <f aca="false">IFERROR(__xludf.dummyfunction("""COMPUTED_VALUE"""),"日本")</f>
        <v>日本</v>
      </c>
      <c r="K246" s="6" t="str">
        <f aca="false">IFERROR(__xludf.dummyfunction("""COMPUTED_VALUE"""),"2")</f>
        <v>2</v>
      </c>
      <c r="L246" s="6" t="str">
        <f aca="false">IFERROR(__xludf.dummyfunction("""COMPUTED_VALUE"""),"冷蔵庫（単身用）、洗濯機、電子レンジ、オーブントースター、テレビ")</f>
        <v>冷蔵庫（単身用）、洗濯機、電子レンジ、オーブントースター、テレビ</v>
      </c>
      <c r="M246" s="6" t="str">
        <f aca="false">IFERROR(__xludf.dummyfunction("""COMPUTED_VALUE"""),"ベッド（シングル）")</f>
        <v>ベッド（シングル）</v>
      </c>
      <c r="N246" s="6"/>
      <c r="O246" s="6" t="str">
        <f aca="false">IFERROR(__xludf.dummyfunction("""COMPUTED_VALUE"""),"不要")</f>
        <v>不要</v>
      </c>
      <c r="P246" s="6"/>
      <c r="Q246" s="6"/>
      <c r="R246" s="6"/>
      <c r="S246" s="6" t="str">
        <f aca="false">IFERROR(__xludf.dummyfunction("""COMPUTED_VALUE"""),"家具家電なし社宅")</f>
        <v>家具家電なし社宅</v>
      </c>
      <c r="T246" s="6" t="str">
        <f aca="false">IFERROR(__xludf.dummyfunction("""COMPUTED_VALUE"""),"利用しない")</f>
        <v>利用しない</v>
      </c>
      <c r="U246" s="6"/>
      <c r="V246" s="6" t="str">
        <f aca="false">IFERROR(__xludf.dummyfunction("""COMPUTED_VALUE"""),"徒歩, 自転車, 電車")</f>
        <v>徒歩, 自転車, 電車</v>
      </c>
      <c r="W246" s="6"/>
      <c r="X246" s="6" t="str">
        <f aca="false">IFERROR(__xludf.dummyfunction("""COMPUTED_VALUE"""),"実家")</f>
        <v>実家</v>
      </c>
      <c r="Y246" s="6"/>
      <c r="Z246" s="6" t="str">
        <f aca="false">IFERROR(__xludf.dummyfunction("""COMPUTED_VALUE"""),"希望しない")</f>
        <v>希望しない</v>
      </c>
      <c r="AA246" s="6" t="str">
        <f aca="false">IFERROR(__xludf.dummyfunction("""COMPUTED_VALUE"""),"単身")</f>
        <v>単身</v>
      </c>
      <c r="AB246" s="6"/>
      <c r="AC246" s="6"/>
      <c r="AD246" s="6"/>
      <c r="AE246" s="6" t="str">
        <f aca="false">IFERROR(__xludf.dummyfunction("""COMPUTED_VALUE"""),"確認しました。")</f>
        <v>確認しました。</v>
      </c>
      <c r="AF246" s="6" t="str">
        <f aca="false">IFERROR(__xludf.dummyfunction("""COMPUTED_VALUE"""),"社宅基準の内容について確認しました")</f>
        <v>社宅基準の内容について確認しました</v>
      </c>
      <c r="AG246" s="6" t="str">
        <f aca="false">IFERROR(__xludf.dummyfunction("""COMPUTED_VALUE"""),"入居のしおりの内容についてご確認しました")</f>
        <v>入居のしおりの内容についてご確認しました</v>
      </c>
      <c r="AH246" s="6" t="str">
        <f aca="false">IFERROR(__xludf.dummyfunction("""COMPUTED_VALUE"""),"確認しました")</f>
        <v>確認しました</v>
      </c>
      <c r="AI246" s="6"/>
      <c r="AJ246" s="6" t="str">
        <v/>
      </c>
      <c r="AK246" s="6" t="str">
        <v/>
      </c>
      <c r="AL246" s="6" t="str">
        <v/>
      </c>
      <c r="AM246" s="6" t="str">
        <v/>
      </c>
      <c r="AN246" s="6" t="n">
        <f aca="false">TRUE()</f>
        <v>1</v>
      </c>
    </row>
    <row r="247" customFormat="false" ht="52.5" hidden="false" customHeight="true" outlineLevel="0" collapsed="false">
      <c r="A247" s="6" t="str">
        <f aca="false">IFERROR(__xludf.dummyfunction("""COMPUTED_VALUE"""),"2026/03/03 11:21:34")</f>
        <v>2026/03/03 11:21:34</v>
      </c>
      <c r="B247" s="6"/>
      <c r="C247" s="6" t="str">
        <f aca="false">IFERROR(__xludf.dummyfunction("""COMPUTED_VALUE"""),"70747")</f>
        <v>70747</v>
      </c>
      <c r="D247" s="6"/>
      <c r="E247" s="6"/>
      <c r="F247" s="6"/>
      <c r="G247" s="6" t="str">
        <f aca="false">IFERROR(__xludf.dummyfunction("""COMPUTED_VALUE"""),"2026/03/18")</f>
        <v>2026/03/18</v>
      </c>
      <c r="H247" s="6" t="str">
        <f aca="false">IFERROR(__xludf.dummyfunction("""COMPUTED_VALUE"""),"必要")</f>
        <v>必要</v>
      </c>
      <c r="I247" s="6" t="str">
        <f aca="false">IFERROR(__xludf.dummyfunction("""COMPUTED_VALUE"""),"男性")</f>
        <v>男性</v>
      </c>
      <c r="J247" s="6" t="str">
        <f aca="false">IFERROR(__xludf.dummyfunction("""COMPUTED_VALUE"""),"ベトナム")</f>
        <v>ベトナム</v>
      </c>
      <c r="K247" s="6" t="str">
        <f aca="false">IFERROR(__xludf.dummyfunction("""COMPUTED_VALUE"""),"10")</f>
        <v>10</v>
      </c>
      <c r="L247" s="6" t="str">
        <f aca="false">IFERROR(__xludf.dummyfunction("""COMPUTED_VALUE"""),"炊飯器、 電気ファン")</f>
        <v>炊飯器、 電気ファン</v>
      </c>
      <c r="M247" s="6" t="str">
        <f aca="false">IFERROR(__xludf.dummyfunction("""COMPUTED_VALUE"""),"布団があります。")</f>
        <v>布団があります。</v>
      </c>
      <c r="N247" s="6" t="str">
        <f aca="false">IFERROR(__xludf.dummyfunction("""COMPUTED_VALUE"""),"自転車が一台あります。　　　　　　　　　　　　　　　　　　　　　　　　　　　　　　　　　組み立て式で小さくたためるスポーツ用品が二つあります。
")</f>
        <v>自転車が一台あります。　　　　　　　　　　　　　　　　　　　　　　　　　　　　　　　　　組み立て式で小さくたためるスポーツ用品が二つあります。
</v>
      </c>
      <c r="O247" s="6" t="str">
        <f aca="false">IFERROR(__xludf.dummyfunction("""COMPUTED_VALUE"""),"不要")</f>
        <v>不要</v>
      </c>
      <c r="P247" s="6"/>
      <c r="Q247" s="6"/>
      <c r="R247" s="6"/>
      <c r="S247" s="6" t="str">
        <f aca="false">IFERROR(__xludf.dummyfunction("""COMPUTED_VALUE"""),"家具家電付き社宅")</f>
        <v>家具家電付き社宅</v>
      </c>
      <c r="T247" s="6" t="str">
        <f aca="false">IFERROR(__xludf.dummyfunction("""COMPUTED_VALUE"""),"利用しない")</f>
        <v>利用しない</v>
      </c>
      <c r="U247" s="6"/>
      <c r="V247" s="6" t="str">
        <f aca="false">IFERROR(__xludf.dummyfunction("""COMPUTED_VALUE"""),"徒歩, 電車")</f>
        <v>徒歩, 電車</v>
      </c>
      <c r="W247" s="6"/>
      <c r="X247" s="6" t="str">
        <f aca="false">IFERROR(__xludf.dummyfunction("""COMPUTED_VALUE"""),"株式会社ビーネックステクノロジーズの社宅")</f>
        <v>株式会社ビーネックステクノロジーズの社宅</v>
      </c>
      <c r="Y247" s="6" t="str">
        <f aca="false">IFERROR(__xludf.dummyfunction("""COMPUTED_VALUE"""),"利用なし")</f>
        <v>利用なし</v>
      </c>
      <c r="Z247" s="6" t="str">
        <f aca="false">IFERROR(__xludf.dummyfunction("""COMPUTED_VALUE"""),"希望する")</f>
        <v>希望する</v>
      </c>
      <c r="AA247" s="6" t="str">
        <f aca="false">IFERROR(__xludf.dummyfunction("""COMPUTED_VALUE"""),"単身")</f>
        <v>単身</v>
      </c>
      <c r="AB247" s="6"/>
      <c r="AC247" s="6"/>
      <c r="AD247" s="6" t="str">
        <f aca="false">IFERROR(__xludf.dummyfunction("""COMPUTED_VALUE"""),"なし")</f>
        <v>なし</v>
      </c>
      <c r="AE247" s="6" t="str">
        <f aca="false">IFERROR(__xludf.dummyfunction("""COMPUTED_VALUE"""),"確認しました。")</f>
        <v>確認しました。</v>
      </c>
      <c r="AF247" s="6" t="str">
        <f aca="false">IFERROR(__xludf.dummyfunction("""COMPUTED_VALUE"""),"社宅基準の内容について確認しました")</f>
        <v>社宅基準の内容について確認しました</v>
      </c>
      <c r="AG247" s="6" t="str">
        <f aca="false">IFERROR(__xludf.dummyfunction("""COMPUTED_VALUE"""),"入居のしおりの内容についてご確認しました")</f>
        <v>入居のしおりの内容についてご確認しました</v>
      </c>
      <c r="AH247" s="6" t="str">
        <f aca="false">IFERROR(__xludf.dummyfunction("""COMPUTED_VALUE"""),"確認しました")</f>
        <v>確認しました</v>
      </c>
      <c r="AI247" s="6"/>
      <c r="AJ247" s="6" t="str">
        <v/>
      </c>
      <c r="AK247" s="6" t="str">
        <v/>
      </c>
      <c r="AL247" s="6" t="str">
        <v/>
      </c>
      <c r="AM247" s="6" t="str">
        <v/>
      </c>
      <c r="AN247" s="6" t="n">
        <f aca="false">TRUE()</f>
        <v>1</v>
      </c>
    </row>
    <row r="248" customFormat="false" ht="52.5" hidden="false" customHeight="true" outlineLevel="0" collapsed="false">
      <c r="A248" s="6" t="str">
        <f aca="false">IFERROR(__xludf.dummyfunction("""COMPUTED_VALUE"""),"2026/03/03 11:48:28")</f>
        <v>2026/03/03 11:48:28</v>
      </c>
      <c r="B248" s="6"/>
      <c r="C248" s="6" t="str">
        <f aca="false">IFERROR(__xludf.dummyfunction("""COMPUTED_VALUE"""),"70721")</f>
        <v>70721</v>
      </c>
      <c r="D248" s="6"/>
      <c r="E248" s="6"/>
      <c r="F248" s="6"/>
      <c r="G248" s="6" t="str">
        <f aca="false">IFERROR(__xludf.dummyfunction("""COMPUTED_VALUE"""),"2026/03/23")</f>
        <v>2026/03/23</v>
      </c>
      <c r="H248" s="6" t="str">
        <f aca="false">IFERROR(__xludf.dummyfunction("""COMPUTED_VALUE"""),"不要")</f>
        <v>不要</v>
      </c>
      <c r="I248" s="6" t="str">
        <f aca="false">IFERROR(__xludf.dummyfunction("""COMPUTED_VALUE"""),"女性")</f>
        <v>女性</v>
      </c>
      <c r="J248" s="6" t="str">
        <f aca="false">IFERROR(__xludf.dummyfunction("""COMPUTED_VALUE"""),"日本")</f>
        <v>日本</v>
      </c>
      <c r="K248" s="6"/>
      <c r="L248" s="6"/>
      <c r="M248" s="6"/>
      <c r="N248" s="6"/>
      <c r="O248" s="6" t="str">
        <f aca="false">IFERROR(__xludf.dummyfunction("""COMPUTED_VALUE"""),"不要")</f>
        <v>不要</v>
      </c>
      <c r="P248" s="6"/>
      <c r="Q248" s="6"/>
      <c r="R248" s="6"/>
      <c r="S248" s="6" t="str">
        <f aca="false">IFERROR(__xludf.dummyfunction("""COMPUTED_VALUE"""),"家具家電なし社宅")</f>
        <v>家具家電なし社宅</v>
      </c>
      <c r="T248" s="6" t="str">
        <f aca="false">IFERROR(__xludf.dummyfunction("""COMPUTED_VALUE"""),"利用しない")</f>
        <v>利用しない</v>
      </c>
      <c r="U248" s="6"/>
      <c r="V248" s="6" t="str">
        <f aca="false">IFERROR(__xludf.dummyfunction("""COMPUTED_VALUE"""),"徒歩, 電車, 社用バス")</f>
        <v>徒歩, 電車, 社用バス</v>
      </c>
      <c r="W248" s="6"/>
      <c r="X248" s="6" t="str">
        <f aca="false">IFERROR(__xludf.dummyfunction("""COMPUTED_VALUE"""),"実家")</f>
        <v>実家</v>
      </c>
      <c r="Y248" s="6"/>
      <c r="Z248" s="6" t="str">
        <f aca="false">IFERROR(__xludf.dummyfunction("""COMPUTED_VALUE"""),"希望する")</f>
        <v>希望する</v>
      </c>
      <c r="AA248" s="6" t="str">
        <f aca="false">IFERROR(__xludf.dummyfunction("""COMPUTED_VALUE"""),"単身")</f>
        <v>単身</v>
      </c>
      <c r="AB248" s="6"/>
      <c r="AC248" s="6"/>
      <c r="AD248" s="6"/>
      <c r="AE248" s="6" t="str">
        <f aca="false">IFERROR(__xludf.dummyfunction("""COMPUTED_VALUE"""),"確認しました。, ")</f>
        <v>確認しました。, </v>
      </c>
      <c r="AF248" s="6" t="str">
        <f aca="false">IFERROR(__xludf.dummyfunction("""COMPUTED_VALUE"""),"社宅基準の内容について確認しました")</f>
        <v>社宅基準の内容について確認しました</v>
      </c>
      <c r="AG248" s="6" t="str">
        <f aca="false">IFERROR(__xludf.dummyfunction("""COMPUTED_VALUE"""),"入居のしおりの内容についてご確認しました")</f>
        <v>入居のしおりの内容についてご確認しました</v>
      </c>
      <c r="AH248" s="6" t="str">
        <f aca="false">IFERROR(__xludf.dummyfunction("""COMPUTED_VALUE"""),"確認しました")</f>
        <v>確認しました</v>
      </c>
      <c r="AI248" s="6"/>
      <c r="AJ248" s="6" t="str">
        <v/>
      </c>
      <c r="AK248" s="6" t="str">
        <v/>
      </c>
      <c r="AL248" s="6" t="str">
        <v/>
      </c>
      <c r="AM248" s="6" t="str">
        <v/>
      </c>
      <c r="AN248" s="6" t="n">
        <f aca="false">TRUE()</f>
        <v>1</v>
      </c>
    </row>
    <row r="249" customFormat="false" ht="52.5" hidden="false" customHeight="true" outlineLevel="0" collapsed="false">
      <c r="A249" s="6" t="str">
        <f aca="false">IFERROR(__xludf.dummyfunction("""COMPUTED_VALUE"""),"2026/03/03 14:33:53")</f>
        <v>2026/03/03 14:33:53</v>
      </c>
      <c r="B249" s="6"/>
      <c r="C249" s="6" t="str">
        <f aca="false">IFERROR(__xludf.dummyfunction("""COMPUTED_VALUE"""),"70732")</f>
        <v>70732</v>
      </c>
      <c r="D249" s="6"/>
      <c r="E249" s="6"/>
      <c r="F249" s="6"/>
      <c r="G249" s="6" t="str">
        <f aca="false">IFERROR(__xludf.dummyfunction("""COMPUTED_VALUE"""),"2026/03/29")</f>
        <v>2026/03/29</v>
      </c>
      <c r="H249" s="6" t="str">
        <f aca="false">IFERROR(__xludf.dummyfunction("""COMPUTED_VALUE"""),"必要")</f>
        <v>必要</v>
      </c>
      <c r="I249" s="6" t="str">
        <f aca="false">IFERROR(__xludf.dummyfunction("""COMPUTED_VALUE"""),"男性")</f>
        <v>男性</v>
      </c>
      <c r="J249" s="6" t="str">
        <f aca="false">IFERROR(__xludf.dummyfunction("""COMPUTED_VALUE"""),"日本")</f>
        <v>日本</v>
      </c>
      <c r="K249" s="6" t="str">
        <f aca="false">IFERROR(__xludf.dummyfunction("""COMPUTED_VALUE"""),"10")</f>
        <v>10</v>
      </c>
      <c r="L249" s="6" t="str">
        <f aca="false">IFERROR(__xludf.dummyfunction("""COMPUTED_VALUE"""),"なし")</f>
        <v>なし</v>
      </c>
      <c r="M249" s="6" t="str">
        <f aca="false">IFERROR(__xludf.dummyfunction("""COMPUTED_VALUE"""),"なし")</f>
        <v>なし</v>
      </c>
      <c r="N249" s="6" t="str">
        <f aca="false">IFERROR(__xludf.dummyfunction("""COMPUTED_VALUE"""),"なし")</f>
        <v>なし</v>
      </c>
      <c r="O249" s="6" t="str">
        <f aca="false">IFERROR(__xludf.dummyfunction("""COMPUTED_VALUE"""),"不要")</f>
        <v>不要</v>
      </c>
      <c r="P249" s="6"/>
      <c r="Q249" s="6"/>
      <c r="R249" s="6"/>
      <c r="S249" s="6" t="str">
        <f aca="false">IFERROR(__xludf.dummyfunction("""COMPUTED_VALUE"""),"家具家電なし社宅")</f>
        <v>家具家電なし社宅</v>
      </c>
      <c r="T249" s="6" t="str">
        <f aca="false">IFERROR(__xludf.dummyfunction("""COMPUTED_VALUE"""),"利用しない")</f>
        <v>利用しない</v>
      </c>
      <c r="U249" s="6"/>
      <c r="V249" s="6" t="str">
        <f aca="false">IFERROR(__xludf.dummyfunction("""COMPUTED_VALUE"""),"徒歩, 電車")</f>
        <v>徒歩, 電車</v>
      </c>
      <c r="W249" s="6"/>
      <c r="X249" s="6" t="str">
        <f aca="false">IFERROR(__xludf.dummyfunction("""COMPUTED_VALUE"""),"実家")</f>
        <v>実家</v>
      </c>
      <c r="Y249" s="6"/>
      <c r="Z249" s="6" t="str">
        <f aca="false">IFERROR(__xludf.dummyfunction("""COMPUTED_VALUE"""),"希望しない")</f>
        <v>希望しない</v>
      </c>
      <c r="AA249" s="6" t="str">
        <f aca="false">IFERROR(__xludf.dummyfunction("""COMPUTED_VALUE"""),"単身")</f>
        <v>単身</v>
      </c>
      <c r="AB249" s="6"/>
      <c r="AC249" s="6"/>
      <c r="AD249" s="6"/>
      <c r="AE249" s="6" t="str">
        <f aca="false">IFERROR(__xludf.dummyfunction("""COMPUTED_VALUE"""),"確認しました。")</f>
        <v>確認しました。</v>
      </c>
      <c r="AF249" s="6" t="str">
        <f aca="false">IFERROR(__xludf.dummyfunction("""COMPUTED_VALUE"""),"社宅基準の内容について確認しました")</f>
        <v>社宅基準の内容について確認しました</v>
      </c>
      <c r="AG249" s="6" t="str">
        <f aca="false">IFERROR(__xludf.dummyfunction("""COMPUTED_VALUE"""),"入居のしおりの内容についてご確認しました")</f>
        <v>入居のしおりの内容についてご確認しました</v>
      </c>
      <c r="AH249" s="6" t="str">
        <f aca="false">IFERROR(__xludf.dummyfunction("""COMPUTED_VALUE"""),"確認しました")</f>
        <v>確認しました</v>
      </c>
      <c r="AI249" s="6"/>
      <c r="AJ249" s="6" t="str">
        <v/>
      </c>
      <c r="AK249" s="6" t="str">
        <v/>
      </c>
      <c r="AL249" s="6" t="str">
        <v/>
      </c>
      <c r="AM249" s="6" t="str">
        <v/>
      </c>
      <c r="AN249" s="6" t="n">
        <f aca="false">FALSE()</f>
        <v>0</v>
      </c>
    </row>
    <row r="250" customFormat="false" ht="52.5" hidden="false" customHeight="true" outlineLevel="0" collapsed="false">
      <c r="A250" s="6" t="str">
        <f aca="false">IFERROR(__xludf.dummyfunction("""COMPUTED_VALUE"""),"2026/03/03 15:59:30")</f>
        <v>2026/03/03 15:59:30</v>
      </c>
      <c r="B250" s="6"/>
      <c r="C250" s="6" t="str">
        <f aca="false">IFERROR(__xludf.dummyfunction("""COMPUTED_VALUE"""),"70728")</f>
        <v>70728</v>
      </c>
      <c r="D250" s="6"/>
      <c r="E250" s="6"/>
      <c r="F250" s="6"/>
      <c r="G250" s="6" t="str">
        <f aca="false">IFERROR(__xludf.dummyfunction("""COMPUTED_VALUE"""),"2026/03/28")</f>
        <v>2026/03/28</v>
      </c>
      <c r="H250" s="6" t="str">
        <f aca="false">IFERROR(__xludf.dummyfunction("""COMPUTED_VALUE"""),"必要")</f>
        <v>必要</v>
      </c>
      <c r="I250" s="6" t="str">
        <f aca="false">IFERROR(__xludf.dummyfunction("""COMPUTED_VALUE"""),"男性")</f>
        <v>男性</v>
      </c>
      <c r="J250" s="6" t="str">
        <f aca="false">IFERROR(__xludf.dummyfunction("""COMPUTED_VALUE"""),"ベトナム")</f>
        <v>ベトナム</v>
      </c>
      <c r="K250" s="6" t="str">
        <f aca="false">IFERROR(__xludf.dummyfunction("""COMPUTED_VALUE"""),"30")</f>
        <v>30</v>
      </c>
      <c r="L250" s="6" t="str">
        <f aca="false">IFERROR(__xludf.dummyfunction("""COMPUTED_VALUE"""),"冷蔵庫1 台
洗濯機 2 台
炊飯機 1台
電気ケトル 1台
電子レンジ 1 台
IH ヒ-タ- 2台
パソコン用画面1台")</f>
        <v>冷蔵庫1 台
洗濯機 2 台
炊飯機 1台
電気ケトル 1台
電子レンジ 1 台
IH ヒ-タ- 2台
パソコン用画面1台</v>
      </c>
      <c r="M250" s="6" t="str">
        <f aca="false">IFERROR(__xludf.dummyfunction("""COMPUTED_VALUE"""),"ソフィア 4コセット
机 3コ
ダイニングセット 1セット
​硬めのマットレス 2コ
高密度連続スプリング 1コ
")</f>
        <v>ソフィア 4コセット
机 3コ
ダイニングセット 1セット
​硬めのマットレス 2コ
高密度連続スプリング 1コ
</v>
      </c>
      <c r="N250" s="6" t="str">
        <f aca="false">IFERROR(__xludf.dummyfunction("""COMPUTED_VALUE"""),"大人自転車1 台
子供の自転車 2 台
ベビーカ 2台")</f>
        <v>大人自転車1 台
子供の自転車 2 台
ベビーカ 2台</v>
      </c>
      <c r="O250" s="6" t="str">
        <f aca="false">IFERROR(__xludf.dummyfunction("""COMPUTED_VALUE"""),"必要")</f>
        <v>必要</v>
      </c>
      <c r="P250" s="6" t="str">
        <f aca="false">IFERROR(__xludf.dummyfunction("""COMPUTED_VALUE"""),"日産serenaepower")</f>
        <v>日産serenaepower</v>
      </c>
      <c r="Q250" s="6" t="str">
        <f aca="false">IFERROR(__xludf.dummyfunction("""COMPUTED_VALUE"""),"て26-81")</f>
        <v>て26-81</v>
      </c>
      <c r="R250" s="6" t="str">
        <f aca="false">IFERROR(__xludf.dummyfunction("""COMPUTED_VALUE"""),"白い")</f>
        <v>白い</v>
      </c>
      <c r="S250" s="6" t="str">
        <f aca="false">IFERROR(__xludf.dummyfunction("""COMPUTED_VALUE"""),"家具家電なし社宅")</f>
        <v>家具家電なし社宅</v>
      </c>
      <c r="T250" s="6" t="str">
        <f aca="false">IFERROR(__xludf.dummyfunction("""COMPUTED_VALUE"""),"利用しない")</f>
        <v>利用しない</v>
      </c>
      <c r="U250" s="6"/>
      <c r="V250" s="6" t="str">
        <f aca="false">IFERROR(__xludf.dummyfunction("""COMPUTED_VALUE"""),"自動車, 電車, バス")</f>
        <v>自動車, 電車, バス</v>
      </c>
      <c r="W250" s="6"/>
      <c r="X250" s="6" t="str">
        <f aca="false">IFERROR(__xludf.dummyfunction("""COMPUTED_VALUE"""),"株式会社ビーネックステクノロジーズの社宅")</f>
        <v>株式会社ビーネックステクノロジーズの社宅</v>
      </c>
      <c r="Y250" s="6" t="str">
        <f aca="false">IFERROR(__xludf.dummyfunction("""COMPUTED_VALUE"""),"利用なし")</f>
        <v>利用なし</v>
      </c>
      <c r="Z250" s="6" t="str">
        <f aca="false">IFERROR(__xludf.dummyfunction("""COMPUTED_VALUE"""),"希望しない")</f>
        <v>希望しない</v>
      </c>
      <c r="AA250" s="6" t="str">
        <f aca="false">IFERROR(__xludf.dummyfunction("""COMPUTED_VALUE"""),"家族")</f>
        <v>家族</v>
      </c>
      <c r="AB250" s="6" t="str">
        <f aca="false">IFERROR(__xludf.dummyfunction("""COMPUTED_VALUE"""),"氏名：Nguyen kien Trung
フリガナ：グエン キエン チュン
生年月日：1984/02/14
携帯番号：08038292681
続柄：世帯主
氏名：Nguyen Thi Huyen
フリガナ：グエン テイ フエン
生年月日：1991/10/17
携帯番号：08038092681 
続柄：妻
氏名：Nguyen Thien Chan
フリガナ：グエン テイエン チヤン
生年月日：2015/06/22
携帯番号：無し
続柄：子
氏名：Nguyen Quy Chan
フリガナ：グエン クイ "&amp;"チヤン
生年月日：2016/08/13
携帯番号：無し
続柄：子
氏名：Nguyen Thanh Tam
フリガナ：グエン タン ヤム
生年月日：2022/01/11
携帯番号：無し
続柄：子
氏名：Nguyen Thien Minh
フリガナ：グエン テイエン ミン
生年月日：2024/01/05
携帯番号：無し
続柄：子")</f>
        <v>氏名：Nguyen kien Trung
フリガナ：グエン キエン チュン
生年月日：1984/02/14
携帯番号：08038292681
続柄：世帯主
氏名：Nguyen Thi Huyen
フリガナ：グエン テイ フエン
生年月日：1991/10/17
携帯番号：08038092681 
続柄：妻
氏名：Nguyen Thien Chan
フリガナ：グエン テイエン チヤン
生年月日：2015/06/22
携帯番号：無し
続柄：子
氏名：Nguyen Quy Chan
フリガナ：グエン クイ チヤン
生年月日：2016/08/13
携帯番号：無し
続柄：子
氏名：Nguyen Thanh Tam
フリガナ：グエン タン ヤム
生年月日：2022/01/11
携帯番号：無し
続柄：子
氏名：Nguyen Thien Minh
フリガナ：グエン テイエン ミン
生年月日：2024/01/05
携帯番号：無し
続柄：子</v>
      </c>
      <c r="AC250" s="6"/>
      <c r="AD250" s="6" t="str">
        <f aca="false">IFERROR(__xludf.dummyfunction("""COMPUTED_VALUE"""),"幼稚園、小学校, 中学校、から2km 以内にある家をお願いします")</f>
        <v>幼稚園、小学校, 中学校、から2km 以内にある家をお願いします</v>
      </c>
      <c r="AE250" s="6" t="str">
        <f aca="false">IFERROR(__xludf.dummyfunction("""COMPUTED_VALUE"""),"確認しました。")</f>
        <v>確認しました。</v>
      </c>
      <c r="AF250" s="6" t="str">
        <f aca="false">IFERROR(__xludf.dummyfunction("""COMPUTED_VALUE"""),"社宅基準の内容について確認しました")</f>
        <v>社宅基準の内容について確認しました</v>
      </c>
      <c r="AG250" s="6" t="str">
        <f aca="false">IFERROR(__xludf.dummyfunction("""COMPUTED_VALUE"""),"入居のしおりの内容についてご確認しました")</f>
        <v>入居のしおりの内容についてご確認しました</v>
      </c>
      <c r="AH250" s="6" t="str">
        <f aca="false">IFERROR(__xludf.dummyfunction("""COMPUTED_VALUE"""),"確認しました")</f>
        <v>確認しました</v>
      </c>
      <c r="AI250" s="6"/>
      <c r="AJ250" s="6" t="str">
        <v/>
      </c>
      <c r="AK250" s="6" t="str">
        <v/>
      </c>
      <c r="AL250" s="6" t="str">
        <v/>
      </c>
      <c r="AM250" s="6" t="str">
        <v/>
      </c>
      <c r="AN250" s="6" t="n">
        <f aca="false">FALSE()</f>
        <v>0</v>
      </c>
    </row>
    <row r="251" customFormat="false" ht="52.5" hidden="false" customHeight="true" outlineLevel="0" collapsed="false">
      <c r="A251" s="6" t="str">
        <f aca="false">IFERROR(__xludf.dummyfunction("""COMPUTED_VALUE"""),"2026/03/03 16:27:49")</f>
        <v>2026/03/03 16:27:49</v>
      </c>
      <c r="B251" s="6"/>
      <c r="C251" s="6" t="str">
        <f aca="false">IFERROR(__xludf.dummyfunction("""COMPUTED_VALUE"""),"70152")</f>
        <v>70152</v>
      </c>
      <c r="D251" s="6"/>
      <c r="E251" s="6"/>
      <c r="F251" s="6"/>
      <c r="G251" s="6" t="str">
        <f aca="false">IFERROR(__xludf.dummyfunction("""COMPUTED_VALUE"""),"2026/03/30")</f>
        <v>2026/03/30</v>
      </c>
      <c r="H251" s="6" t="str">
        <f aca="false">IFERROR(__xludf.dummyfunction("""COMPUTED_VALUE"""),"必要")</f>
        <v>必要</v>
      </c>
      <c r="I251" s="6" t="str">
        <f aca="false">IFERROR(__xludf.dummyfunction("""COMPUTED_VALUE"""),"男性")</f>
        <v>男性</v>
      </c>
      <c r="J251" s="6" t="str">
        <f aca="false">IFERROR(__xludf.dummyfunction("""COMPUTED_VALUE"""),"日本")</f>
        <v>日本</v>
      </c>
      <c r="K251" s="6" t="str">
        <f aca="false">IFERROR(__xludf.dummyfunction("""COMPUTED_VALUE"""),"10")</f>
        <v>10</v>
      </c>
      <c r="L251" s="6" t="str">
        <f aca="false">IFERROR(__xludf.dummyfunction("""COMPUTED_VALUE"""),"モニター")</f>
        <v>モニター</v>
      </c>
      <c r="M251" s="6" t="str">
        <f aca="false">IFERROR(__xludf.dummyfunction("""COMPUTED_VALUE"""),"デスクトップpc")</f>
        <v>デスクトップpc</v>
      </c>
      <c r="N251" s="6" t="str">
        <f aca="false">IFERROR(__xludf.dummyfunction("""COMPUTED_VALUE"""),"自転車")</f>
        <v>自転車</v>
      </c>
      <c r="O251" s="6" t="str">
        <f aca="false">IFERROR(__xludf.dummyfunction("""COMPUTED_VALUE"""),"不要")</f>
        <v>不要</v>
      </c>
      <c r="P251" s="6"/>
      <c r="Q251" s="6"/>
      <c r="R251" s="6"/>
      <c r="S251" s="6" t="str">
        <f aca="false">IFERROR(__xludf.dummyfunction("""COMPUTED_VALUE"""),"家具家電付き社宅")</f>
        <v>家具家電付き社宅</v>
      </c>
      <c r="T251" s="6" t="str">
        <f aca="false">IFERROR(__xludf.dummyfunction("""COMPUTED_VALUE"""),"利用しない")</f>
        <v>利用しない</v>
      </c>
      <c r="U251" s="6"/>
      <c r="V251" s="6" t="str">
        <f aca="false">IFERROR(__xludf.dummyfunction("""COMPUTED_VALUE"""),"自転車, 電車, バス")</f>
        <v>自転車, 電車, バス</v>
      </c>
      <c r="W251" s="6"/>
      <c r="X251" s="6" t="str">
        <f aca="false">IFERROR(__xludf.dummyfunction("""COMPUTED_VALUE"""),"実家")</f>
        <v>実家</v>
      </c>
      <c r="Y251" s="6"/>
      <c r="Z251" s="6" t="str">
        <f aca="false">IFERROR(__xludf.dummyfunction("""COMPUTED_VALUE"""),"希望する")</f>
        <v>希望する</v>
      </c>
      <c r="AA251" s="6" t="str">
        <f aca="false">IFERROR(__xludf.dummyfunction("""COMPUTED_VALUE"""),"単身")</f>
        <v>単身</v>
      </c>
      <c r="AB251" s="6"/>
      <c r="AC251" s="6"/>
      <c r="AD251" s="6"/>
      <c r="AE251" s="6" t="str">
        <f aca="false">IFERROR(__xludf.dummyfunction("""COMPUTED_VALUE"""),"確認しました。")</f>
        <v>確認しました。</v>
      </c>
      <c r="AF251" s="6" t="str">
        <f aca="false">IFERROR(__xludf.dummyfunction("""COMPUTED_VALUE"""),"社宅基準の内容について確認しました")</f>
        <v>社宅基準の内容について確認しました</v>
      </c>
      <c r="AG251" s="6" t="str">
        <f aca="false">IFERROR(__xludf.dummyfunction("""COMPUTED_VALUE"""),"入居のしおりの内容についてご確認しました")</f>
        <v>入居のしおりの内容についてご確認しました</v>
      </c>
      <c r="AH251" s="6" t="str">
        <f aca="false">IFERROR(__xludf.dummyfunction("""COMPUTED_VALUE"""),"確認しました")</f>
        <v>確認しました</v>
      </c>
      <c r="AI251" s="6"/>
      <c r="AJ251" s="6" t="str">
        <v/>
      </c>
      <c r="AK251" s="6" t="str">
        <v/>
      </c>
      <c r="AL251" s="6" t="str">
        <v/>
      </c>
      <c r="AM251" s="6" t="str">
        <v/>
      </c>
      <c r="AN251" s="6" t="n">
        <f aca="false">FALSE()</f>
        <v>0</v>
      </c>
    </row>
    <row r="252" customFormat="false" ht="52.5" hidden="false" customHeight="true" outlineLevel="0" collapsed="false">
      <c r="A252" s="6" t="str">
        <f aca="false">IFERROR(__xludf.dummyfunction("""COMPUTED_VALUE"""),"2026/03/03 19:33:07")</f>
        <v>2026/03/03 19:33:07</v>
      </c>
      <c r="B252" s="6"/>
      <c r="C252" s="6" t="str">
        <f aca="false">IFERROR(__xludf.dummyfunction("""COMPUTED_VALUE"""),"70751")</f>
        <v>70751</v>
      </c>
      <c r="D252" s="6"/>
      <c r="E252" s="6"/>
      <c r="F252" s="6"/>
      <c r="G252" s="6" t="str">
        <f aca="false">IFERROR(__xludf.dummyfunction("""COMPUTED_VALUE"""),"2026/03/23")</f>
        <v>2026/03/23</v>
      </c>
      <c r="H252" s="6" t="str">
        <f aca="false">IFERROR(__xludf.dummyfunction("""COMPUTED_VALUE"""),"必要")</f>
        <v>必要</v>
      </c>
      <c r="I252" s="6" t="str">
        <f aca="false">IFERROR(__xludf.dummyfunction("""COMPUTED_VALUE"""),"男性")</f>
        <v>男性</v>
      </c>
      <c r="J252" s="6" t="str">
        <f aca="false">IFERROR(__xludf.dummyfunction("""COMPUTED_VALUE"""),"日本")</f>
        <v>日本</v>
      </c>
      <c r="K252" s="6" t="str">
        <f aca="false">IFERROR(__xludf.dummyfunction("""COMPUTED_VALUE"""),"7")</f>
        <v>7</v>
      </c>
      <c r="L252" s="6" t="str">
        <f aca="false">IFERROR(__xludf.dummyfunction("""COMPUTED_VALUE"""),"炊飯器、トースター、モニター")</f>
        <v>炊飯器、トースター、モニター</v>
      </c>
      <c r="M252" s="6" t="str">
        <f aca="false">IFERROR(__xludf.dummyfunction("""COMPUTED_VALUE"""),"1人用こたつ")</f>
        <v>1人用こたつ</v>
      </c>
      <c r="N252" s="6"/>
      <c r="O252" s="6" t="str">
        <f aca="false">IFERROR(__xludf.dummyfunction("""COMPUTED_VALUE"""),"不要")</f>
        <v>不要</v>
      </c>
      <c r="P252" s="6"/>
      <c r="Q252" s="6"/>
      <c r="R252" s="6"/>
      <c r="S252" s="6" t="str">
        <f aca="false">IFERROR(__xludf.dummyfunction("""COMPUTED_VALUE"""),"家具家電付き社宅")</f>
        <v>家具家電付き社宅</v>
      </c>
      <c r="T252" s="6" t="str">
        <f aca="false">IFERROR(__xludf.dummyfunction("""COMPUTED_VALUE"""),"利用しない")</f>
        <v>利用しない</v>
      </c>
      <c r="U252" s="6"/>
      <c r="V252" s="6" t="str">
        <f aca="false">IFERROR(__xludf.dummyfunction("""COMPUTED_VALUE"""),"徒歩, 電車")</f>
        <v>徒歩, 電車</v>
      </c>
      <c r="W252" s="6"/>
      <c r="X252" s="6" t="str">
        <f aca="false">IFERROR(__xludf.dummyfunction("""COMPUTED_VALUE"""),"実家")</f>
        <v>実家</v>
      </c>
      <c r="Y252" s="6"/>
      <c r="Z252" s="6" t="str">
        <f aca="false">IFERROR(__xludf.dummyfunction("""COMPUTED_VALUE"""),"希望する")</f>
        <v>希望する</v>
      </c>
      <c r="AA252" s="6" t="str">
        <f aca="false">IFERROR(__xludf.dummyfunction("""COMPUTED_VALUE"""),"単身")</f>
        <v>単身</v>
      </c>
      <c r="AB252" s="6"/>
      <c r="AC252" s="6"/>
      <c r="AD252" s="6" t="str">
        <f aca="false">IFERROR(__xludf.dummyfunction("""COMPUTED_VALUE"""),"風呂トイレ別の物件がいいです。")</f>
        <v>風呂トイレ別の物件がいいです。</v>
      </c>
      <c r="AE252" s="6" t="str">
        <f aca="false">IFERROR(__xludf.dummyfunction("""COMPUTED_VALUE"""),"確認しました。")</f>
        <v>確認しました。</v>
      </c>
      <c r="AF252" s="6" t="str">
        <f aca="false">IFERROR(__xludf.dummyfunction("""COMPUTED_VALUE"""),"社宅基準の内容について確認しました")</f>
        <v>社宅基準の内容について確認しました</v>
      </c>
      <c r="AG252" s="6" t="str">
        <f aca="false">IFERROR(__xludf.dummyfunction("""COMPUTED_VALUE"""),"入居のしおりの内容についてご確認しました")</f>
        <v>入居のしおりの内容についてご確認しました</v>
      </c>
      <c r="AH252" s="6" t="str">
        <f aca="false">IFERROR(__xludf.dummyfunction("""COMPUTED_VALUE"""),"確認しました")</f>
        <v>確認しました</v>
      </c>
      <c r="AI252" s="6"/>
      <c r="AJ252" s="6" t="str">
        <v/>
      </c>
      <c r="AK252" s="6" t="str">
        <v/>
      </c>
      <c r="AL252" s="6" t="str">
        <v/>
      </c>
      <c r="AM252" s="6" t="str">
        <v/>
      </c>
      <c r="AN252" s="6" t="n">
        <f aca="false">TRUE()</f>
        <v>1</v>
      </c>
    </row>
    <row r="253" customFormat="false" ht="52.5" hidden="false" customHeight="true" outlineLevel="0" collapsed="false">
      <c r="A253" s="6" t="str">
        <f aca="false">IFERROR(__xludf.dummyfunction("""COMPUTED_VALUE"""),"2026/03/03 20:00:55")</f>
        <v>2026/03/03 20:00:55</v>
      </c>
      <c r="B253" s="6"/>
      <c r="C253" s="6" t="str">
        <f aca="false">IFERROR(__xludf.dummyfunction("""COMPUTED_VALUE"""),"70736")</f>
        <v>70736</v>
      </c>
      <c r="D253" s="6"/>
      <c r="E253" s="6"/>
      <c r="F253" s="6"/>
      <c r="G253" s="6" t="str">
        <f aca="false">IFERROR(__xludf.dummyfunction("""COMPUTED_VALUE"""),"2026/03/21")</f>
        <v>2026/03/21</v>
      </c>
      <c r="H253" s="6" t="str">
        <f aca="false">IFERROR(__xludf.dummyfunction("""COMPUTED_VALUE"""),"必要")</f>
        <v>必要</v>
      </c>
      <c r="I253" s="6" t="str">
        <f aca="false">IFERROR(__xludf.dummyfunction("""COMPUTED_VALUE"""),"男性")</f>
        <v>男性</v>
      </c>
      <c r="J253" s="6" t="str">
        <f aca="false">IFERROR(__xludf.dummyfunction("""COMPUTED_VALUE"""),"日本")</f>
        <v>日本</v>
      </c>
      <c r="K253" s="6" t="str">
        <f aca="false">IFERROR(__xludf.dummyfunction("""COMPUTED_VALUE"""),"10")</f>
        <v>10</v>
      </c>
      <c r="L253" s="6" t="str">
        <f aca="false">IFERROR(__xludf.dummyfunction("""COMPUTED_VALUE"""),"PC、テレビ、モニター(2台)、電子レンジ、炊飯器、扇風機、")</f>
        <v>PC、テレビ、モニター(2台)、電子レンジ、炊飯器、扇風機、</v>
      </c>
      <c r="M253" s="6" t="str">
        <f aca="false">IFERROR(__xludf.dummyfunction("""COMPUTED_VALUE"""),"本棚(横幅82・奥行30・高さ86)、
テレビ台(横幅82・奥行36・高さ42)、
チェスト(横幅55・奥行42・高さ65)、
カーペット、PCデスク、ゲーミングチェア、
布団、")</f>
        <v>本棚(横幅82・奥行30・高さ86)、
テレビ台(横幅82・奥行36・高さ42)、
チェスト(横幅55・奥行42・高さ65)、
カーペット、PCデスク、ゲーミングチェア、
布団、</v>
      </c>
      <c r="N253" s="6" t="str">
        <f aca="false">IFERROR(__xludf.dummyfunction("""COMPUTED_VALUE"""),"自転車、")</f>
        <v>自転車、</v>
      </c>
      <c r="O253" s="6" t="str">
        <f aca="false">IFERROR(__xludf.dummyfunction("""COMPUTED_VALUE"""),"不要")</f>
        <v>不要</v>
      </c>
      <c r="P253" s="6"/>
      <c r="Q253" s="6"/>
      <c r="R253" s="6"/>
      <c r="S253" s="6" t="str">
        <f aca="false">IFERROR(__xludf.dummyfunction("""COMPUTED_VALUE"""),"家具家電なし社宅")</f>
        <v>家具家電なし社宅</v>
      </c>
      <c r="T253" s="6" t="str">
        <f aca="false">IFERROR(__xludf.dummyfunction("""COMPUTED_VALUE"""),"利用する")</f>
        <v>利用する</v>
      </c>
      <c r="U253" s="6" t="str">
        <f aca="false">IFERROR(__xludf.dummyfunction("""COMPUTED_VALUE"""),"全自動洗濯機、冷凍冷蔵庫(2ドア・80L)")</f>
        <v>全自動洗濯機、冷凍冷蔵庫(2ドア・80L)</v>
      </c>
      <c r="V253" s="6" t="str">
        <f aca="false">IFERROR(__xludf.dummyfunction("""COMPUTED_VALUE"""),"徒歩, 自転車, 電車, 電車の場合:駅近く(徒歩10分程度)、スーパーに近い所")</f>
        <v>徒歩, 自転車, 電車, 電車の場合:駅近く(徒歩10分程度)、スーパーに近い所</v>
      </c>
      <c r="W253" s="6"/>
      <c r="X253" s="6" t="str">
        <f aca="false">IFERROR(__xludf.dummyfunction("""COMPUTED_VALUE"""),"実家")</f>
        <v>実家</v>
      </c>
      <c r="Y253" s="6"/>
      <c r="Z253" s="6" t="str">
        <f aca="false">IFERROR(__xludf.dummyfunction("""COMPUTED_VALUE"""),"希望する")</f>
        <v>希望する</v>
      </c>
      <c r="AA253" s="6" t="str">
        <f aca="false">IFERROR(__xludf.dummyfunction("""COMPUTED_VALUE"""),"単身")</f>
        <v>単身</v>
      </c>
      <c r="AB253" s="6"/>
      <c r="AC253" s="6"/>
      <c r="AD253" s="6" t="str">
        <f aca="false">IFERROR(__xludf.dummyfunction("""COMPUTED_VALUE"""),"・物件探しですが、家具家電無し社宅を希望しましたが念の為、家具家電付き社宅の両方探してください。
・防音性に優れてる
・個人でインターネット接続可能")</f>
        <v>・物件探しですが、家具家電無し社宅を希望しましたが念の為、家具家電付き社宅の両方探してください。
・防音性に優れてる
・個人でインターネット接続可能</v>
      </c>
      <c r="AE253" s="6" t="str">
        <f aca="false">IFERROR(__xludf.dummyfunction("""COMPUTED_VALUE"""),"確認しました。")</f>
        <v>確認しました。</v>
      </c>
      <c r="AF253" s="6" t="str">
        <f aca="false">IFERROR(__xludf.dummyfunction("""COMPUTED_VALUE"""),"社宅基準の内容について確認しました")</f>
        <v>社宅基準の内容について確認しました</v>
      </c>
      <c r="AG253" s="6" t="str">
        <f aca="false">IFERROR(__xludf.dummyfunction("""COMPUTED_VALUE"""),"入居のしおりの内容についてご確認しました")</f>
        <v>入居のしおりの内容についてご確認しました</v>
      </c>
      <c r="AH253" s="6" t="str">
        <f aca="false">IFERROR(__xludf.dummyfunction("""COMPUTED_VALUE"""),"確認しました")</f>
        <v>確認しました</v>
      </c>
      <c r="AI253" s="6"/>
      <c r="AJ253" s="6" t="str">
        <v/>
      </c>
      <c r="AK253" s="6" t="str">
        <v/>
      </c>
      <c r="AL253" s="6" t="str">
        <v/>
      </c>
      <c r="AM253" s="6" t="str">
        <v/>
      </c>
      <c r="AN253" s="6" t="n">
        <f aca="false">TRUE()</f>
        <v>1</v>
      </c>
    </row>
    <row r="254" customFormat="false" ht="52.5" hidden="false" customHeight="true" outlineLevel="0" collapsed="false">
      <c r="A254" s="6" t="str">
        <f aca="false">IFERROR(__xludf.dummyfunction("""COMPUTED_VALUE"""),"2026/03/03 20:44:42")</f>
        <v>2026/03/03 20:44:42</v>
      </c>
      <c r="B254" s="6"/>
      <c r="C254" s="6" t="str">
        <f aca="false">IFERROR(__xludf.dummyfunction("""COMPUTED_VALUE"""),"70773")</f>
        <v>70773</v>
      </c>
      <c r="D254" s="6"/>
      <c r="E254" s="6"/>
      <c r="F254" s="6"/>
      <c r="G254" s="6" t="str">
        <f aca="false">IFERROR(__xludf.dummyfunction("""COMPUTED_VALUE"""),"2026/03/30")</f>
        <v>2026/03/30</v>
      </c>
      <c r="H254" s="6" t="str">
        <f aca="false">IFERROR(__xludf.dummyfunction("""COMPUTED_VALUE"""),"必要")</f>
        <v>必要</v>
      </c>
      <c r="I254" s="6" t="str">
        <f aca="false">IFERROR(__xludf.dummyfunction("""COMPUTED_VALUE"""),"男性")</f>
        <v>男性</v>
      </c>
      <c r="J254" s="6" t="str">
        <f aca="false">IFERROR(__xludf.dummyfunction("""COMPUTED_VALUE"""),"日本")</f>
        <v>日本</v>
      </c>
      <c r="K254" s="6" t="str">
        <f aca="false">IFERROR(__xludf.dummyfunction("""COMPUTED_VALUE"""),"3")</f>
        <v>3</v>
      </c>
      <c r="L254" s="6" t="str">
        <f aca="false">IFERROR(__xludf.dummyfunction("""COMPUTED_VALUE"""),"PCモニター（30インチ）
デスクトップPC（47×25×50）
掃除機（スティック型）")</f>
        <v>PCモニター（30インチ）
デスクトップPC（47×25×50）
掃除機（スティック型）</v>
      </c>
      <c r="M254" s="6" t="str">
        <f aca="false">IFERROR(__xludf.dummyfunction("""COMPUTED_VALUE"""),"棚（80×30×15）※解体時")</f>
        <v>棚（80×30×15）※解体時</v>
      </c>
      <c r="N254" s="6" t="str">
        <f aca="false">IFERROR(__xludf.dummyfunction("""COMPUTED_VALUE"""),"自転車（26インチ）")</f>
        <v>自転車（26インチ）</v>
      </c>
      <c r="O254" s="6" t="str">
        <f aca="false">IFERROR(__xludf.dummyfunction("""COMPUTED_VALUE"""),"不要")</f>
        <v>不要</v>
      </c>
      <c r="P254" s="6"/>
      <c r="Q254" s="6"/>
      <c r="R254" s="6"/>
      <c r="S254" s="6" t="str">
        <f aca="false">IFERROR(__xludf.dummyfunction("""COMPUTED_VALUE"""),"家具家電なし社宅")</f>
        <v>家具家電なし社宅</v>
      </c>
      <c r="T254" s="6" t="str">
        <f aca="false">IFERROR(__xludf.dummyfunction("""COMPUTED_VALUE"""),"利用しない")</f>
        <v>利用しない</v>
      </c>
      <c r="U254" s="6"/>
      <c r="V254" s="6" t="str">
        <f aca="false">IFERROR(__xludf.dummyfunction("""COMPUTED_VALUE"""),"徒歩, 自転車")</f>
        <v>徒歩, 自転車</v>
      </c>
      <c r="W254" s="6"/>
      <c r="X254" s="6" t="str">
        <f aca="false">IFERROR(__xludf.dummyfunction("""COMPUTED_VALUE"""),"実家")</f>
        <v>実家</v>
      </c>
      <c r="Y254" s="6"/>
      <c r="Z254" s="6" t="str">
        <f aca="false">IFERROR(__xludf.dummyfunction("""COMPUTED_VALUE"""),"希望する")</f>
        <v>希望する</v>
      </c>
      <c r="AA254" s="6" t="str">
        <f aca="false">IFERROR(__xludf.dummyfunction("""COMPUTED_VALUE"""),"単身")</f>
        <v>単身</v>
      </c>
      <c r="AB254" s="6"/>
      <c r="AC254" s="6"/>
      <c r="AD254" s="6"/>
      <c r="AE254" s="6" t="str">
        <f aca="false">IFERROR(__xludf.dummyfunction("""COMPUTED_VALUE"""),"確認しました。")</f>
        <v>確認しました。</v>
      </c>
      <c r="AF254" s="6" t="str">
        <f aca="false">IFERROR(__xludf.dummyfunction("""COMPUTED_VALUE"""),"社宅基準の内容について確認しました")</f>
        <v>社宅基準の内容について確認しました</v>
      </c>
      <c r="AG254" s="6" t="str">
        <f aca="false">IFERROR(__xludf.dummyfunction("""COMPUTED_VALUE"""),"入居のしおりの内容についてご確認しました")</f>
        <v>入居のしおりの内容についてご確認しました</v>
      </c>
      <c r="AH254" s="6" t="str">
        <f aca="false">IFERROR(__xludf.dummyfunction("""COMPUTED_VALUE"""),"確認しました")</f>
        <v>確認しました</v>
      </c>
      <c r="AI254" s="6"/>
      <c r="AJ254" s="6" t="str">
        <v/>
      </c>
      <c r="AK254" s="6" t="str">
        <v/>
      </c>
      <c r="AL254" s="6" t="str">
        <v/>
      </c>
      <c r="AM254" s="6" t="str">
        <v/>
      </c>
      <c r="AN254" s="6" t="n">
        <f aca="false">TRUE()</f>
        <v>1</v>
      </c>
    </row>
    <row r="255" customFormat="false" ht="52.5" hidden="false" customHeight="true" outlineLevel="0" collapsed="false">
      <c r="A255" s="6" t="str">
        <f aca="false">IFERROR(__xludf.dummyfunction("""COMPUTED_VALUE"""),"2026/03/03 21:55:34")</f>
        <v>2026/03/03 21:55:34</v>
      </c>
      <c r="B255" s="6"/>
      <c r="C255" s="6" t="str">
        <f aca="false">IFERROR(__xludf.dummyfunction("""COMPUTED_VALUE"""),"70713")</f>
        <v>70713</v>
      </c>
      <c r="D255" s="6"/>
      <c r="E255" s="6"/>
      <c r="F255" s="6"/>
      <c r="G255" s="6" t="str">
        <f aca="false">IFERROR(__xludf.dummyfunction("""COMPUTED_VALUE"""),"2026/03/25")</f>
        <v>2026/03/25</v>
      </c>
      <c r="H255" s="6" t="str">
        <f aca="false">IFERROR(__xludf.dummyfunction("""COMPUTED_VALUE"""),"必要")</f>
        <v>必要</v>
      </c>
      <c r="I255" s="6" t="str">
        <f aca="false">IFERROR(__xludf.dummyfunction("""COMPUTED_VALUE"""),"男性")</f>
        <v>男性</v>
      </c>
      <c r="J255" s="6" t="str">
        <f aca="false">IFERROR(__xludf.dummyfunction("""COMPUTED_VALUE"""),"日本")</f>
        <v>日本</v>
      </c>
      <c r="K255" s="6" t="str">
        <f aca="false">IFERROR(__xludf.dummyfunction("""COMPUTED_VALUE"""),"10")</f>
        <v>10</v>
      </c>
      <c r="L255" s="6" t="str">
        <f aca="false">IFERROR(__xludf.dummyfunction("""COMPUTED_VALUE"""),"なし")</f>
        <v>なし</v>
      </c>
      <c r="M255" s="6" t="str">
        <f aca="false">IFERROR(__xludf.dummyfunction("""COMPUTED_VALUE"""),"なし")</f>
        <v>なし</v>
      </c>
      <c r="N255" s="6" t="str">
        <f aca="false">IFERROR(__xludf.dummyfunction("""COMPUTED_VALUE"""),"衣服")</f>
        <v>衣服</v>
      </c>
      <c r="O255" s="6" t="str">
        <f aca="false">IFERROR(__xludf.dummyfunction("""COMPUTED_VALUE"""),"不要")</f>
        <v>不要</v>
      </c>
      <c r="P255" s="6"/>
      <c r="Q255" s="6"/>
      <c r="R255" s="6"/>
      <c r="S255" s="6" t="str">
        <f aca="false">IFERROR(__xludf.dummyfunction("""COMPUTED_VALUE"""),"家具家電付き社宅")</f>
        <v>家具家電付き社宅</v>
      </c>
      <c r="T255" s="6" t="str">
        <f aca="false">IFERROR(__xludf.dummyfunction("""COMPUTED_VALUE"""),"利用しない")</f>
        <v>利用しない</v>
      </c>
      <c r="U255" s="6"/>
      <c r="V255" s="6" t="str">
        <f aca="false">IFERROR(__xludf.dummyfunction("""COMPUTED_VALUE"""),"徒歩, 自転車")</f>
        <v>徒歩, 自転車</v>
      </c>
      <c r="W255" s="6"/>
      <c r="X255" s="6" t="str">
        <f aca="false">IFERROR(__xludf.dummyfunction("""COMPUTED_VALUE"""),"実家")</f>
        <v>実家</v>
      </c>
      <c r="Y255" s="6"/>
      <c r="Z255" s="6" t="str">
        <f aca="false">IFERROR(__xludf.dummyfunction("""COMPUTED_VALUE"""),"希望する")</f>
        <v>希望する</v>
      </c>
      <c r="AA255" s="6" t="str">
        <f aca="false">IFERROR(__xludf.dummyfunction("""COMPUTED_VALUE"""),"単身")</f>
        <v>単身</v>
      </c>
      <c r="AB255" s="6"/>
      <c r="AC255" s="6"/>
      <c r="AD255" s="6"/>
      <c r="AE255" s="6" t="str">
        <f aca="false">IFERROR(__xludf.dummyfunction("""COMPUTED_VALUE"""),"確認しました。")</f>
        <v>確認しました。</v>
      </c>
      <c r="AF255" s="6" t="str">
        <f aca="false">IFERROR(__xludf.dummyfunction("""COMPUTED_VALUE"""),"社宅基準の内容について確認しました")</f>
        <v>社宅基準の内容について確認しました</v>
      </c>
      <c r="AG255" s="6" t="str">
        <f aca="false">IFERROR(__xludf.dummyfunction("""COMPUTED_VALUE"""),"入居のしおりの内容についてご確認しました")</f>
        <v>入居のしおりの内容についてご確認しました</v>
      </c>
      <c r="AH255" s="6" t="str">
        <f aca="false">IFERROR(__xludf.dummyfunction("""COMPUTED_VALUE"""),"確認しました")</f>
        <v>確認しました</v>
      </c>
      <c r="AI255" s="6"/>
      <c r="AJ255" s="6" t="str">
        <v/>
      </c>
      <c r="AK255" s="6" t="str">
        <v/>
      </c>
      <c r="AL255" s="6" t="str">
        <v/>
      </c>
      <c r="AM255" s="6" t="str">
        <v/>
      </c>
      <c r="AN255" s="6" t="n">
        <f aca="false">TRUE()</f>
        <v>1</v>
      </c>
    </row>
    <row r="256" customFormat="false" ht="52.5" hidden="false" customHeight="true" outlineLevel="0" collapsed="false">
      <c r="A256" s="6" t="str">
        <f aca="false">IFERROR(__xludf.dummyfunction("""COMPUTED_VALUE"""),"2026/03/03 22:04:14")</f>
        <v>2026/03/03 22:04:14</v>
      </c>
      <c r="B256" s="6"/>
      <c r="C256" s="6" t="str">
        <f aca="false">IFERROR(__xludf.dummyfunction("""COMPUTED_VALUE"""),"70743")</f>
        <v>70743</v>
      </c>
      <c r="D256" s="6"/>
      <c r="E256" s="6"/>
      <c r="F256" s="6"/>
      <c r="G256" s="6" t="str">
        <f aca="false">IFERROR(__xludf.dummyfunction("""COMPUTED_VALUE"""),"2026/03/24")</f>
        <v>2026/03/24</v>
      </c>
      <c r="H256" s="6" t="str">
        <f aca="false">IFERROR(__xludf.dummyfunction("""COMPUTED_VALUE"""),"必要")</f>
        <v>必要</v>
      </c>
      <c r="I256" s="6" t="str">
        <f aca="false">IFERROR(__xludf.dummyfunction("""COMPUTED_VALUE"""),"男性")</f>
        <v>男性</v>
      </c>
      <c r="J256" s="6" t="str">
        <f aca="false">IFERROR(__xludf.dummyfunction("""COMPUTED_VALUE"""),"ベトナム")</f>
        <v>ベトナム</v>
      </c>
      <c r="K256" s="6" t="str">
        <f aca="false">IFERROR(__xludf.dummyfunction("""COMPUTED_VALUE"""),"10")</f>
        <v>10</v>
      </c>
      <c r="L256" s="6" t="str">
        <f aca="false">IFERROR(__xludf.dummyfunction("""COMPUTED_VALUE"""),"冷蔵庫(137L)、電子レンジ(1台)、ガスコンロ(1台)、縦型洗濯機(7kg、50cm×50cm×80cm)")</f>
        <v>冷蔵庫(137L)、電子レンジ(1台)、ガスコンロ(1台)、縦型洗濯機(7kg、50cm×50cm×80cm)</v>
      </c>
      <c r="M256" s="6" t="str">
        <f aca="false">IFERROR(__xludf.dummyfunction("""COMPUTED_VALUE"""),"折りたたみシングルベッド (幅90cm)")</f>
        <v>折りたたみシングルベッド (幅90cm)</v>
      </c>
      <c r="N256" s="6" t="str">
        <f aca="false">IFERROR(__xludf.dummyfunction("""COMPUTED_VALUE"""),"自転車")</f>
        <v>自転車</v>
      </c>
      <c r="O256" s="6" t="str">
        <f aca="false">IFERROR(__xludf.dummyfunction("""COMPUTED_VALUE"""),"不要")</f>
        <v>不要</v>
      </c>
      <c r="P256" s="6"/>
      <c r="Q256" s="6"/>
      <c r="R256" s="6"/>
      <c r="S256" s="6" t="str">
        <f aca="false">IFERROR(__xludf.dummyfunction("""COMPUTED_VALUE"""),"家具家電なし社宅")</f>
        <v>家具家電なし社宅</v>
      </c>
      <c r="T256" s="6" t="str">
        <f aca="false">IFERROR(__xludf.dummyfunction("""COMPUTED_VALUE"""),"利用しない")</f>
        <v>利用しない</v>
      </c>
      <c r="U256" s="6"/>
      <c r="V256" s="6" t="str">
        <f aca="false">IFERROR(__xludf.dummyfunction("""COMPUTED_VALUE"""),"徒歩, 電車")</f>
        <v>徒歩, 電車</v>
      </c>
      <c r="W256" s="6"/>
      <c r="X256" s="6" t="str">
        <f aca="false">IFERROR(__xludf.dummyfunction("""COMPUTED_VALUE"""),"株式会社ビーネックステクノロジーズの社宅")</f>
        <v>株式会社ビーネックステクノロジーズの社宅</v>
      </c>
      <c r="Y256" s="6" t="str">
        <f aca="false">IFERROR(__xludf.dummyfunction("""COMPUTED_VALUE"""),"利用なし")</f>
        <v>利用なし</v>
      </c>
      <c r="Z256" s="6" t="str">
        <f aca="false">IFERROR(__xludf.dummyfunction("""COMPUTED_VALUE"""),"希望する")</f>
        <v>希望する</v>
      </c>
      <c r="AA256" s="6" t="str">
        <f aca="false">IFERROR(__xludf.dummyfunction("""COMPUTED_VALUE"""),"単身")</f>
        <v>単身</v>
      </c>
      <c r="AB256" s="6"/>
      <c r="AC256" s="6"/>
      <c r="AD256" s="6" t="str">
        <f aca="false">IFERROR(__xludf.dummyfunction("""COMPUTED_VALUE"""),"2階。近くに徒歩圏内のスーパーがあります。")</f>
        <v>2階。近くに徒歩圏内のスーパーがあります。</v>
      </c>
      <c r="AE256" s="6" t="str">
        <f aca="false">IFERROR(__xludf.dummyfunction("""COMPUTED_VALUE"""),"確認しました。")</f>
        <v>確認しました。</v>
      </c>
      <c r="AF256" s="6" t="str">
        <f aca="false">IFERROR(__xludf.dummyfunction("""COMPUTED_VALUE"""),"社宅基準の内容について確認しました")</f>
        <v>社宅基準の内容について確認しました</v>
      </c>
      <c r="AG256" s="6" t="str">
        <f aca="false">IFERROR(__xludf.dummyfunction("""COMPUTED_VALUE"""),"入居のしおりの内容についてご確認しました")</f>
        <v>入居のしおりの内容についてご確認しました</v>
      </c>
      <c r="AH256" s="6" t="str">
        <f aca="false">IFERROR(__xludf.dummyfunction("""COMPUTED_VALUE"""),"確認しました")</f>
        <v>確認しました</v>
      </c>
      <c r="AI256" s="6"/>
      <c r="AJ256" s="6" t="str">
        <v/>
      </c>
      <c r="AK256" s="6" t="str">
        <v/>
      </c>
      <c r="AL256" s="6" t="str">
        <v/>
      </c>
      <c r="AM256" s="6" t="str">
        <v/>
      </c>
      <c r="AN256" s="6" t="n">
        <f aca="false">TRUE()</f>
        <v>1</v>
      </c>
    </row>
    <row r="257" customFormat="false" ht="52.5" hidden="false" customHeight="true" outlineLevel="0" collapsed="false">
      <c r="A257" s="6" t="str">
        <f aca="false">IFERROR(__xludf.dummyfunction("""COMPUTED_VALUE"""),"2026/03/04 0:51:32")</f>
        <v>2026/03/04 0:51:32</v>
      </c>
      <c r="B257" s="6"/>
      <c r="C257" s="6" t="str">
        <f aca="false">IFERROR(__xludf.dummyfunction("""COMPUTED_VALUE"""),"70745")</f>
        <v>70745</v>
      </c>
      <c r="D257" s="6"/>
      <c r="E257" s="6"/>
      <c r="F257" s="6"/>
      <c r="G257" s="6" t="str">
        <f aca="false">IFERROR(__xludf.dummyfunction("""COMPUTED_VALUE"""),"2026/03/23")</f>
        <v>2026/03/23</v>
      </c>
      <c r="H257" s="6" t="str">
        <f aca="false">IFERROR(__xludf.dummyfunction("""COMPUTED_VALUE"""),"必要")</f>
        <v>必要</v>
      </c>
      <c r="I257" s="6" t="str">
        <f aca="false">IFERROR(__xludf.dummyfunction("""COMPUTED_VALUE"""),"男性")</f>
        <v>男性</v>
      </c>
      <c r="J257" s="6" t="str">
        <f aca="false">IFERROR(__xludf.dummyfunction("""COMPUTED_VALUE"""),"ベトナム")</f>
        <v>ベトナム</v>
      </c>
      <c r="K257" s="6" t="str">
        <f aca="false">IFERROR(__xludf.dummyfunction("""COMPUTED_VALUE"""),"10")</f>
        <v>10</v>
      </c>
      <c r="L257" s="6" t="str">
        <f aca="false">IFERROR(__xludf.dummyfunction("""COMPUTED_VALUE"""),"炊飯器,掃除機,電気ケトル")</f>
        <v>炊飯器,掃除機,電気ケトル</v>
      </c>
      <c r="M257" s="6" t="str">
        <f aca="false">IFERROR(__xludf.dummyfunction("""COMPUTED_VALUE"""),"机（140cm×100cm×75cm・脚取り外し可能）
オフィスチェア（高さ100cm）")</f>
        <v>机（140cm×100cm×75cm・脚取り外し可能）
オフィスチェア（高さ100cm）</v>
      </c>
      <c r="N257" s="6" t="str">
        <f aca="false">IFERROR(__xludf.dummyfunction("""COMPUTED_VALUE"""),"自転車1台
電子ピアノ（長さ110cm）
布団一式（レンタル）")</f>
        <v>自転車1台
電子ピアノ（長さ110cm）
布団一式（レンタル）</v>
      </c>
      <c r="O257" s="6" t="str">
        <f aca="false">IFERROR(__xludf.dummyfunction("""COMPUTED_VALUE"""),"不要")</f>
        <v>不要</v>
      </c>
      <c r="P257" s="6"/>
      <c r="Q257" s="6"/>
      <c r="R257" s="6"/>
      <c r="S257" s="6" t="str">
        <f aca="false">IFERROR(__xludf.dummyfunction("""COMPUTED_VALUE"""),"家具家電付き社宅")</f>
        <v>家具家電付き社宅</v>
      </c>
      <c r="T257" s="6" t="str">
        <f aca="false">IFERROR(__xludf.dummyfunction("""COMPUTED_VALUE"""),"利用しない")</f>
        <v>利用しない</v>
      </c>
      <c r="U257" s="6"/>
      <c r="V257" s="6" t="str">
        <f aca="false">IFERROR(__xludf.dummyfunction("""COMPUTED_VALUE"""),"自転車, 電車, バス")</f>
        <v>自転車, 電車, バス</v>
      </c>
      <c r="W257" s="6"/>
      <c r="X257" s="6" t="str">
        <f aca="false">IFERROR(__xludf.dummyfunction("""COMPUTED_VALUE"""),"株式会社ビーネックステクノロジーズの社宅")</f>
        <v>株式会社ビーネックステクノロジーズの社宅</v>
      </c>
      <c r="Y257" s="6" t="str">
        <f aca="false">IFERROR(__xludf.dummyfunction("""COMPUTED_VALUE"""),"布団一式
新社宅へ引継ぎ希望")</f>
        <v>布団一式
新社宅へ引継ぎ希望</v>
      </c>
      <c r="Z257" s="6" t="str">
        <f aca="false">IFERROR(__xludf.dummyfunction("""COMPUTED_VALUE"""),"希望する")</f>
        <v>希望する</v>
      </c>
      <c r="AA257" s="6" t="str">
        <f aca="false">IFERROR(__xludf.dummyfunction("""COMPUTED_VALUE"""),"単身")</f>
        <v>単身</v>
      </c>
      <c r="AB257" s="6"/>
      <c r="AC257" s="6"/>
      <c r="AD257" s="6" t="str">
        <f aca="false">IFERROR(__xludf.dummyfunction("""COMPUTED_VALUE"""),"可能であれば、都市ガスを利用したいです。")</f>
        <v>可能であれば、都市ガスを利用したいです。</v>
      </c>
      <c r="AE257" s="6" t="str">
        <f aca="false">IFERROR(__xludf.dummyfunction("""COMPUTED_VALUE"""),"確認しました。")</f>
        <v>確認しました。</v>
      </c>
      <c r="AF257" s="6" t="str">
        <f aca="false">IFERROR(__xludf.dummyfunction("""COMPUTED_VALUE"""),"社宅基準の内容について確認しました")</f>
        <v>社宅基準の内容について確認しました</v>
      </c>
      <c r="AG257" s="6" t="str">
        <f aca="false">IFERROR(__xludf.dummyfunction("""COMPUTED_VALUE"""),"入居のしおりの内容についてご確認しました")</f>
        <v>入居のしおりの内容についてご確認しました</v>
      </c>
      <c r="AH257" s="6" t="str">
        <f aca="false">IFERROR(__xludf.dummyfunction("""COMPUTED_VALUE"""),"確認しました")</f>
        <v>確認しました</v>
      </c>
      <c r="AI257" s="6"/>
      <c r="AJ257" s="6" t="str">
        <v/>
      </c>
      <c r="AK257" s="6" t="str">
        <v/>
      </c>
      <c r="AL257" s="6" t="str">
        <v/>
      </c>
      <c r="AM257" s="6" t="str">
        <v/>
      </c>
      <c r="AN257" s="6" t="n">
        <f aca="false">TRUE()</f>
        <v>1</v>
      </c>
    </row>
    <row r="258" customFormat="false" ht="52.5" hidden="false" customHeight="true" outlineLevel="0" collapsed="false">
      <c r="A258" s="6" t="str">
        <f aca="false">IFERROR(__xludf.dummyfunction("""COMPUTED_VALUE"""),"2026/03/04 11:16:25")</f>
        <v>2026/03/04 11:16:25</v>
      </c>
      <c r="B258" s="6"/>
      <c r="C258" s="6" t="str">
        <f aca="false">IFERROR(__xludf.dummyfunction("""COMPUTED_VALUE"""),"70331")</f>
        <v>70331</v>
      </c>
      <c r="D258" s="6"/>
      <c r="E258" s="6"/>
      <c r="F258" s="6"/>
      <c r="G258" s="6" t="str">
        <f aca="false">IFERROR(__xludf.dummyfunction("""COMPUTED_VALUE"""),"2026/04/01")</f>
        <v>2026/04/01</v>
      </c>
      <c r="H258" s="6" t="str">
        <f aca="false">IFERROR(__xludf.dummyfunction("""COMPUTED_VALUE"""),"必要")</f>
        <v>必要</v>
      </c>
      <c r="I258" s="6" t="str">
        <f aca="false">IFERROR(__xludf.dummyfunction("""COMPUTED_VALUE"""),"男性")</f>
        <v>男性</v>
      </c>
      <c r="J258" s="6" t="str">
        <f aca="false">IFERROR(__xludf.dummyfunction("""COMPUTED_VALUE"""),"日本")</f>
        <v>日本</v>
      </c>
      <c r="K258" s="6" t="str">
        <f aca="false">IFERROR(__xludf.dummyfunction("""COMPUTED_VALUE"""),"10")</f>
        <v>10</v>
      </c>
      <c r="L258" s="6" t="str">
        <f aca="false">IFERROR(__xludf.dummyfunction("""COMPUTED_VALUE"""),"なし")</f>
        <v>なし</v>
      </c>
      <c r="M258" s="6" t="str">
        <f aca="false">IFERROR(__xludf.dummyfunction("""COMPUTED_VALUE"""),"
なし")</f>
        <v>
なし</v>
      </c>
      <c r="N258" s="6" t="str">
        <f aca="false">IFERROR(__xludf.dummyfunction("""COMPUTED_VALUE"""),"衣類、布団、本")</f>
        <v>衣類、布団、本</v>
      </c>
      <c r="O258" s="6" t="str">
        <f aca="false">IFERROR(__xludf.dummyfunction("""COMPUTED_VALUE"""),"不要")</f>
        <v>不要</v>
      </c>
      <c r="P258" s="6"/>
      <c r="Q258" s="6"/>
      <c r="R258" s="6"/>
      <c r="S258" s="6" t="str">
        <f aca="false">IFERROR(__xludf.dummyfunction("""COMPUTED_VALUE"""),"家具家電付き社宅")</f>
        <v>家具家電付き社宅</v>
      </c>
      <c r="T258" s="6" t="str">
        <f aca="false">IFERROR(__xludf.dummyfunction("""COMPUTED_VALUE"""),"利用しない")</f>
        <v>利用しない</v>
      </c>
      <c r="U258" s="6"/>
      <c r="V258" s="6" t="str">
        <f aca="false">IFERROR(__xludf.dummyfunction("""COMPUTED_VALUE"""),"徒歩, 自転車, 電車, バス")</f>
        <v>徒歩, 自転車, 電車, バス</v>
      </c>
      <c r="W258" s="6"/>
      <c r="X258" s="6" t="str">
        <f aca="false">IFERROR(__xludf.dummyfunction("""COMPUTED_VALUE"""),"実家")</f>
        <v>実家</v>
      </c>
      <c r="Y258" s="6"/>
      <c r="Z258" s="6" t="str">
        <f aca="false">IFERROR(__xludf.dummyfunction("""COMPUTED_VALUE"""),"希望する")</f>
        <v>希望する</v>
      </c>
      <c r="AA258" s="6" t="str">
        <f aca="false">IFERROR(__xludf.dummyfunction("""COMPUTED_VALUE"""),"単身")</f>
        <v>単身</v>
      </c>
      <c r="AB258" s="6"/>
      <c r="AC258" s="6"/>
      <c r="AD258" s="6"/>
      <c r="AE258" s="6" t="str">
        <f aca="false">IFERROR(__xludf.dummyfunction("""COMPUTED_VALUE"""),"確認しました。")</f>
        <v>確認しました。</v>
      </c>
      <c r="AF258" s="6" t="str">
        <f aca="false">IFERROR(__xludf.dummyfunction("""COMPUTED_VALUE"""),"社宅基準の内容について確認しました")</f>
        <v>社宅基準の内容について確認しました</v>
      </c>
      <c r="AG258" s="6" t="str">
        <f aca="false">IFERROR(__xludf.dummyfunction("""COMPUTED_VALUE"""),"入居のしおりの内容についてご確認しました")</f>
        <v>入居のしおりの内容についてご確認しました</v>
      </c>
      <c r="AH258" s="6" t="str">
        <f aca="false">IFERROR(__xludf.dummyfunction("""COMPUTED_VALUE"""),"確認しました")</f>
        <v>確認しました</v>
      </c>
      <c r="AI258" s="6"/>
      <c r="AJ258" s="6" t="str">
        <v/>
      </c>
      <c r="AK258" s="6" t="str">
        <v/>
      </c>
      <c r="AL258" s="6" t="str">
        <v/>
      </c>
      <c r="AM258" s="6" t="str">
        <v/>
      </c>
      <c r="AN258" s="6" t="n">
        <f aca="false">TRUE()</f>
        <v>1</v>
      </c>
    </row>
    <row r="259" customFormat="false" ht="52.5" hidden="false" customHeight="true" outlineLevel="0" collapsed="false">
      <c r="A259" s="6" t="str">
        <f aca="false">IFERROR(__xludf.dummyfunction("""COMPUTED_VALUE"""),"2026/03/04 13:01:29")</f>
        <v>2026/03/04 13:01:29</v>
      </c>
      <c r="B259" s="6"/>
      <c r="C259" s="6" t="str">
        <f aca="false">IFERROR(__xludf.dummyfunction("""COMPUTED_VALUE"""),"70799")</f>
        <v>70799</v>
      </c>
      <c r="D259" s="6"/>
      <c r="E259" s="6"/>
      <c r="F259" s="6"/>
      <c r="G259" s="6" t="str">
        <f aca="false">IFERROR(__xludf.dummyfunction("""COMPUTED_VALUE"""),"2026/03/17")</f>
        <v>2026/03/17</v>
      </c>
      <c r="H259" s="6" t="str">
        <f aca="false">IFERROR(__xludf.dummyfunction("""COMPUTED_VALUE"""),"必要")</f>
        <v>必要</v>
      </c>
      <c r="I259" s="6" t="str">
        <f aca="false">IFERROR(__xludf.dummyfunction("""COMPUTED_VALUE"""),"男性")</f>
        <v>男性</v>
      </c>
      <c r="J259" s="6" t="str">
        <f aca="false">IFERROR(__xludf.dummyfunction("""COMPUTED_VALUE"""),"日本")</f>
        <v>日本</v>
      </c>
      <c r="K259" s="6" t="str">
        <f aca="false">IFERROR(__xludf.dummyfunction("""COMPUTED_VALUE"""),"10")</f>
        <v>10</v>
      </c>
      <c r="L259" s="6" t="str">
        <f aca="false">IFERROR(__xludf.dummyfunction("""COMPUTED_VALUE"""),"24インチテレビ、電子レンジ、")</f>
        <v>24インチテレビ、電子レンジ、</v>
      </c>
      <c r="M259" s="6" t="str">
        <f aca="false">IFERROR(__xludf.dummyfunction("""COMPUTED_VALUE"""),"なし")</f>
        <v>なし</v>
      </c>
      <c r="N259" s="6"/>
      <c r="O259" s="6" t="str">
        <f aca="false">IFERROR(__xludf.dummyfunction("""COMPUTED_VALUE"""),"不要")</f>
        <v>不要</v>
      </c>
      <c r="P259" s="6"/>
      <c r="Q259" s="6"/>
      <c r="R259" s="6"/>
      <c r="S259" s="6" t="str">
        <f aca="false">IFERROR(__xludf.dummyfunction("""COMPUTED_VALUE"""),"家具家電付き社宅")</f>
        <v>家具家電付き社宅</v>
      </c>
      <c r="T259" s="6" t="str">
        <f aca="false">IFERROR(__xludf.dummyfunction("""COMPUTED_VALUE"""),"利用しない")</f>
        <v>利用しない</v>
      </c>
      <c r="U259" s="6"/>
      <c r="V259" s="6" t="str">
        <f aca="false">IFERROR(__xludf.dummyfunction("""COMPUTED_VALUE"""),"徒歩, 自転車, 社用バス")</f>
        <v>徒歩, 自転車, 社用バス</v>
      </c>
      <c r="W259" s="6"/>
      <c r="X259" s="6" t="str">
        <f aca="false">IFERROR(__xludf.dummyfunction("""COMPUTED_VALUE"""),"実家")</f>
        <v>実家</v>
      </c>
      <c r="Y259" s="6"/>
      <c r="Z259" s="6" t="str">
        <f aca="false">IFERROR(__xludf.dummyfunction("""COMPUTED_VALUE"""),"希望する")</f>
        <v>希望する</v>
      </c>
      <c r="AA259" s="6" t="str">
        <f aca="false">IFERROR(__xludf.dummyfunction("""COMPUTED_VALUE"""),"単身")</f>
        <v>単身</v>
      </c>
      <c r="AB259" s="6"/>
      <c r="AC259" s="6"/>
      <c r="AD259" s="6"/>
      <c r="AE259" s="6" t="str">
        <f aca="false">IFERROR(__xludf.dummyfunction("""COMPUTED_VALUE"""),"確認しました。")</f>
        <v>確認しました。</v>
      </c>
      <c r="AF259" s="6" t="str">
        <f aca="false">IFERROR(__xludf.dummyfunction("""COMPUTED_VALUE"""),"社宅基準の内容について確認しました")</f>
        <v>社宅基準の内容について確認しました</v>
      </c>
      <c r="AG259" s="6" t="str">
        <f aca="false">IFERROR(__xludf.dummyfunction("""COMPUTED_VALUE"""),"入居のしおりの内容についてご確認しました")</f>
        <v>入居のしおりの内容についてご確認しました</v>
      </c>
      <c r="AH259" s="6" t="str">
        <f aca="false">IFERROR(__xludf.dummyfunction("""COMPUTED_VALUE"""),"確認しました")</f>
        <v>確認しました</v>
      </c>
      <c r="AI259" s="6"/>
      <c r="AJ259" s="6" t="str">
        <v/>
      </c>
      <c r="AK259" s="6" t="str">
        <v/>
      </c>
      <c r="AL259" s="6" t="str">
        <v/>
      </c>
      <c r="AM259" s="6" t="str">
        <v/>
      </c>
      <c r="AN259" s="6" t="n">
        <f aca="false">TRUE()</f>
        <v>1</v>
      </c>
    </row>
    <row r="260" customFormat="false" ht="52.5" hidden="false" customHeight="true" outlineLevel="0" collapsed="false">
      <c r="A260" s="6" t="str">
        <f aca="false">IFERROR(__xludf.dummyfunction("""COMPUTED_VALUE"""),"2026/03/04 16:44:59")</f>
        <v>2026/03/04 16:44:59</v>
      </c>
      <c r="B260" s="6"/>
      <c r="C260" s="6" t="str">
        <f aca="false">IFERROR(__xludf.dummyfunction("""COMPUTED_VALUE"""),"70870")</f>
        <v>70870</v>
      </c>
      <c r="D260" s="6"/>
      <c r="E260" s="6"/>
      <c r="F260" s="6"/>
      <c r="G260" s="6" t="str">
        <f aca="false">IFERROR(__xludf.dummyfunction("""COMPUTED_VALUE"""),"2026/03/30")</f>
        <v>2026/03/30</v>
      </c>
      <c r="H260" s="6" t="str">
        <f aca="false">IFERROR(__xludf.dummyfunction("""COMPUTED_VALUE"""),"必要")</f>
        <v>必要</v>
      </c>
      <c r="I260" s="6" t="str">
        <f aca="false">IFERROR(__xludf.dummyfunction("""COMPUTED_VALUE"""),"男性")</f>
        <v>男性</v>
      </c>
      <c r="J260" s="6" t="str">
        <f aca="false">IFERROR(__xludf.dummyfunction("""COMPUTED_VALUE"""),"日本")</f>
        <v>日本</v>
      </c>
      <c r="K260" s="6" t="str">
        <f aca="false">IFERROR(__xludf.dummyfunction("""COMPUTED_VALUE"""),"20")</f>
        <v>20</v>
      </c>
      <c r="L260" s="6" t="str">
        <f aca="false">IFERROR(__xludf.dummyfunction("""COMPUTED_VALUE"""),"冷蔵庫(2ドア)、洗濯機")</f>
        <v>冷蔵庫(2ドア)、洗濯機</v>
      </c>
      <c r="M260" s="6" t="str">
        <f aca="false">IFERROR(__xludf.dummyfunction("""COMPUTED_VALUE"""),"机、棚")</f>
        <v>机、棚</v>
      </c>
      <c r="N260" s="6" t="str">
        <f aca="false">IFERROR(__xludf.dummyfunction("""COMPUTED_VALUE"""),"自転車")</f>
        <v>自転車</v>
      </c>
      <c r="O260" s="6" t="str">
        <f aca="false">IFERROR(__xludf.dummyfunction("""COMPUTED_VALUE"""),"不要")</f>
        <v>不要</v>
      </c>
      <c r="P260" s="6"/>
      <c r="Q260" s="6"/>
      <c r="R260" s="6"/>
      <c r="S260" s="6" t="str">
        <f aca="false">IFERROR(__xludf.dummyfunction("""COMPUTED_VALUE"""),"家具家電なし社宅")</f>
        <v>家具家電なし社宅</v>
      </c>
      <c r="T260" s="6" t="str">
        <f aca="false">IFERROR(__xludf.dummyfunction("""COMPUTED_VALUE"""),"利用しない")</f>
        <v>利用しない</v>
      </c>
      <c r="U260" s="6"/>
      <c r="V260" s="6" t="str">
        <f aca="false">IFERROR(__xludf.dummyfunction("""COMPUTED_VALUE"""),"徒歩, 自転車")</f>
        <v>徒歩, 自転車</v>
      </c>
      <c r="W260" s="6"/>
      <c r="X260" s="6" t="str">
        <f aca="false">IFERROR(__xludf.dummyfunction("""COMPUTED_VALUE"""),"株式会社ビーネックステクノロジーズの社宅")</f>
        <v>株式会社ビーネックステクノロジーズの社宅</v>
      </c>
      <c r="Y260" s="6" t="str">
        <f aca="false">IFERROR(__xludf.dummyfunction("""COMPUTED_VALUE"""),"利用なし")</f>
        <v>利用なし</v>
      </c>
      <c r="Z260" s="6" t="str">
        <f aca="false">IFERROR(__xludf.dummyfunction("""COMPUTED_VALUE"""),"希望する")</f>
        <v>希望する</v>
      </c>
      <c r="AA260" s="6" t="str">
        <f aca="false">IFERROR(__xludf.dummyfunction("""COMPUTED_VALUE"""),"単身")</f>
        <v>単身</v>
      </c>
      <c r="AB260" s="6"/>
      <c r="AC260" s="6"/>
      <c r="AD260" s="6"/>
      <c r="AE260" s="6" t="str">
        <f aca="false">IFERROR(__xludf.dummyfunction("""COMPUTED_VALUE"""),"確認しました。")</f>
        <v>確認しました。</v>
      </c>
      <c r="AF260" s="6" t="str">
        <f aca="false">IFERROR(__xludf.dummyfunction("""COMPUTED_VALUE"""),"社宅基準の内容について確認しました")</f>
        <v>社宅基準の内容について確認しました</v>
      </c>
      <c r="AG260" s="6" t="str">
        <f aca="false">IFERROR(__xludf.dummyfunction("""COMPUTED_VALUE"""),"入居のしおりの内容についてご確認しました")</f>
        <v>入居のしおりの内容についてご確認しました</v>
      </c>
      <c r="AH260" s="6" t="str">
        <f aca="false">IFERROR(__xludf.dummyfunction("""COMPUTED_VALUE"""),"確認しました")</f>
        <v>確認しました</v>
      </c>
      <c r="AI260" s="6"/>
      <c r="AJ260" s="6" t="str">
        <v/>
      </c>
      <c r="AK260" s="6" t="str">
        <v/>
      </c>
      <c r="AL260" s="6" t="str">
        <v/>
      </c>
      <c r="AM260" s="6" t="str">
        <v/>
      </c>
      <c r="AN260" s="6" t="n">
        <f aca="false">FALSE()</f>
        <v>0</v>
      </c>
    </row>
    <row r="261" customFormat="false" ht="52.5" hidden="false" customHeight="true" outlineLevel="0" collapsed="false">
      <c r="A261" s="6" t="str">
        <f aca="false">IFERROR(__xludf.dummyfunction("""COMPUTED_VALUE"""),"2026/03/04 17:12:03")</f>
        <v>2026/03/04 17:12:03</v>
      </c>
      <c r="B261" s="6"/>
      <c r="C261" s="6" t="str">
        <f aca="false">IFERROR(__xludf.dummyfunction("""COMPUTED_VALUE"""),"70811")</f>
        <v>70811</v>
      </c>
      <c r="D261" s="6"/>
      <c r="E261" s="6"/>
      <c r="F261" s="6"/>
      <c r="G261" s="6" t="str">
        <f aca="false">IFERROR(__xludf.dummyfunction("""COMPUTED_VALUE"""),"2026/03/27")</f>
        <v>2026/03/27</v>
      </c>
      <c r="H261" s="6" t="str">
        <f aca="false">IFERROR(__xludf.dummyfunction("""COMPUTED_VALUE"""),"必要")</f>
        <v>必要</v>
      </c>
      <c r="I261" s="6" t="str">
        <f aca="false">IFERROR(__xludf.dummyfunction("""COMPUTED_VALUE"""),"男性")</f>
        <v>男性</v>
      </c>
      <c r="J261" s="6" t="str">
        <f aca="false">IFERROR(__xludf.dummyfunction("""COMPUTED_VALUE"""),"日本")</f>
        <v>日本</v>
      </c>
      <c r="K261" s="6" t="str">
        <f aca="false">IFERROR(__xludf.dummyfunction("""COMPUTED_VALUE"""),"8")</f>
        <v>8</v>
      </c>
      <c r="L261" s="6" t="str">
        <f aca="false">IFERROR(__xludf.dummyfunction("""COMPUTED_VALUE"""),"なし")</f>
        <v>なし</v>
      </c>
      <c r="M261" s="6" t="str">
        <f aca="false">IFERROR(__xludf.dummyfunction("""COMPUTED_VALUE"""),"セミダブルベッド")</f>
        <v>セミダブルベッド</v>
      </c>
      <c r="N261" s="6"/>
      <c r="O261" s="6" t="str">
        <f aca="false">IFERROR(__xludf.dummyfunction("""COMPUTED_VALUE"""),"不要")</f>
        <v>不要</v>
      </c>
      <c r="P261" s="6"/>
      <c r="Q261" s="6"/>
      <c r="R261" s="6"/>
      <c r="S261" s="6" t="str">
        <f aca="false">IFERROR(__xludf.dummyfunction("""COMPUTED_VALUE"""),"家具家電付き社宅")</f>
        <v>家具家電付き社宅</v>
      </c>
      <c r="T261" s="6"/>
      <c r="U261" s="6" t="str">
        <f aca="false">IFERROR(__xludf.dummyfunction("""COMPUTED_VALUE"""),"特になし")</f>
        <v>特になし</v>
      </c>
      <c r="V261" s="6" t="str">
        <f aca="false">IFERROR(__xludf.dummyfunction("""COMPUTED_VALUE"""),"徒歩, 自転車")</f>
        <v>徒歩, 自転車</v>
      </c>
      <c r="W261" s="6"/>
      <c r="X261" s="6" t="str">
        <f aca="false">IFERROR(__xludf.dummyfunction("""COMPUTED_VALUE"""),"実家")</f>
        <v>実家</v>
      </c>
      <c r="Y261" s="6"/>
      <c r="Z261" s="6" t="str">
        <f aca="false">IFERROR(__xludf.dummyfunction("""COMPUTED_VALUE"""),"希望する")</f>
        <v>希望する</v>
      </c>
      <c r="AA261" s="6" t="str">
        <f aca="false">IFERROR(__xludf.dummyfunction("""COMPUTED_VALUE"""),"単身")</f>
        <v>単身</v>
      </c>
      <c r="AB261" s="6"/>
      <c r="AC261" s="6"/>
      <c r="AD261" s="6"/>
      <c r="AE261" s="6" t="str">
        <f aca="false">IFERROR(__xludf.dummyfunction("""COMPUTED_VALUE"""),"確認しました。")</f>
        <v>確認しました。</v>
      </c>
      <c r="AF261" s="6" t="str">
        <f aca="false">IFERROR(__xludf.dummyfunction("""COMPUTED_VALUE"""),"社宅基準の内容について確認しました")</f>
        <v>社宅基準の内容について確認しました</v>
      </c>
      <c r="AG261" s="6" t="str">
        <f aca="false">IFERROR(__xludf.dummyfunction("""COMPUTED_VALUE"""),"入居のしおりの内容についてご確認しました")</f>
        <v>入居のしおりの内容についてご確認しました</v>
      </c>
      <c r="AH261" s="6" t="str">
        <f aca="false">IFERROR(__xludf.dummyfunction("""COMPUTED_VALUE"""),"確認しました")</f>
        <v>確認しました</v>
      </c>
      <c r="AI261" s="6"/>
      <c r="AJ261" s="6" t="str">
        <v/>
      </c>
      <c r="AK261" s="6" t="str">
        <v/>
      </c>
      <c r="AL261" s="6" t="str">
        <v/>
      </c>
      <c r="AM261" s="6" t="str">
        <v/>
      </c>
      <c r="AN261" s="6" t="n">
        <f aca="false">FALSE()</f>
        <v>0</v>
      </c>
    </row>
    <row r="262" customFormat="false" ht="52.5" hidden="false" customHeight="true" outlineLevel="0" collapsed="false">
      <c r="A262" s="6" t="str">
        <f aca="false">IFERROR(__xludf.dummyfunction("""COMPUTED_VALUE"""),"2026/03/04 19:33:10")</f>
        <v>2026/03/04 19:33:10</v>
      </c>
      <c r="B262" s="6"/>
      <c r="C262" s="6" t="str">
        <f aca="false">IFERROR(__xludf.dummyfunction("""COMPUTED_VALUE"""),"70857")</f>
        <v>70857</v>
      </c>
      <c r="D262" s="6"/>
      <c r="E262" s="6"/>
      <c r="F262" s="6"/>
      <c r="G262" s="6" t="str">
        <f aca="false">IFERROR(__xludf.dummyfunction("""COMPUTED_VALUE"""),"2026/03/28")</f>
        <v>2026/03/28</v>
      </c>
      <c r="H262" s="6" t="str">
        <f aca="false">IFERROR(__xludf.dummyfunction("""COMPUTED_VALUE"""),"必要")</f>
        <v>必要</v>
      </c>
      <c r="I262" s="6" t="str">
        <f aca="false">IFERROR(__xludf.dummyfunction("""COMPUTED_VALUE"""),"男性")</f>
        <v>男性</v>
      </c>
      <c r="J262" s="6" t="str">
        <f aca="false">IFERROR(__xludf.dummyfunction("""COMPUTED_VALUE"""),"日本")</f>
        <v>日本</v>
      </c>
      <c r="K262" s="6" t="str">
        <f aca="false">IFERROR(__xludf.dummyfunction("""COMPUTED_VALUE"""),"8")</f>
        <v>8</v>
      </c>
      <c r="L262" s="6" t="str">
        <f aca="false">IFERROR(__xludf.dummyfunction("""COMPUTED_VALUE"""),"PC・PC用モニター×２・電気ストーブ・扇風機")</f>
        <v>PC・PC用モニター×２・電気ストーブ・扇風機</v>
      </c>
      <c r="M262" s="6" t="str">
        <f aca="false">IFERROR(__xludf.dummyfunction("""COMPUTED_VALUE"""),"ゲーミングチェア")</f>
        <v>ゲーミングチェア</v>
      </c>
      <c r="N262" s="6"/>
      <c r="O262" s="6" t="str">
        <f aca="false">IFERROR(__xludf.dummyfunction("""COMPUTED_VALUE"""),"不要")</f>
        <v>不要</v>
      </c>
      <c r="P262" s="6"/>
      <c r="Q262" s="6"/>
      <c r="R262" s="6"/>
      <c r="S262" s="6" t="str">
        <f aca="false">IFERROR(__xludf.dummyfunction("""COMPUTED_VALUE"""),"家具家電付き社宅")</f>
        <v>家具家電付き社宅</v>
      </c>
      <c r="T262" s="6" t="str">
        <f aca="false">IFERROR(__xludf.dummyfunction("""COMPUTED_VALUE"""),"利用しない")</f>
        <v>利用しない</v>
      </c>
      <c r="U262" s="6"/>
      <c r="V262" s="6" t="str">
        <f aca="false">IFERROR(__xludf.dummyfunction("""COMPUTED_VALUE"""),"徒歩, ライトライン")</f>
        <v>徒歩, ライトライン</v>
      </c>
      <c r="W262" s="6"/>
      <c r="X262" s="6" t="str">
        <f aca="false">IFERROR(__xludf.dummyfunction("""COMPUTED_VALUE"""),"実家")</f>
        <v>実家</v>
      </c>
      <c r="Y262" s="6"/>
      <c r="Z262" s="6" t="str">
        <f aca="false">IFERROR(__xludf.dummyfunction("""COMPUTED_VALUE"""),"希望する")</f>
        <v>希望する</v>
      </c>
      <c r="AA262" s="6" t="str">
        <f aca="false">IFERROR(__xludf.dummyfunction("""COMPUTED_VALUE"""),"単身")</f>
        <v>単身</v>
      </c>
      <c r="AB262" s="6"/>
      <c r="AC262" s="6"/>
      <c r="AD262" s="6" t="str">
        <f aca="false">IFERROR(__xludf.dummyfunction("""COMPUTED_VALUE"""),"徒歩圏内にスーパーやコンビニがあると助かります")</f>
        <v>徒歩圏内にスーパーやコンビニがあると助かります</v>
      </c>
      <c r="AE262" s="6" t="str">
        <f aca="false">IFERROR(__xludf.dummyfunction("""COMPUTED_VALUE"""),"確認しました。")</f>
        <v>確認しました。</v>
      </c>
      <c r="AF262" s="6" t="str">
        <f aca="false">IFERROR(__xludf.dummyfunction("""COMPUTED_VALUE"""),"社宅基準の内容について確認しました")</f>
        <v>社宅基準の内容について確認しました</v>
      </c>
      <c r="AG262" s="6" t="str">
        <f aca="false">IFERROR(__xludf.dummyfunction("""COMPUTED_VALUE"""),"入居のしおりの内容についてご確認しました")</f>
        <v>入居のしおりの内容についてご確認しました</v>
      </c>
      <c r="AH262" s="6" t="str">
        <f aca="false">IFERROR(__xludf.dummyfunction("""COMPUTED_VALUE"""),"確認しました")</f>
        <v>確認しました</v>
      </c>
      <c r="AI262" s="6"/>
      <c r="AJ262" s="6" t="str">
        <v/>
      </c>
      <c r="AK262" s="6" t="str">
        <v/>
      </c>
      <c r="AL262" s="6" t="str">
        <v/>
      </c>
      <c r="AM262" s="6" t="str">
        <v/>
      </c>
      <c r="AN262" s="6" t="n">
        <f aca="false">TRUE()</f>
        <v>1</v>
      </c>
    </row>
    <row r="263" customFormat="false" ht="52.5" hidden="false" customHeight="true" outlineLevel="0" collapsed="false">
      <c r="A263" s="6" t="str">
        <f aca="false">IFERROR(__xludf.dummyfunction("""COMPUTED_VALUE"""),"2026/03/04 20:58:31")</f>
        <v>2026/03/04 20:58:31</v>
      </c>
      <c r="B263" s="6"/>
      <c r="C263" s="6" t="str">
        <f aca="false">IFERROR(__xludf.dummyfunction("""COMPUTED_VALUE"""),"70806")</f>
        <v>70806</v>
      </c>
      <c r="D263" s="6"/>
      <c r="E263" s="6"/>
      <c r="F263" s="6"/>
      <c r="G263" s="6" t="str">
        <f aca="false">IFERROR(__xludf.dummyfunction("""COMPUTED_VALUE"""),"2026/04/01")</f>
        <v>2026/04/01</v>
      </c>
      <c r="H263" s="6" t="str">
        <f aca="false">IFERROR(__xludf.dummyfunction("""COMPUTED_VALUE"""),"必要")</f>
        <v>必要</v>
      </c>
      <c r="I263" s="6" t="str">
        <f aca="false">IFERROR(__xludf.dummyfunction("""COMPUTED_VALUE"""),"男性")</f>
        <v>男性</v>
      </c>
      <c r="J263" s="6" t="str">
        <f aca="false">IFERROR(__xludf.dummyfunction("""COMPUTED_VALUE"""),"日本")</f>
        <v>日本</v>
      </c>
      <c r="K263" s="6" t="str">
        <f aca="false">IFERROR(__xludf.dummyfunction("""COMPUTED_VALUE"""),"20")</f>
        <v>20</v>
      </c>
      <c r="L263" s="6" t="str">
        <f aca="false">IFERROR(__xludf.dummyfunction("""COMPUTED_VALUE"""),"電子レンジ、炊飯器、洗濯機、冷蔵庫(家族用)、テレビ、掃除機")</f>
        <v>電子レンジ、炊飯器、洗濯機、冷蔵庫(家族用)、テレビ、掃除機</v>
      </c>
      <c r="M263" s="6" t="str">
        <f aca="false">IFERROR(__xludf.dummyfunction("""COMPUTED_VALUE"""),"ベッド(シングル)、整理タンス")</f>
        <v>ベッド(シングル)、整理タンス</v>
      </c>
      <c r="N263" s="6"/>
      <c r="O263" s="6" t="str">
        <f aca="false">IFERROR(__xludf.dummyfunction("""COMPUTED_VALUE"""),"不要")</f>
        <v>不要</v>
      </c>
      <c r="P263" s="6"/>
      <c r="Q263" s="6"/>
      <c r="R263" s="6"/>
      <c r="S263" s="6" t="str">
        <f aca="false">IFERROR(__xludf.dummyfunction("""COMPUTED_VALUE"""),"家具家電付き社宅")</f>
        <v>家具家電付き社宅</v>
      </c>
      <c r="T263" s="6" t="str">
        <f aca="false">IFERROR(__xludf.dummyfunction("""COMPUTED_VALUE"""),"利用しない")</f>
        <v>利用しない</v>
      </c>
      <c r="U263" s="6"/>
      <c r="V263" s="6" t="str">
        <f aca="false">IFERROR(__xludf.dummyfunction("""COMPUTED_VALUE"""),"徒歩, 電車")</f>
        <v>徒歩, 電車</v>
      </c>
      <c r="W263" s="6"/>
      <c r="X263" s="6" t="str">
        <f aca="false">IFERROR(__xludf.dummyfunction("""COMPUTED_VALUE"""),"実家")</f>
        <v>実家</v>
      </c>
      <c r="Y263" s="6"/>
      <c r="Z263" s="6" t="str">
        <f aca="false">IFERROR(__xludf.dummyfunction("""COMPUTED_VALUE"""),"希望する")</f>
        <v>希望する</v>
      </c>
      <c r="AA263" s="6" t="str">
        <f aca="false">IFERROR(__xludf.dummyfunction("""COMPUTED_VALUE"""),"単身")</f>
        <v>単身</v>
      </c>
      <c r="AB263" s="6"/>
      <c r="AC263" s="6"/>
      <c r="AD263" s="6" t="str">
        <f aca="false">IFERROR(__xludf.dummyfunction("""COMPUTED_VALUE"""),"・駅近
・風呂場、トイレは別々")</f>
        <v>・駅近
・風呂場、トイレは別々</v>
      </c>
      <c r="AE263" s="6" t="str">
        <f aca="false">IFERROR(__xludf.dummyfunction("""COMPUTED_VALUE"""),"確認しました。")</f>
        <v>確認しました。</v>
      </c>
      <c r="AF263" s="6" t="str">
        <f aca="false">IFERROR(__xludf.dummyfunction("""COMPUTED_VALUE"""),"社宅基準の内容について確認しました")</f>
        <v>社宅基準の内容について確認しました</v>
      </c>
      <c r="AG263" s="6" t="str">
        <f aca="false">IFERROR(__xludf.dummyfunction("""COMPUTED_VALUE"""),"入居のしおりの内容についてご確認しました")</f>
        <v>入居のしおりの内容についてご確認しました</v>
      </c>
      <c r="AH263" s="6" t="str">
        <f aca="false">IFERROR(__xludf.dummyfunction("""COMPUTED_VALUE"""),"確認しました")</f>
        <v>確認しました</v>
      </c>
      <c r="AI263" s="6"/>
      <c r="AJ263" s="6" t="str">
        <v/>
      </c>
      <c r="AK263" s="6" t="str">
        <v/>
      </c>
      <c r="AL263" s="6" t="str">
        <v/>
      </c>
      <c r="AM263" s="6" t="str">
        <v/>
      </c>
      <c r="AN263" s="6" t="n">
        <f aca="false">TRUE()</f>
        <v>1</v>
      </c>
    </row>
    <row r="264" customFormat="false" ht="52.5" hidden="false" customHeight="true" outlineLevel="0" collapsed="false">
      <c r="A264" s="6" t="str">
        <f aca="false">IFERROR(__xludf.dummyfunction("""COMPUTED_VALUE"""),"2026/03/04 21:42:18")</f>
        <v>2026/03/04 21:42:18</v>
      </c>
      <c r="B264" s="6"/>
      <c r="C264" s="6" t="str">
        <f aca="false">IFERROR(__xludf.dummyfunction("""COMPUTED_VALUE"""),"70737")</f>
        <v>70737</v>
      </c>
      <c r="D264" s="6"/>
      <c r="E264" s="6"/>
      <c r="F264" s="6"/>
      <c r="G264" s="6" t="str">
        <f aca="false">IFERROR(__xludf.dummyfunction("""COMPUTED_VALUE"""),"2026/03/22")</f>
        <v>2026/03/22</v>
      </c>
      <c r="H264" s="6" t="str">
        <f aca="false">IFERROR(__xludf.dummyfunction("""COMPUTED_VALUE"""),"必要")</f>
        <v>必要</v>
      </c>
      <c r="I264" s="6" t="str">
        <f aca="false">IFERROR(__xludf.dummyfunction("""COMPUTED_VALUE"""),"男性")</f>
        <v>男性</v>
      </c>
      <c r="J264" s="6" t="str">
        <f aca="false">IFERROR(__xludf.dummyfunction("""COMPUTED_VALUE"""),"日本")</f>
        <v>日本</v>
      </c>
      <c r="K264" s="6" t="str">
        <f aca="false">IFERROR(__xludf.dummyfunction("""COMPUTED_VALUE"""),"15")</f>
        <v>15</v>
      </c>
      <c r="L264" s="6" t="str">
        <f aca="false">IFERROR(__xludf.dummyfunction("""COMPUTED_VALUE"""),"レンジ
冷蔵庫単身用
洗濯機")</f>
        <v>レンジ
冷蔵庫単身用
洗濯機</v>
      </c>
      <c r="M264" s="6" t="str">
        <f aca="false">IFERROR(__xludf.dummyfunction("""COMPUTED_VALUE"""),"ベッド
シングル
ゲーミングチェア
机
衣装ケース")</f>
        <v>ベッド
シングル
ゲーミングチェア
机
衣装ケース</v>
      </c>
      <c r="N264" s="6" t="str">
        <f aca="false">IFERROR(__xludf.dummyfunction("""COMPUTED_VALUE"""),"自転車
デスクトップパソコン
衣類")</f>
        <v>自転車
デスクトップパソコン
衣類</v>
      </c>
      <c r="O264" s="6" t="str">
        <f aca="false">IFERROR(__xludf.dummyfunction("""COMPUTED_VALUE"""),"不要")</f>
        <v>不要</v>
      </c>
      <c r="P264" s="6"/>
      <c r="Q264" s="6"/>
      <c r="R264" s="6"/>
      <c r="S264" s="6" t="str">
        <f aca="false">IFERROR(__xludf.dummyfunction("""COMPUTED_VALUE"""),"家具家電なし社宅")</f>
        <v>家具家電なし社宅</v>
      </c>
      <c r="T264" s="6" t="str">
        <f aca="false">IFERROR(__xludf.dummyfunction("""COMPUTED_VALUE"""),"利用しない")</f>
        <v>利用しない</v>
      </c>
      <c r="U264" s="6"/>
      <c r="V264" s="6" t="str">
        <f aca="false">IFERROR(__xludf.dummyfunction("""COMPUTED_VALUE"""),"徒歩")</f>
        <v>徒歩</v>
      </c>
      <c r="W264" s="6"/>
      <c r="X264" s="6" t="str">
        <f aca="false">IFERROR(__xludf.dummyfunction("""COMPUTED_VALUE"""),"実家")</f>
        <v>実家</v>
      </c>
      <c r="Y264" s="6"/>
      <c r="Z264" s="6" t="str">
        <f aca="false">IFERROR(__xludf.dummyfunction("""COMPUTED_VALUE"""),"希望する")</f>
        <v>希望する</v>
      </c>
      <c r="AA264" s="6" t="str">
        <f aca="false">IFERROR(__xludf.dummyfunction("""COMPUTED_VALUE"""),"単身")</f>
        <v>単身</v>
      </c>
      <c r="AB264" s="6"/>
      <c r="AC264" s="6"/>
      <c r="AD264" s="6" t="str">
        <f aca="false">IFERROR(__xludf.dummyfunction("""COMPUTED_VALUE"""),"バストイレ別
ネットを壁に穴あけて自分で開通させられる場所
")</f>
        <v>バストイレ別
ネットを壁に穴あけて自分で開通させられる場所
</v>
      </c>
      <c r="AE264" s="6" t="str">
        <f aca="false">IFERROR(__xludf.dummyfunction("""COMPUTED_VALUE"""),"確認しました。")</f>
        <v>確認しました。</v>
      </c>
      <c r="AF264" s="6" t="str">
        <f aca="false">IFERROR(__xludf.dummyfunction("""COMPUTED_VALUE"""),"社宅基準の内容について確認しました")</f>
        <v>社宅基準の内容について確認しました</v>
      </c>
      <c r="AG264" s="6" t="str">
        <f aca="false">IFERROR(__xludf.dummyfunction("""COMPUTED_VALUE"""),"入居のしおりの内容についてご確認しました")</f>
        <v>入居のしおりの内容についてご確認しました</v>
      </c>
      <c r="AH264" s="6" t="str">
        <f aca="false">IFERROR(__xludf.dummyfunction("""COMPUTED_VALUE"""),"確認しました")</f>
        <v>確認しました</v>
      </c>
      <c r="AI264" s="6"/>
      <c r="AJ264" s="6" t="str">
        <v/>
      </c>
      <c r="AK264" s="6" t="str">
        <v/>
      </c>
      <c r="AL264" s="6" t="str">
        <v/>
      </c>
      <c r="AM264" s="6" t="str">
        <v/>
      </c>
      <c r="AN264" s="6" t="n">
        <f aca="false">FALSE()</f>
        <v>0</v>
      </c>
    </row>
    <row r="265" customFormat="false" ht="52.5" hidden="false" customHeight="true" outlineLevel="0" collapsed="false">
      <c r="A265" s="6" t="str">
        <f aca="false">IFERROR(__xludf.dummyfunction("""COMPUTED_VALUE"""),"2026/03/04 22:04:29")</f>
        <v>2026/03/04 22:04:29</v>
      </c>
      <c r="B265" s="6"/>
      <c r="C265" s="6" t="str">
        <f aca="false">IFERROR(__xludf.dummyfunction("""COMPUTED_VALUE"""),"70862")</f>
        <v>70862</v>
      </c>
      <c r="D265" s="6"/>
      <c r="E265" s="6"/>
      <c r="F265" s="6"/>
      <c r="G265" s="6" t="str">
        <f aca="false">IFERROR(__xludf.dummyfunction("""COMPUTED_VALUE"""),"2026/03/16")</f>
        <v>2026/03/16</v>
      </c>
      <c r="H265" s="6" t="str">
        <f aca="false">IFERROR(__xludf.dummyfunction("""COMPUTED_VALUE"""),"必要")</f>
        <v>必要</v>
      </c>
      <c r="I265" s="6" t="str">
        <f aca="false">IFERROR(__xludf.dummyfunction("""COMPUTED_VALUE"""),"男性")</f>
        <v>男性</v>
      </c>
      <c r="J265" s="6" t="str">
        <f aca="false">IFERROR(__xludf.dummyfunction("""COMPUTED_VALUE"""),"日本")</f>
        <v>日本</v>
      </c>
      <c r="K265" s="6" t="str">
        <f aca="false">IFERROR(__xludf.dummyfunction("""COMPUTED_VALUE"""),"12")</f>
        <v>12</v>
      </c>
      <c r="L265" s="6" t="str">
        <f aca="false">IFERROR(__xludf.dummyfunction("""COMPUTED_VALUE"""),"電子レンジ、掃除機、扇風機、電気ストーブ、炊飯器、モニター、IHコンロ、コピー機")</f>
        <v>電子レンジ、掃除機、扇風機、電気ストーブ、炊飯器、モニター、IHコンロ、コピー機</v>
      </c>
      <c r="M265" s="6" t="str">
        <f aca="false">IFERROR(__xludf.dummyfunction("""COMPUTED_VALUE"""),"机（横幅１ｍ、６０ｃｍ、８０ｃｍ）、棚（４０ｃｍ、３０ｃｍ、８５ｃｍ）、棚（５０ｃｍ、４０ｃｍ、７０ｃｍ）、ベッド（シングル、（パイプ））、布団、折り畳み机、突っ張り棒")</f>
        <v>机（横幅１ｍ、６０ｃｍ、８０ｃｍ）、棚（４０ｃｍ、３０ｃｍ、８５ｃｍ）、棚（５０ｃｍ、４０ｃｍ、７０ｃｍ）、ベッド（シングル、（パイプ））、布団、折り畳み机、突っ張り棒</v>
      </c>
      <c r="N265" s="6" t="str">
        <f aca="false">IFERROR(__xludf.dummyfunction("""COMPUTED_VALUE"""),"自転車、電動ペダル運動器")</f>
        <v>自転車、電動ペダル運動器</v>
      </c>
      <c r="O265" s="6" t="str">
        <f aca="false">IFERROR(__xludf.dummyfunction("""COMPUTED_VALUE"""),"不要")</f>
        <v>不要</v>
      </c>
      <c r="P265" s="6"/>
      <c r="Q265" s="6"/>
      <c r="R265" s="6"/>
      <c r="S265" s="6" t="str">
        <f aca="false">IFERROR(__xludf.dummyfunction("""COMPUTED_VALUE"""),"家具家電なし社宅")</f>
        <v>家具家電なし社宅</v>
      </c>
      <c r="T265" s="6" t="str">
        <f aca="false">IFERROR(__xludf.dummyfunction("""COMPUTED_VALUE"""),"利用しない")</f>
        <v>利用しない</v>
      </c>
      <c r="U265" s="6"/>
      <c r="V265" s="6" t="str">
        <f aca="false">IFERROR(__xludf.dummyfunction("""COMPUTED_VALUE"""),"自転車")</f>
        <v>自転車</v>
      </c>
      <c r="W265" s="6"/>
      <c r="X265" s="6" t="str">
        <f aca="false">IFERROR(__xludf.dummyfunction("""COMPUTED_VALUE"""),"実家")</f>
        <v>実家</v>
      </c>
      <c r="Y265" s="6"/>
      <c r="Z265" s="6" t="str">
        <f aca="false">IFERROR(__xludf.dummyfunction("""COMPUTED_VALUE"""),"希望する")</f>
        <v>希望する</v>
      </c>
      <c r="AA265" s="6" t="str">
        <f aca="false">IFERROR(__xludf.dummyfunction("""COMPUTED_VALUE"""),"単身")</f>
        <v>単身</v>
      </c>
      <c r="AB265" s="6"/>
      <c r="AC265" s="6"/>
      <c r="AD265" s="6"/>
      <c r="AE265" s="6" t="str">
        <f aca="false">IFERROR(__xludf.dummyfunction("""COMPUTED_VALUE"""),"確認しました。")</f>
        <v>確認しました。</v>
      </c>
      <c r="AF265" s="6" t="str">
        <f aca="false">IFERROR(__xludf.dummyfunction("""COMPUTED_VALUE"""),"社宅基準の内容について確認しました")</f>
        <v>社宅基準の内容について確認しました</v>
      </c>
      <c r="AG265" s="6" t="str">
        <f aca="false">IFERROR(__xludf.dummyfunction("""COMPUTED_VALUE"""),"入居のしおりの内容についてご確認しました")</f>
        <v>入居のしおりの内容についてご確認しました</v>
      </c>
      <c r="AH265" s="6" t="str">
        <f aca="false">IFERROR(__xludf.dummyfunction("""COMPUTED_VALUE"""),"確認しました")</f>
        <v>確認しました</v>
      </c>
      <c r="AI265" s="6"/>
      <c r="AJ265" s="6" t="str">
        <v/>
      </c>
      <c r="AK265" s="6" t="str">
        <v/>
      </c>
      <c r="AL265" s="6" t="str">
        <v/>
      </c>
      <c r="AM265" s="6" t="str">
        <v/>
      </c>
      <c r="AN265" s="6" t="n">
        <f aca="false">TRUE()</f>
        <v>1</v>
      </c>
    </row>
    <row r="266" customFormat="false" ht="52.5" hidden="false" customHeight="true" outlineLevel="0" collapsed="false">
      <c r="A266" s="6" t="str">
        <f aca="false">IFERROR(__xludf.dummyfunction("""COMPUTED_VALUE"""),"2026/03/04 22:09:17")</f>
        <v>2026/03/04 22:09:17</v>
      </c>
      <c r="B266" s="6"/>
      <c r="C266" s="6" t="str">
        <f aca="false">IFERROR(__xludf.dummyfunction("""COMPUTED_VALUE"""),"70836")</f>
        <v>70836</v>
      </c>
      <c r="D266" s="6"/>
      <c r="E266" s="6"/>
      <c r="F266" s="6"/>
      <c r="G266" s="6" t="str">
        <f aca="false">IFERROR(__xludf.dummyfunction("""COMPUTED_VALUE"""),"2026/03/30")</f>
        <v>2026/03/30</v>
      </c>
      <c r="H266" s="6" t="str">
        <f aca="false">IFERROR(__xludf.dummyfunction("""COMPUTED_VALUE"""),"必要")</f>
        <v>必要</v>
      </c>
      <c r="I266" s="6" t="str">
        <f aca="false">IFERROR(__xludf.dummyfunction("""COMPUTED_VALUE"""),"男性")</f>
        <v>男性</v>
      </c>
      <c r="J266" s="6" t="str">
        <f aca="false">IFERROR(__xludf.dummyfunction("""COMPUTED_VALUE"""),"日本")</f>
        <v>日本</v>
      </c>
      <c r="K266" s="6" t="str">
        <f aca="false">IFERROR(__xludf.dummyfunction("""COMPUTED_VALUE"""),"6")</f>
        <v>6</v>
      </c>
      <c r="L266" s="6" t="str">
        <f aca="false">IFERROR(__xludf.dummyfunction("""COMPUTED_VALUE"""),"冷蔵庫(単身)、洗濯機、テレビ")</f>
        <v>冷蔵庫(単身)、洗濯機、テレビ</v>
      </c>
      <c r="M266" s="6" t="str">
        <f aca="false">IFERROR(__xludf.dummyfunction("""COMPUTED_VALUE"""),"こたつ")</f>
        <v>こたつ</v>
      </c>
      <c r="N266" s="6"/>
      <c r="O266" s="6" t="str">
        <f aca="false">IFERROR(__xludf.dummyfunction("""COMPUTED_VALUE"""),"不要")</f>
        <v>不要</v>
      </c>
      <c r="P266" s="6"/>
      <c r="Q266" s="6"/>
      <c r="R266" s="6"/>
      <c r="S266" s="6" t="str">
        <f aca="false">IFERROR(__xludf.dummyfunction("""COMPUTED_VALUE"""),"家具家電なし社宅")</f>
        <v>家具家電なし社宅</v>
      </c>
      <c r="T266" s="6" t="str">
        <f aca="false">IFERROR(__xludf.dummyfunction("""COMPUTED_VALUE"""),"利用しない")</f>
        <v>利用しない</v>
      </c>
      <c r="U266" s="6"/>
      <c r="V266" s="6" t="str">
        <f aca="false">IFERROR(__xludf.dummyfunction("""COMPUTED_VALUE"""),"徒歩, 電車")</f>
        <v>徒歩, 電車</v>
      </c>
      <c r="W266" s="6"/>
      <c r="X266" s="6" t="str">
        <f aca="false">IFERROR(__xludf.dummyfunction("""COMPUTED_VALUE"""),"ご自身で契約中の物件")</f>
        <v>ご自身で契約中の物件</v>
      </c>
      <c r="Y266" s="6"/>
      <c r="Z266" s="6" t="str">
        <f aca="false">IFERROR(__xludf.dummyfunction("""COMPUTED_VALUE"""),"希望する")</f>
        <v>希望する</v>
      </c>
      <c r="AA266" s="6" t="str">
        <f aca="false">IFERROR(__xludf.dummyfunction("""COMPUTED_VALUE"""),"単身")</f>
        <v>単身</v>
      </c>
      <c r="AB266" s="6"/>
      <c r="AC266" s="6"/>
      <c r="AD266" s="6" t="str">
        <f aca="false">IFERROR(__xludf.dummyfunction("""COMPUTED_VALUE"""),"引越荷物の場所が変更になる可能性があります。")</f>
        <v>引越荷物の場所が変更になる可能性があります。</v>
      </c>
      <c r="AE266" s="6" t="str">
        <f aca="false">IFERROR(__xludf.dummyfunction("""COMPUTED_VALUE"""),"確認しました。")</f>
        <v>確認しました。</v>
      </c>
      <c r="AF266" s="6" t="str">
        <f aca="false">IFERROR(__xludf.dummyfunction("""COMPUTED_VALUE"""),"社宅基準の内容について確認しました")</f>
        <v>社宅基準の内容について確認しました</v>
      </c>
      <c r="AG266" s="6" t="str">
        <f aca="false">IFERROR(__xludf.dummyfunction("""COMPUTED_VALUE"""),"入居のしおりの内容についてご確認しました")</f>
        <v>入居のしおりの内容についてご確認しました</v>
      </c>
      <c r="AH266" s="6" t="str">
        <f aca="false">IFERROR(__xludf.dummyfunction("""COMPUTED_VALUE"""),"確認しました")</f>
        <v>確認しました</v>
      </c>
      <c r="AI266" s="6"/>
      <c r="AJ266" s="6" t="str">
        <v/>
      </c>
      <c r="AK266" s="6" t="str">
        <v/>
      </c>
      <c r="AL266" s="6" t="str">
        <v/>
      </c>
      <c r="AM266" s="6" t="str">
        <v/>
      </c>
      <c r="AN266" s="6" t="n">
        <f aca="false">TRUE()</f>
        <v>1</v>
      </c>
    </row>
    <row r="267" customFormat="false" ht="52.5" hidden="false" customHeight="true" outlineLevel="0" collapsed="false">
      <c r="A267" s="6" t="str">
        <f aca="false">IFERROR(__xludf.dummyfunction("""COMPUTED_VALUE"""),"2026/03/04 22:23:20")</f>
        <v>2026/03/04 22:23:20</v>
      </c>
      <c r="B267" s="6"/>
      <c r="C267" s="6" t="str">
        <f aca="false">IFERROR(__xludf.dummyfunction("""COMPUTED_VALUE"""),"70862")</f>
        <v>70862</v>
      </c>
      <c r="D267" s="6"/>
      <c r="E267" s="6"/>
      <c r="F267" s="6"/>
      <c r="G267" s="6" t="str">
        <f aca="false">IFERROR(__xludf.dummyfunction("""COMPUTED_VALUE"""),"2026/03/13")</f>
        <v>2026/03/13</v>
      </c>
      <c r="H267" s="6" t="str">
        <f aca="false">IFERROR(__xludf.dummyfunction("""COMPUTED_VALUE"""),"必要")</f>
        <v>必要</v>
      </c>
      <c r="I267" s="6" t="str">
        <f aca="false">IFERROR(__xludf.dummyfunction("""COMPUTED_VALUE"""),"男性")</f>
        <v>男性</v>
      </c>
      <c r="J267" s="6" t="str">
        <f aca="false">IFERROR(__xludf.dummyfunction("""COMPUTED_VALUE"""),"日本")</f>
        <v>日本</v>
      </c>
      <c r="K267" s="6" t="str">
        <f aca="false">IFERROR(__xludf.dummyfunction("""COMPUTED_VALUE"""),"12")</f>
        <v>12</v>
      </c>
      <c r="L267" s="6" t="str">
        <f aca="false">IFERROR(__xludf.dummyfunction("""COMPUTED_VALUE"""),"掃除機、IHコンロ、扇風機、モニター、プリンター、炊飯器、電子レンジ、電気ストーブ")</f>
        <v>掃除機、IHコンロ、扇風機、モニター、プリンター、炊飯器、電子レンジ、電気ストーブ</v>
      </c>
      <c r="M267" s="6" t="str">
        <f aca="false">IFERROR(__xludf.dummyfunction("""COMPUTED_VALUE"""),"机（１００，６０，８０）、棚（４０，４５，７０）、棚（３０，４０，８０）、突っ張り棒、突っ張り棒につける付属品、ベッド（シングル（パイプ））、椅子、折り畳み机、布団一式、カーペット、板")</f>
        <v>机（１００，６０，８０）、棚（４０，４５，７０）、棚（３０，４０，８０）、突っ張り棒、突っ張り棒につける付属品、ベッド（シングル（パイプ））、椅子、折り畳み机、布団一式、カーペット、板</v>
      </c>
      <c r="N267" s="6" t="str">
        <f aca="false">IFERROR(__xludf.dummyfunction("""COMPUTED_VALUE"""),"自転車、ペダル漕ぎトレーニング機器")</f>
        <v>自転車、ペダル漕ぎトレーニング機器</v>
      </c>
      <c r="O267" s="6" t="str">
        <f aca="false">IFERROR(__xludf.dummyfunction("""COMPUTED_VALUE"""),"不要")</f>
        <v>不要</v>
      </c>
      <c r="P267" s="6"/>
      <c r="Q267" s="6"/>
      <c r="R267" s="6"/>
      <c r="S267" s="6" t="str">
        <f aca="false">IFERROR(__xludf.dummyfunction("""COMPUTED_VALUE"""),"家具家電なし社宅")</f>
        <v>家具家電なし社宅</v>
      </c>
      <c r="T267" s="6" t="str">
        <f aca="false">IFERROR(__xludf.dummyfunction("""COMPUTED_VALUE"""),"利用しない")</f>
        <v>利用しない</v>
      </c>
      <c r="U267" s="6"/>
      <c r="V267" s="6" t="str">
        <f aca="false">IFERROR(__xludf.dummyfunction("""COMPUTED_VALUE"""),"自転車")</f>
        <v>自転車</v>
      </c>
      <c r="W267" s="6"/>
      <c r="X267" s="6" t="str">
        <f aca="false">IFERROR(__xludf.dummyfunction("""COMPUTED_VALUE"""),"実家")</f>
        <v>実家</v>
      </c>
      <c r="Y267" s="6"/>
      <c r="Z267" s="6" t="str">
        <f aca="false">IFERROR(__xludf.dummyfunction("""COMPUTED_VALUE"""),"希望する")</f>
        <v>希望する</v>
      </c>
      <c r="AA267" s="6" t="str">
        <f aca="false">IFERROR(__xludf.dummyfunction("""COMPUTED_VALUE"""),"単身")</f>
        <v>単身</v>
      </c>
      <c r="AB267" s="6"/>
      <c r="AC267" s="6"/>
      <c r="AD267" s="6" t="str">
        <f aca="false">IFERROR(__xludf.dummyfunction("""COMPUTED_VALUE"""),"壁が厚いところですと幸いです。また、候補地も５つ以上用意してくださると幸いです。")</f>
        <v>壁が厚いところですと幸いです。また、候補地も５つ以上用意してくださると幸いです。</v>
      </c>
      <c r="AE267" s="6" t="str">
        <f aca="false">IFERROR(__xludf.dummyfunction("""COMPUTED_VALUE"""),"確認しました。")</f>
        <v>確認しました。</v>
      </c>
      <c r="AF267" s="6" t="str">
        <f aca="false">IFERROR(__xludf.dummyfunction("""COMPUTED_VALUE"""),"社宅基準の内容について確認しました")</f>
        <v>社宅基準の内容について確認しました</v>
      </c>
      <c r="AG267" s="6" t="str">
        <f aca="false">IFERROR(__xludf.dummyfunction("""COMPUTED_VALUE"""),"入居のしおりの内容についてご確認しました")</f>
        <v>入居のしおりの内容についてご確認しました</v>
      </c>
      <c r="AH267" s="6" t="str">
        <f aca="false">IFERROR(__xludf.dummyfunction("""COMPUTED_VALUE"""),"確認しました")</f>
        <v>確認しました</v>
      </c>
      <c r="AI267" s="6"/>
      <c r="AJ267" s="6" t="str">
        <v/>
      </c>
      <c r="AK267" s="6" t="str">
        <v/>
      </c>
      <c r="AL267" s="6" t="str">
        <v/>
      </c>
      <c r="AM267" s="6" t="str">
        <v/>
      </c>
      <c r="AN267" s="6" t="n">
        <f aca="false">FALSE()</f>
        <v>0</v>
      </c>
    </row>
    <row r="268" customFormat="false" ht="52.5" hidden="false" customHeight="true" outlineLevel="0" collapsed="false">
      <c r="A268" s="6" t="str">
        <f aca="false">IFERROR(__xludf.dummyfunction("""COMPUTED_VALUE"""),"2026/03/04 22:39:02")</f>
        <v>2026/03/04 22:39:02</v>
      </c>
      <c r="B268" s="6"/>
      <c r="C268" s="6" t="str">
        <f aca="false">IFERROR(__xludf.dummyfunction("""COMPUTED_VALUE"""),"70852")</f>
        <v>70852</v>
      </c>
      <c r="D268" s="6"/>
      <c r="E268" s="6"/>
      <c r="F268" s="6"/>
      <c r="G268" s="6" t="str">
        <f aca="false">IFERROR(__xludf.dummyfunction("""COMPUTED_VALUE"""),"2026/03/28")</f>
        <v>2026/03/28</v>
      </c>
      <c r="H268" s="6" t="str">
        <f aca="false">IFERROR(__xludf.dummyfunction("""COMPUTED_VALUE"""),"必要")</f>
        <v>必要</v>
      </c>
      <c r="I268" s="6" t="str">
        <f aca="false">IFERROR(__xludf.dummyfunction("""COMPUTED_VALUE"""),"男性")</f>
        <v>男性</v>
      </c>
      <c r="J268" s="6" t="str">
        <f aca="false">IFERROR(__xludf.dummyfunction("""COMPUTED_VALUE"""),"日本")</f>
        <v>日本</v>
      </c>
      <c r="K268" s="6" t="str">
        <f aca="false">IFERROR(__xludf.dummyfunction("""COMPUTED_VALUE"""),"20")</f>
        <v>20</v>
      </c>
      <c r="L268" s="6" t="str">
        <f aca="false">IFERROR(__xludf.dummyfunction("""COMPUTED_VALUE"""),"テレビ(32型)、冷蔵庫(単身用135L)、洗濯機(45L)、ガスコンロ、電子レンジ、パソコン×2、PCモニター×2、ウォーターサーバー、掃除機、オーブントースター、炊飯器、シーリングライト、レコーダー、")</f>
        <v>テレビ(32型)、冷蔵庫(単身用135L)、洗濯機(45L)、ガスコンロ、電子レンジ、パソコン×2、PCモニター×2、ウォーターサーバー、掃除機、オーブントースター、炊飯器、シーリングライト、レコーダー、</v>
      </c>
      <c r="M268" s="6" t="str">
        <f aca="false">IFERROR(__xludf.dummyfunction("""COMPUTED_VALUE"""),"L字デスク(150奥行き x 150幅 x 70高さ cm)、ベッド(シングル)、ステンレスラック×2、本棚、椅子")</f>
        <v>L字デスク(150奥行き x 150幅 x 70高さ cm)、ベッド(シングル)、ステンレスラック×2、本棚、椅子</v>
      </c>
      <c r="N268" s="6" t="str">
        <f aca="false">IFERROR(__xludf.dummyfunction("""COMPUTED_VALUE"""),"自転車、収納ボックス")</f>
        <v>自転車、収納ボックス</v>
      </c>
      <c r="O268" s="6" t="str">
        <f aca="false">IFERROR(__xludf.dummyfunction("""COMPUTED_VALUE"""),"不要")</f>
        <v>不要</v>
      </c>
      <c r="P268" s="6"/>
      <c r="Q268" s="6"/>
      <c r="R268" s="6"/>
      <c r="S268" s="6" t="str">
        <f aca="false">IFERROR(__xludf.dummyfunction("""COMPUTED_VALUE"""),"家具家電なし社宅")</f>
        <v>家具家電なし社宅</v>
      </c>
      <c r="T268" s="6" t="str">
        <f aca="false">IFERROR(__xludf.dummyfunction("""COMPUTED_VALUE"""),"利用しない")</f>
        <v>利用しない</v>
      </c>
      <c r="U268" s="6"/>
      <c r="V268" s="6" t="str">
        <f aca="false">IFERROR(__xludf.dummyfunction("""COMPUTED_VALUE"""),"徒歩, 自転車")</f>
        <v>徒歩, 自転車</v>
      </c>
      <c r="W268" s="6"/>
      <c r="X268" s="6" t="str">
        <f aca="false">IFERROR(__xludf.dummyfunction("""COMPUTED_VALUE"""),"株式会社ビーネックステクノロジーズの社宅")</f>
        <v>株式会社ビーネックステクノロジーズの社宅</v>
      </c>
      <c r="Y268" s="6" t="str">
        <f aca="false">IFERROR(__xludf.dummyfunction("""COMPUTED_VALUE"""),"利用なし")</f>
        <v>利用なし</v>
      </c>
      <c r="Z268" s="6" t="str">
        <f aca="false">IFERROR(__xludf.dummyfunction("""COMPUTED_VALUE"""),"希望しない")</f>
        <v>希望しない</v>
      </c>
      <c r="AA268" s="6" t="str">
        <f aca="false">IFERROR(__xludf.dummyfunction("""COMPUTED_VALUE"""),"単身")</f>
        <v>単身</v>
      </c>
      <c r="AB268" s="6"/>
      <c r="AC268" s="6"/>
      <c r="AD268" s="6" t="str">
        <f aca="false">IFERROR(__xludf.dummyfunction("""COMPUTED_VALUE"""),"ネット無料物件を希望します。")</f>
        <v>ネット無料物件を希望します。</v>
      </c>
      <c r="AE268" s="6" t="str">
        <f aca="false">IFERROR(__xludf.dummyfunction("""COMPUTED_VALUE"""),"確認しました。")</f>
        <v>確認しました。</v>
      </c>
      <c r="AF268" s="6" t="str">
        <f aca="false">IFERROR(__xludf.dummyfunction("""COMPUTED_VALUE"""),"社宅基準の内容について確認しました")</f>
        <v>社宅基準の内容について確認しました</v>
      </c>
      <c r="AG268" s="6" t="str">
        <f aca="false">IFERROR(__xludf.dummyfunction("""COMPUTED_VALUE"""),"入居のしおりの内容についてご確認しました")</f>
        <v>入居のしおりの内容についてご確認しました</v>
      </c>
      <c r="AH268" s="6" t="str">
        <f aca="false">IFERROR(__xludf.dummyfunction("""COMPUTED_VALUE"""),"確認しました")</f>
        <v>確認しました</v>
      </c>
      <c r="AI268" s="6"/>
      <c r="AJ268" s="6" t="str">
        <v/>
      </c>
      <c r="AK268" s="6" t="str">
        <v/>
      </c>
      <c r="AL268" s="6" t="str">
        <v/>
      </c>
      <c r="AM268" s="6" t="str">
        <v/>
      </c>
      <c r="AN268" s="6" t="n">
        <f aca="false">TRUE()</f>
        <v>1</v>
      </c>
    </row>
    <row r="269" customFormat="false" ht="52.5" hidden="false" customHeight="true" outlineLevel="0" collapsed="false">
      <c r="A269" s="6" t="str">
        <f aca="false">IFERROR(__xludf.dummyfunction("""COMPUTED_VALUE"""),"2026/03/05 0:09:27")</f>
        <v>2026/03/05 0:09:27</v>
      </c>
      <c r="B269" s="6"/>
      <c r="C269" s="6" t="str">
        <f aca="false">IFERROR(__xludf.dummyfunction("""COMPUTED_VALUE"""),"70808")</f>
        <v>70808</v>
      </c>
      <c r="D269" s="6"/>
      <c r="E269" s="6"/>
      <c r="F269" s="6"/>
      <c r="G269" s="6" t="str">
        <f aca="false">IFERROR(__xludf.dummyfunction("""COMPUTED_VALUE"""),"2026/03/30")</f>
        <v>2026/03/30</v>
      </c>
      <c r="H269" s="6" t="str">
        <f aca="false">IFERROR(__xludf.dummyfunction("""COMPUTED_VALUE"""),"必要")</f>
        <v>必要</v>
      </c>
      <c r="I269" s="6" t="str">
        <f aca="false">IFERROR(__xludf.dummyfunction("""COMPUTED_VALUE"""),"男性")</f>
        <v>男性</v>
      </c>
      <c r="J269" s="6" t="str">
        <f aca="false">IFERROR(__xludf.dummyfunction("""COMPUTED_VALUE"""),"ベトナム")</f>
        <v>ベトナム</v>
      </c>
      <c r="K269" s="6" t="str">
        <f aca="false">IFERROR(__xludf.dummyfunction("""COMPUTED_VALUE"""),"18")</f>
        <v>18</v>
      </c>
      <c r="L269" s="6" t="str">
        <f aca="false">IFERROR(__xludf.dummyfunction("""COMPUTED_VALUE"""),"冷蔵庫(単身2ドア)、洗濯機(50cmX50cmX100cm)、ガスコンロ(LP)、電子レンジ")</f>
        <v>冷蔵庫(単身2ドア)、洗濯機(50cmX50cmX100cm)、ガスコンロ(LP)、電子レンジ</v>
      </c>
      <c r="M269" s="6" t="str">
        <f aca="false">IFERROR(__xludf.dummyfunction("""COMPUTED_VALUE"""),"オフィスチェアとテーブルはありますが、分解して箱に入れておきます。")</f>
        <v>オフィスチェアとテーブルはありますが、分解して箱に入れておきます。</v>
      </c>
      <c r="N269" s="6" t="str">
        <f aca="false">IFERROR(__xludf.dummyfunction("""COMPUTED_VALUE"""),"自転車1台")</f>
        <v>自転車1台</v>
      </c>
      <c r="O269" s="6" t="str">
        <f aca="false">IFERROR(__xludf.dummyfunction("""COMPUTED_VALUE"""),"不要")</f>
        <v>不要</v>
      </c>
      <c r="P269" s="6"/>
      <c r="Q269" s="6"/>
      <c r="R269" s="6"/>
      <c r="S269" s="6" t="str">
        <f aca="false">IFERROR(__xludf.dummyfunction("""COMPUTED_VALUE"""),"家具家電なし社宅")</f>
        <v>家具家電なし社宅</v>
      </c>
      <c r="T269" s="6" t="str">
        <f aca="false">IFERROR(__xludf.dummyfunction("""COMPUTED_VALUE"""),"利用しない")</f>
        <v>利用しない</v>
      </c>
      <c r="U269" s="6"/>
      <c r="V269" s="6" t="str">
        <f aca="false">IFERROR(__xludf.dummyfunction("""COMPUTED_VALUE"""),"徒歩, 自転車, 社用バス")</f>
        <v>徒歩, 自転車, 社用バス</v>
      </c>
      <c r="W269" s="6"/>
      <c r="X269" s="6" t="str">
        <f aca="false">IFERROR(__xludf.dummyfunction("""COMPUTED_VALUE"""),"株式会社ビーネックステクノロジーズの社宅")</f>
        <v>株式会社ビーネックステクノロジーズの社宅</v>
      </c>
      <c r="Y269" s="6" t="str">
        <f aca="false">IFERROR(__xludf.dummyfunction("""COMPUTED_VALUE"""),"利用なし")</f>
        <v>利用なし</v>
      </c>
      <c r="Z269" s="6" t="str">
        <f aca="false">IFERROR(__xludf.dummyfunction("""COMPUTED_VALUE"""),"希望しない")</f>
        <v>希望しない</v>
      </c>
      <c r="AA269" s="6" t="str">
        <f aca="false">IFERROR(__xludf.dummyfunction("""COMPUTED_VALUE"""),"単身")</f>
        <v>単身</v>
      </c>
      <c r="AB269" s="6"/>
      <c r="AC269" s="6"/>
      <c r="AD269" s="6"/>
      <c r="AE269" s="6" t="str">
        <f aca="false">IFERROR(__xludf.dummyfunction("""COMPUTED_VALUE"""),"確認しました。")</f>
        <v>確認しました。</v>
      </c>
      <c r="AF269" s="6" t="str">
        <f aca="false">IFERROR(__xludf.dummyfunction("""COMPUTED_VALUE"""),"社宅基準の内容について確認しました")</f>
        <v>社宅基準の内容について確認しました</v>
      </c>
      <c r="AG269" s="6" t="str">
        <f aca="false">IFERROR(__xludf.dummyfunction("""COMPUTED_VALUE"""),"入居のしおりの内容についてご確認しました")</f>
        <v>入居のしおりの内容についてご確認しました</v>
      </c>
      <c r="AH269" s="6" t="str">
        <f aca="false">IFERROR(__xludf.dummyfunction("""COMPUTED_VALUE"""),"確認しました")</f>
        <v>確認しました</v>
      </c>
      <c r="AI269" s="6"/>
      <c r="AJ269" s="6" t="str">
        <v/>
      </c>
      <c r="AK269" s="6" t="str">
        <v/>
      </c>
      <c r="AL269" s="6" t="str">
        <v/>
      </c>
      <c r="AM269" s="6" t="str">
        <v/>
      </c>
      <c r="AN269" s="6" t="n">
        <f aca="false">TRUE()</f>
        <v>1</v>
      </c>
    </row>
    <row r="270" customFormat="false" ht="52.5" hidden="false" customHeight="true" outlineLevel="0" collapsed="false">
      <c r="A270" s="6" t="str">
        <f aca="false">IFERROR(__xludf.dummyfunction("""COMPUTED_VALUE"""),"2026/03/05 1:18:31")</f>
        <v>2026/03/05 1:18:31</v>
      </c>
      <c r="B270" s="6"/>
      <c r="C270" s="6" t="str">
        <f aca="false">IFERROR(__xludf.dummyfunction("""COMPUTED_VALUE"""),"70708")</f>
        <v>70708</v>
      </c>
      <c r="D270" s="6"/>
      <c r="E270" s="6"/>
      <c r="F270" s="6"/>
      <c r="G270" s="6" t="str">
        <f aca="false">IFERROR(__xludf.dummyfunction("""COMPUTED_VALUE"""),"2026/03/25")</f>
        <v>2026/03/25</v>
      </c>
      <c r="H270" s="6" t="str">
        <f aca="false">IFERROR(__xludf.dummyfunction("""COMPUTED_VALUE"""),"必要")</f>
        <v>必要</v>
      </c>
      <c r="I270" s="6" t="str">
        <f aca="false">IFERROR(__xludf.dummyfunction("""COMPUTED_VALUE"""),"男性")</f>
        <v>男性</v>
      </c>
      <c r="J270" s="6" t="str">
        <f aca="false">IFERROR(__xludf.dummyfunction("""COMPUTED_VALUE"""),"日本")</f>
        <v>日本</v>
      </c>
      <c r="K270" s="6" t="str">
        <f aca="false">IFERROR(__xludf.dummyfunction("""COMPUTED_VALUE"""),"20")</f>
        <v>20</v>
      </c>
      <c r="L270" s="6" t="str">
        <f aca="false">IFERROR(__xludf.dummyfunction("""COMPUTED_VALUE"""),"冷蔵庫(単身用)、電子レンジ、電子ケトル")</f>
        <v>冷蔵庫(単身用)、電子レンジ、電子ケトル</v>
      </c>
      <c r="M270" s="6" t="str">
        <f aca="false">IFERROR(__xludf.dummyfunction("""COMPUTED_VALUE"""),"机(2mx1mx1.2m)x2個、チェア(0.7mx1.2mx1.3m)")</f>
        <v>机(2mx1mx1.2m)x2個、チェア(0.7mx1.2mx1.3m)</v>
      </c>
      <c r="N270" s="6"/>
      <c r="O270" s="6" t="str">
        <f aca="false">IFERROR(__xludf.dummyfunction("""COMPUTED_VALUE"""),"不要")</f>
        <v>不要</v>
      </c>
      <c r="P270" s="6"/>
      <c r="Q270" s="6"/>
      <c r="R270" s="6"/>
      <c r="S270" s="6" t="str">
        <f aca="false">IFERROR(__xludf.dummyfunction("""COMPUTED_VALUE"""),"家具家電付き社宅")</f>
        <v>家具家電付き社宅</v>
      </c>
      <c r="T270" s="6" t="str">
        <f aca="false">IFERROR(__xludf.dummyfunction("""COMPUTED_VALUE"""),"利用しない")</f>
        <v>利用しない</v>
      </c>
      <c r="U270" s="6"/>
      <c r="V270" s="6" t="str">
        <f aca="false">IFERROR(__xludf.dummyfunction("""COMPUTED_VALUE"""),"徒歩")</f>
        <v>徒歩</v>
      </c>
      <c r="W270" s="6"/>
      <c r="X270" s="6" t="str">
        <f aca="false">IFERROR(__xludf.dummyfunction("""COMPUTED_VALUE"""),"ご自身で契約中の物件")</f>
        <v>ご自身で契約中の物件</v>
      </c>
      <c r="Y270" s="6"/>
      <c r="Z270" s="6" t="str">
        <f aca="false">IFERROR(__xludf.dummyfunction("""COMPUTED_VALUE"""),"希望する")</f>
        <v>希望する</v>
      </c>
      <c r="AA270" s="6" t="str">
        <f aca="false">IFERROR(__xludf.dummyfunction("""COMPUTED_VALUE"""),"単身")</f>
        <v>単身</v>
      </c>
      <c r="AB270" s="6"/>
      <c r="AC270" s="6"/>
      <c r="AD270" s="6" t="str">
        <f aca="false">IFERROR(__xludf.dummyfunction("""COMPUTED_VALUE"""),"可能であれば、虫の発生を避ける観点から比較的高い階層の住戸を希望しております。また、生活音の影響が少ない鉄筋コンクリート（RC造またはSRC造）などの構造で、角部屋など隣接住戸が少ない住戸の物件を希望しております。
なお、現在居住している物件で虫が多く発生しているため、新居への持ち込みを防ぐ目的で、引越しの際に室内および引越しトラック内にて燻煙（くんえん）タイプの殺虫剤（主にゴキブリ対策）を使用させていただくことは可能でしょうか。問題がある場合は、指示に従って対応いたします。")</f>
        <v>可能であれば、虫の発生を避ける観点から比較的高い階層の住戸を希望しております。また、生活音の影響が少ない鉄筋コンクリート（RC造またはSRC造）などの構造で、角部屋など隣接住戸が少ない住戸の物件を希望しております。
なお、現在居住している物件で虫が多く発生しているため、新居への持ち込みを防ぐ目的で、引越しの際に室内および引越しトラック内にて燻煙（くんえん）タイプの殺虫剤（主にゴキブリ対策）を使用させていただくことは可能でしょうか。問題がある場合は、指示に従って対応いたします。</v>
      </c>
      <c r="AE270" s="6" t="str">
        <f aca="false">IFERROR(__xludf.dummyfunction("""COMPUTED_VALUE"""),"確認しました。")</f>
        <v>確認しました。</v>
      </c>
      <c r="AF270" s="6" t="str">
        <f aca="false">IFERROR(__xludf.dummyfunction("""COMPUTED_VALUE"""),"社宅基準の内容について確認しました")</f>
        <v>社宅基準の内容について確認しました</v>
      </c>
      <c r="AG270" s="6" t="str">
        <f aca="false">IFERROR(__xludf.dummyfunction("""COMPUTED_VALUE"""),"入居のしおりの内容についてご確認しました")</f>
        <v>入居のしおりの内容についてご確認しました</v>
      </c>
      <c r="AH270" s="6" t="str">
        <f aca="false">IFERROR(__xludf.dummyfunction("""COMPUTED_VALUE"""),"確認しました")</f>
        <v>確認しました</v>
      </c>
      <c r="AI270" s="6"/>
      <c r="AJ270" s="6" t="str">
        <v/>
      </c>
      <c r="AK270" s="6" t="str">
        <v/>
      </c>
      <c r="AL270" s="6" t="str">
        <v/>
      </c>
      <c r="AM270" s="6" t="str">
        <v/>
      </c>
      <c r="AN270" s="6" t="n">
        <f aca="false">FALSE()</f>
        <v>0</v>
      </c>
    </row>
    <row r="271" customFormat="false" ht="52.5" hidden="false" customHeight="true" outlineLevel="0" collapsed="false">
      <c r="A271" s="6" t="str">
        <f aca="false">IFERROR(__xludf.dummyfunction("""COMPUTED_VALUE"""),"2026/03/05 10:21:00")</f>
        <v>2026/03/05 10:21:00</v>
      </c>
      <c r="B271" s="6"/>
      <c r="C271" s="6" t="str">
        <f aca="false">IFERROR(__xludf.dummyfunction("""COMPUTED_VALUE"""),"70873")</f>
        <v>70873</v>
      </c>
      <c r="D271" s="6"/>
      <c r="E271" s="6"/>
      <c r="F271" s="6"/>
      <c r="G271" s="6" t="str">
        <f aca="false">IFERROR(__xludf.dummyfunction("""COMPUTED_VALUE"""),"2026/03/28")</f>
        <v>2026/03/28</v>
      </c>
      <c r="H271" s="6" t="str">
        <f aca="false">IFERROR(__xludf.dummyfunction("""COMPUTED_VALUE"""),"必要")</f>
        <v>必要</v>
      </c>
      <c r="I271" s="6" t="str">
        <f aca="false">IFERROR(__xludf.dummyfunction("""COMPUTED_VALUE"""),"女性")</f>
        <v>女性</v>
      </c>
      <c r="J271" s="6" t="str">
        <f aca="false">IFERROR(__xludf.dummyfunction("""COMPUTED_VALUE"""),"日本")</f>
        <v>日本</v>
      </c>
      <c r="K271" s="6" t="str">
        <f aca="false">IFERROR(__xludf.dummyfunction("""COMPUTED_VALUE"""),"20")</f>
        <v>20</v>
      </c>
      <c r="L271" s="6" t="str">
        <f aca="false">IFERROR(__xludf.dummyfunction("""COMPUTED_VALUE"""),"冷蔵庫単身用 電子レンジ 炊飯器 オーブントースター 洗濯機 ウォーターサーバー")</f>
        <v>冷蔵庫単身用 電子レンジ 炊飯器 オーブントースター 洗濯機 ウォーターサーバー</v>
      </c>
      <c r="M271" s="6" t="str">
        <f aca="false">IFERROR(__xludf.dummyfunction("""COMPUTED_VALUE"""),"ベッドシングル タンス3つ 横60センチ 横90センチ 横75センチ  折りたたみ机90センチ")</f>
        <v>ベッドシングル タンス3つ 横60センチ 横90センチ 横75センチ  折りたたみ机90センチ</v>
      </c>
      <c r="N271" s="6"/>
      <c r="O271" s="6" t="str">
        <f aca="false">IFERROR(__xludf.dummyfunction("""COMPUTED_VALUE"""),"不要")</f>
        <v>不要</v>
      </c>
      <c r="P271" s="6"/>
      <c r="Q271" s="6"/>
      <c r="R271" s="6"/>
      <c r="S271" s="6" t="str">
        <f aca="false">IFERROR(__xludf.dummyfunction("""COMPUTED_VALUE"""),"家具家電なし社宅")</f>
        <v>家具家電なし社宅</v>
      </c>
      <c r="T271" s="6" t="str">
        <f aca="false">IFERROR(__xludf.dummyfunction("""COMPUTED_VALUE"""),"利用しない")</f>
        <v>利用しない</v>
      </c>
      <c r="U271" s="6"/>
      <c r="V271" s="6" t="str">
        <f aca="false">IFERROR(__xludf.dummyfunction("""COMPUTED_VALUE"""),"徒歩")</f>
        <v>徒歩</v>
      </c>
      <c r="W271" s="6"/>
      <c r="X271" s="6" t="str">
        <f aca="false">IFERROR(__xludf.dummyfunction("""COMPUTED_VALUE"""),"株式会社ビーネックステクノロジーズの社宅")</f>
        <v>株式会社ビーネックステクノロジーズの社宅</v>
      </c>
      <c r="Y271" s="6" t="str">
        <f aca="false">IFERROR(__xludf.dummyfunction("""COMPUTED_VALUE"""),"利用なし")</f>
        <v>利用なし</v>
      </c>
      <c r="Z271" s="6" t="str">
        <f aca="false">IFERROR(__xludf.dummyfunction("""COMPUTED_VALUE"""),"希望する")</f>
        <v>希望する</v>
      </c>
      <c r="AA271" s="6" t="str">
        <f aca="false">IFERROR(__xludf.dummyfunction("""COMPUTED_VALUE"""),"単身")</f>
        <v>単身</v>
      </c>
      <c r="AB271" s="6"/>
      <c r="AC271" s="6"/>
      <c r="AD271" s="6" t="str">
        <f aca="false">IFERROR(__xludf.dummyfunction("""COMPUTED_VALUE"""),"3点ユニットは避けたいです
オートロックあり 最下層の部屋は避けたい。")</f>
        <v>3点ユニットは避けたいです
オートロックあり 最下層の部屋は避けたい。</v>
      </c>
      <c r="AE271" s="6" t="str">
        <f aca="false">IFERROR(__xludf.dummyfunction("""COMPUTED_VALUE"""),"確認しました。")</f>
        <v>確認しました。</v>
      </c>
      <c r="AF271" s="6" t="str">
        <f aca="false">IFERROR(__xludf.dummyfunction("""COMPUTED_VALUE"""),"社宅基準の内容について確認しました")</f>
        <v>社宅基準の内容について確認しました</v>
      </c>
      <c r="AG271" s="6" t="str">
        <f aca="false">IFERROR(__xludf.dummyfunction("""COMPUTED_VALUE"""),"入居のしおりの内容についてご確認しました")</f>
        <v>入居のしおりの内容についてご確認しました</v>
      </c>
      <c r="AH271" s="6" t="str">
        <f aca="false">IFERROR(__xludf.dummyfunction("""COMPUTED_VALUE"""),"確認しました")</f>
        <v>確認しました</v>
      </c>
      <c r="AI271" s="6"/>
      <c r="AJ271" s="6" t="str">
        <v/>
      </c>
      <c r="AK271" s="6" t="str">
        <v/>
      </c>
      <c r="AL271" s="6" t="str">
        <v/>
      </c>
      <c r="AM271" s="6" t="str">
        <v/>
      </c>
      <c r="AN271" s="6" t="n">
        <f aca="false">FALSE()</f>
        <v>0</v>
      </c>
    </row>
    <row r="272" customFormat="false" ht="52.5" hidden="false" customHeight="true" outlineLevel="0" collapsed="false">
      <c r="A272" s="6" t="str">
        <f aca="false">IFERROR(__xludf.dummyfunction("""COMPUTED_VALUE"""),"2026/03/05 14:39:28")</f>
        <v>2026/03/05 14:39:28</v>
      </c>
      <c r="B272" s="6"/>
      <c r="C272" s="6" t="str">
        <f aca="false">IFERROR(__xludf.dummyfunction("""COMPUTED_VALUE"""),"70800")</f>
        <v>70800</v>
      </c>
      <c r="D272" s="6"/>
      <c r="E272" s="6"/>
      <c r="F272" s="6"/>
      <c r="G272" s="6" t="str">
        <f aca="false">IFERROR(__xludf.dummyfunction("""COMPUTED_VALUE"""),"2026/04/01")</f>
        <v>2026/04/01</v>
      </c>
      <c r="H272" s="6" t="str">
        <f aca="false">IFERROR(__xludf.dummyfunction("""COMPUTED_VALUE"""),"必要")</f>
        <v>必要</v>
      </c>
      <c r="I272" s="6" t="str">
        <f aca="false">IFERROR(__xludf.dummyfunction("""COMPUTED_VALUE"""),"男性")</f>
        <v>男性</v>
      </c>
      <c r="J272" s="6" t="str">
        <f aca="false">IFERROR(__xludf.dummyfunction("""COMPUTED_VALUE"""),"日本")</f>
        <v>日本</v>
      </c>
      <c r="K272" s="6" t="str">
        <f aca="false">IFERROR(__xludf.dummyfunction("""COMPUTED_VALUE"""),"5")</f>
        <v>5</v>
      </c>
      <c r="L272" s="6" t="str">
        <f aca="false">IFERROR(__xludf.dummyfunction("""COMPUTED_VALUE"""),"デスクトップパソコン")</f>
        <v>デスクトップパソコン</v>
      </c>
      <c r="M272" s="6" t="str">
        <f aca="false">IFERROR(__xludf.dummyfunction("""COMPUTED_VALUE"""),"特になし")</f>
        <v>特になし</v>
      </c>
      <c r="N272" s="6" t="str">
        <f aca="false">IFERROR(__xludf.dummyfunction("""COMPUTED_VALUE"""),"洋服")</f>
        <v>洋服</v>
      </c>
      <c r="O272" s="6" t="str">
        <f aca="false">IFERROR(__xludf.dummyfunction("""COMPUTED_VALUE"""),"不要")</f>
        <v>不要</v>
      </c>
      <c r="P272" s="6"/>
      <c r="Q272" s="6"/>
      <c r="R272" s="6"/>
      <c r="S272" s="6" t="str">
        <f aca="false">IFERROR(__xludf.dummyfunction("""COMPUTED_VALUE"""),"家具家電付き社宅")</f>
        <v>家具家電付き社宅</v>
      </c>
      <c r="T272" s="6" t="str">
        <f aca="false">IFERROR(__xludf.dummyfunction("""COMPUTED_VALUE"""),"利用しない")</f>
        <v>利用しない</v>
      </c>
      <c r="U272" s="6"/>
      <c r="V272" s="6" t="str">
        <f aca="false">IFERROR(__xludf.dummyfunction("""COMPUTED_VALUE"""),"社用バス")</f>
        <v>社用バス</v>
      </c>
      <c r="W272" s="6"/>
      <c r="X272" s="6" t="str">
        <f aca="false">IFERROR(__xludf.dummyfunction("""COMPUTED_VALUE"""),"実家")</f>
        <v>実家</v>
      </c>
      <c r="Y272" s="6"/>
      <c r="Z272" s="6" t="str">
        <f aca="false">IFERROR(__xludf.dummyfunction("""COMPUTED_VALUE"""),"希望する")</f>
        <v>希望する</v>
      </c>
      <c r="AA272" s="6" t="str">
        <f aca="false">IFERROR(__xludf.dummyfunction("""COMPUTED_VALUE"""),"単身")</f>
        <v>単身</v>
      </c>
      <c r="AB272" s="6"/>
      <c r="AC272" s="6"/>
      <c r="AD272" s="6" t="str">
        <f aca="false">IFERROR(__xludf.dummyfunction("""COMPUTED_VALUE"""),"出来れば木造以外が良いです")</f>
        <v>出来れば木造以外が良いです</v>
      </c>
      <c r="AE272" s="6" t="str">
        <f aca="false">IFERROR(__xludf.dummyfunction("""COMPUTED_VALUE"""),"確認しました。")</f>
        <v>確認しました。</v>
      </c>
      <c r="AF272" s="6" t="str">
        <f aca="false">IFERROR(__xludf.dummyfunction("""COMPUTED_VALUE"""),"社宅基準の内容について確認しました")</f>
        <v>社宅基準の内容について確認しました</v>
      </c>
      <c r="AG272" s="6" t="str">
        <f aca="false">IFERROR(__xludf.dummyfunction("""COMPUTED_VALUE"""),"入居のしおりの内容についてご確認しました")</f>
        <v>入居のしおりの内容についてご確認しました</v>
      </c>
      <c r="AH272" s="6" t="str">
        <f aca="false">IFERROR(__xludf.dummyfunction("""COMPUTED_VALUE"""),"確認しました")</f>
        <v>確認しました</v>
      </c>
      <c r="AI272" s="6"/>
      <c r="AJ272" s="6" t="str">
        <v/>
      </c>
      <c r="AK272" s="6" t="str">
        <v/>
      </c>
      <c r="AL272" s="6" t="str">
        <v/>
      </c>
      <c r="AM272" s="6" t="str">
        <v/>
      </c>
      <c r="AN272" s="6" t="n">
        <f aca="false">TRUE()</f>
        <v>1</v>
      </c>
    </row>
    <row r="273" customFormat="false" ht="52.5" hidden="false" customHeight="true" outlineLevel="0" collapsed="false">
      <c r="A273" s="6" t="str">
        <f aca="false">IFERROR(__xludf.dummyfunction("""COMPUTED_VALUE"""),"2026/03/05 15:34:42")</f>
        <v>2026/03/05 15:34:42</v>
      </c>
      <c r="B273" s="6"/>
      <c r="C273" s="6" t="str">
        <f aca="false">IFERROR(__xludf.dummyfunction("""COMPUTED_VALUE"""),"70897")</f>
        <v>70897</v>
      </c>
      <c r="D273" s="6"/>
      <c r="E273" s="6"/>
      <c r="F273" s="6"/>
      <c r="G273" s="6" t="str">
        <f aca="false">IFERROR(__xludf.dummyfunction("""COMPUTED_VALUE"""),"2026/04/05")</f>
        <v>2026/04/05</v>
      </c>
      <c r="H273" s="6" t="str">
        <f aca="false">IFERROR(__xludf.dummyfunction("""COMPUTED_VALUE"""),"必要")</f>
        <v>必要</v>
      </c>
      <c r="I273" s="6" t="str">
        <f aca="false">IFERROR(__xludf.dummyfunction("""COMPUTED_VALUE"""),"男性")</f>
        <v>男性</v>
      </c>
      <c r="J273" s="6" t="str">
        <f aca="false">IFERROR(__xludf.dummyfunction("""COMPUTED_VALUE"""),"日本")</f>
        <v>日本</v>
      </c>
      <c r="K273" s="6" t="str">
        <f aca="false">IFERROR(__xludf.dummyfunction("""COMPUTED_VALUE"""),"10")</f>
        <v>10</v>
      </c>
      <c r="L273" s="6" t="str">
        <f aca="false">IFERROR(__xludf.dummyfunction("""COMPUTED_VALUE"""),"冷蔵庫(単身用2ドア)")</f>
        <v>冷蔵庫(単身用2ドア)</v>
      </c>
      <c r="M273" s="6" t="str">
        <f aca="false">IFERROR(__xludf.dummyfunction("""COMPUTED_VALUE"""),"テレビ(40型)、テレビ台(組立)、ベッドシングル(組立)、マットレスシングル")</f>
        <v>テレビ(40型)、テレビ台(組立)、ベッドシングル(組立)、マットレスシングル</v>
      </c>
      <c r="N273" s="6" t="str">
        <f aca="false">IFERROR(__xludf.dummyfunction("""COMPUTED_VALUE"""),"自転車(マウンテンバイク)")</f>
        <v>自転車(マウンテンバイク)</v>
      </c>
      <c r="O273" s="6" t="str">
        <f aca="false">IFERROR(__xludf.dummyfunction("""COMPUTED_VALUE"""),"不要")</f>
        <v>不要</v>
      </c>
      <c r="P273" s="6"/>
      <c r="Q273" s="6"/>
      <c r="R273" s="6"/>
      <c r="S273" s="6" t="str">
        <f aca="false">IFERROR(__xludf.dummyfunction("""COMPUTED_VALUE"""),"家具家電なし社宅")</f>
        <v>家具家電なし社宅</v>
      </c>
      <c r="T273" s="6" t="str">
        <f aca="false">IFERROR(__xludf.dummyfunction("""COMPUTED_VALUE"""),"利用しない")</f>
        <v>利用しない</v>
      </c>
      <c r="U273" s="6"/>
      <c r="V273" s="6" t="str">
        <f aca="false">IFERROR(__xludf.dummyfunction("""COMPUTED_VALUE"""),"徒歩, 自転車")</f>
        <v>徒歩, 自転車</v>
      </c>
      <c r="W273" s="6"/>
      <c r="X273" s="6" t="str">
        <f aca="false">IFERROR(__xludf.dummyfunction("""COMPUTED_VALUE"""),"株式会社ビーネックステクノロジーズの社宅")</f>
        <v>株式会社ビーネックステクノロジーズの社宅</v>
      </c>
      <c r="Y273" s="6" t="str">
        <f aca="false">IFERROR(__xludf.dummyfunction("""COMPUTED_VALUE"""),"回収希望(洗濯機、冷蔵庫)")</f>
        <v>回収希望(洗濯機、冷蔵庫)</v>
      </c>
      <c r="Z273" s="6" t="str">
        <f aca="false">IFERROR(__xludf.dummyfunction("""COMPUTED_VALUE"""),"希望する")</f>
        <v>希望する</v>
      </c>
      <c r="AA273" s="6" t="str">
        <f aca="false">IFERROR(__xludf.dummyfunction("""COMPUTED_VALUE"""),"単身")</f>
        <v>単身</v>
      </c>
      <c r="AB273" s="6"/>
      <c r="AC273" s="6"/>
      <c r="AD273" s="6" t="str">
        <f aca="false">IFERROR(__xludf.dummyfunction("""COMPUTED_VALUE"""),"バス・トイレ別、温水洗浄便座付き、エアコン付きでお願い致します。")</f>
        <v>バス・トイレ別、温水洗浄便座付き、エアコン付きでお願い致します。</v>
      </c>
      <c r="AE273" s="6" t="str">
        <f aca="false">IFERROR(__xludf.dummyfunction("""COMPUTED_VALUE"""),"確認しました。")</f>
        <v>確認しました。</v>
      </c>
      <c r="AF273" s="6" t="str">
        <f aca="false">IFERROR(__xludf.dummyfunction("""COMPUTED_VALUE"""),"社宅基準の内容について確認しました")</f>
        <v>社宅基準の内容について確認しました</v>
      </c>
      <c r="AG273" s="6" t="str">
        <f aca="false">IFERROR(__xludf.dummyfunction("""COMPUTED_VALUE"""),"入居のしおりの内容についてご確認しました")</f>
        <v>入居のしおりの内容についてご確認しました</v>
      </c>
      <c r="AH273" s="6" t="str">
        <f aca="false">IFERROR(__xludf.dummyfunction("""COMPUTED_VALUE"""),"確認しました")</f>
        <v>確認しました</v>
      </c>
      <c r="AI273" s="6"/>
      <c r="AJ273" s="6" t="str">
        <v/>
      </c>
      <c r="AK273" s="6" t="str">
        <v/>
      </c>
      <c r="AL273" s="6" t="str">
        <v/>
      </c>
      <c r="AM273" s="6" t="str">
        <v/>
      </c>
      <c r="AN273" s="6" t="n">
        <f aca="false">FALSE()</f>
        <v>0</v>
      </c>
    </row>
    <row r="274" customFormat="false" ht="52.5" hidden="false" customHeight="true" outlineLevel="0" collapsed="false">
      <c r="A274" s="6" t="str">
        <f aca="false">IFERROR(__xludf.dummyfunction("""COMPUTED_VALUE"""),"2026/03/05 15:55:26")</f>
        <v>2026/03/05 15:55:26</v>
      </c>
      <c r="B274" s="6"/>
      <c r="C274" s="6" t="str">
        <f aca="false">IFERROR(__xludf.dummyfunction("""COMPUTED_VALUE"""),"70854")</f>
        <v>70854</v>
      </c>
      <c r="D274" s="6"/>
      <c r="E274" s="6"/>
      <c r="F274" s="6"/>
      <c r="G274" s="6" t="str">
        <f aca="false">IFERROR(__xludf.dummyfunction("""COMPUTED_VALUE"""),"2026/03/25")</f>
        <v>2026/03/25</v>
      </c>
      <c r="H274" s="6" t="str">
        <f aca="false">IFERROR(__xludf.dummyfunction("""COMPUTED_VALUE"""),"不要")</f>
        <v>不要</v>
      </c>
      <c r="I274" s="6" t="str">
        <f aca="false">IFERROR(__xludf.dummyfunction("""COMPUTED_VALUE"""),"男性")</f>
        <v>男性</v>
      </c>
      <c r="J274" s="6" t="str">
        <f aca="false">IFERROR(__xludf.dummyfunction("""COMPUTED_VALUE"""),"日本")</f>
        <v>日本</v>
      </c>
      <c r="K274" s="6"/>
      <c r="L274" s="6"/>
      <c r="M274" s="6"/>
      <c r="N274" s="6"/>
      <c r="O274" s="6" t="str">
        <f aca="false">IFERROR(__xludf.dummyfunction("""COMPUTED_VALUE"""),"不要")</f>
        <v>不要</v>
      </c>
      <c r="P274" s="6"/>
      <c r="Q274" s="6"/>
      <c r="R274" s="6"/>
      <c r="S274" s="6" t="str">
        <f aca="false">IFERROR(__xludf.dummyfunction("""COMPUTED_VALUE"""),"家具家電付き社宅")</f>
        <v>家具家電付き社宅</v>
      </c>
      <c r="T274" s="6" t="str">
        <f aca="false">IFERROR(__xludf.dummyfunction("""COMPUTED_VALUE"""),"利用しない")</f>
        <v>利用しない</v>
      </c>
      <c r="U274" s="6"/>
      <c r="V274" s="6" t="str">
        <f aca="false">IFERROR(__xludf.dummyfunction("""COMPUTED_VALUE"""),"電車")</f>
        <v>電車</v>
      </c>
      <c r="W274" s="6"/>
      <c r="X274" s="6" t="str">
        <f aca="false">IFERROR(__xludf.dummyfunction("""COMPUTED_VALUE"""),"実家")</f>
        <v>実家</v>
      </c>
      <c r="Y274" s="6"/>
      <c r="Z274" s="6" t="str">
        <f aca="false">IFERROR(__xludf.dummyfunction("""COMPUTED_VALUE"""),"希望する")</f>
        <v>希望する</v>
      </c>
      <c r="AA274" s="6" t="str">
        <f aca="false">IFERROR(__xludf.dummyfunction("""COMPUTED_VALUE"""),"単身")</f>
        <v>単身</v>
      </c>
      <c r="AB274" s="6"/>
      <c r="AC274" s="6"/>
      <c r="AD274" s="6" t="str">
        <f aca="false">IFERROR(__xludf.dummyfunction("""COMPUTED_VALUE"""),"金山駅周辺希望です")</f>
        <v>金山駅周辺希望です</v>
      </c>
      <c r="AE274" s="6" t="str">
        <f aca="false">IFERROR(__xludf.dummyfunction("""COMPUTED_VALUE"""),"確認しました。")</f>
        <v>確認しました。</v>
      </c>
      <c r="AF274" s="6" t="str">
        <f aca="false">IFERROR(__xludf.dummyfunction("""COMPUTED_VALUE"""),"社宅基準の内容について確認しました")</f>
        <v>社宅基準の内容について確認しました</v>
      </c>
      <c r="AG274" s="6" t="str">
        <f aca="false">IFERROR(__xludf.dummyfunction("""COMPUTED_VALUE"""),"入居のしおりの内容についてご確認しました")</f>
        <v>入居のしおりの内容についてご確認しました</v>
      </c>
      <c r="AH274" s="6" t="str">
        <f aca="false">IFERROR(__xludf.dummyfunction("""COMPUTED_VALUE"""),"確認しました")</f>
        <v>確認しました</v>
      </c>
      <c r="AI274" s="6"/>
      <c r="AJ274" s="6" t="str">
        <v/>
      </c>
      <c r="AK274" s="6" t="str">
        <v/>
      </c>
      <c r="AL274" s="6" t="str">
        <v/>
      </c>
      <c r="AM274" s="6" t="str">
        <v/>
      </c>
      <c r="AN274" s="6" t="n">
        <f aca="false">FALSE()</f>
        <v>0</v>
      </c>
    </row>
    <row r="275" customFormat="false" ht="52.5" hidden="false" customHeight="true" outlineLevel="0" collapsed="false">
      <c r="A275" s="6" t="str">
        <f aca="false">IFERROR(__xludf.dummyfunction("""COMPUTED_VALUE"""),"2026/03/05 18:39:50")</f>
        <v>2026/03/05 18:39:50</v>
      </c>
      <c r="B275" s="6"/>
      <c r="C275" s="6" t="str">
        <f aca="false">IFERROR(__xludf.dummyfunction("""COMPUTED_VALUE"""),"70731")</f>
        <v>70731</v>
      </c>
      <c r="D275" s="6"/>
      <c r="E275" s="6"/>
      <c r="F275" s="6"/>
      <c r="G275" s="6" t="str">
        <f aca="false">IFERROR(__xludf.dummyfunction("""COMPUTED_VALUE"""),"2026/03/29")</f>
        <v>2026/03/29</v>
      </c>
      <c r="H275" s="6" t="str">
        <f aca="false">IFERROR(__xludf.dummyfunction("""COMPUTED_VALUE"""),"不要")</f>
        <v>不要</v>
      </c>
      <c r="I275" s="6" t="str">
        <f aca="false">IFERROR(__xludf.dummyfunction("""COMPUTED_VALUE"""),"男性")</f>
        <v>男性</v>
      </c>
      <c r="J275" s="6" t="str">
        <f aca="false">IFERROR(__xludf.dummyfunction("""COMPUTED_VALUE"""),"日本")</f>
        <v>日本</v>
      </c>
      <c r="K275" s="6"/>
      <c r="L275" s="6"/>
      <c r="M275" s="6"/>
      <c r="N275" s="6"/>
      <c r="O275" s="6" t="str">
        <f aca="false">IFERROR(__xludf.dummyfunction("""COMPUTED_VALUE"""),"不要")</f>
        <v>不要</v>
      </c>
      <c r="P275" s="6"/>
      <c r="Q275" s="6"/>
      <c r="R275" s="6"/>
      <c r="S275" s="6" t="str">
        <f aca="false">IFERROR(__xludf.dummyfunction("""COMPUTED_VALUE"""),"家具家電付き社宅")</f>
        <v>家具家電付き社宅</v>
      </c>
      <c r="T275" s="6" t="str">
        <f aca="false">IFERROR(__xludf.dummyfunction("""COMPUTED_VALUE"""),"利用しない")</f>
        <v>利用しない</v>
      </c>
      <c r="U275" s="6"/>
      <c r="V275" s="6" t="str">
        <f aca="false">IFERROR(__xludf.dummyfunction("""COMPUTED_VALUE"""),"徒歩, 自転車, 電車")</f>
        <v>徒歩, 自転車, 電車</v>
      </c>
      <c r="W275" s="6"/>
      <c r="X275" s="6" t="str">
        <f aca="false">IFERROR(__xludf.dummyfunction("""COMPUTED_VALUE"""),"実家")</f>
        <v>実家</v>
      </c>
      <c r="Y275" s="6"/>
      <c r="Z275" s="6" t="str">
        <f aca="false">IFERROR(__xludf.dummyfunction("""COMPUTED_VALUE"""),"希望する")</f>
        <v>希望する</v>
      </c>
      <c r="AA275" s="6" t="str">
        <f aca="false">IFERROR(__xludf.dummyfunction("""COMPUTED_VALUE"""),"単身")</f>
        <v>単身</v>
      </c>
      <c r="AB275" s="6"/>
      <c r="AC275" s="6"/>
      <c r="AD275" s="6"/>
      <c r="AE275" s="6" t="str">
        <f aca="false">IFERROR(__xludf.dummyfunction("""COMPUTED_VALUE"""),"確認しました。")</f>
        <v>確認しました。</v>
      </c>
      <c r="AF275" s="6" t="str">
        <f aca="false">IFERROR(__xludf.dummyfunction("""COMPUTED_VALUE"""),"社宅基準の内容について確認しました")</f>
        <v>社宅基準の内容について確認しました</v>
      </c>
      <c r="AG275" s="6" t="str">
        <f aca="false">IFERROR(__xludf.dummyfunction("""COMPUTED_VALUE"""),"入居のしおりの内容についてご確認しました")</f>
        <v>入居のしおりの内容についてご確認しました</v>
      </c>
      <c r="AH275" s="6" t="str">
        <f aca="false">IFERROR(__xludf.dummyfunction("""COMPUTED_VALUE"""),"確認しました")</f>
        <v>確認しました</v>
      </c>
      <c r="AI275" s="6"/>
      <c r="AJ275" s="6" t="str">
        <v/>
      </c>
      <c r="AK275" s="6" t="str">
        <v/>
      </c>
      <c r="AL275" s="6" t="str">
        <v/>
      </c>
      <c r="AM275" s="6" t="str">
        <v/>
      </c>
      <c r="AN275" s="6" t="n">
        <f aca="false">TRUE()</f>
        <v>1</v>
      </c>
    </row>
    <row r="276" customFormat="false" ht="52.5" hidden="false" customHeight="true" outlineLevel="0" collapsed="false">
      <c r="A276" s="6" t="str">
        <f aca="false">IFERROR(__xludf.dummyfunction("""COMPUTED_VALUE"""),"2026/03/05 18:51:50")</f>
        <v>2026/03/05 18:51:50</v>
      </c>
      <c r="B276" s="6"/>
      <c r="C276" s="6" t="str">
        <f aca="false">IFERROR(__xludf.dummyfunction("""COMPUTED_VALUE"""),"70917")</f>
        <v>70917</v>
      </c>
      <c r="D276" s="6"/>
      <c r="E276" s="6"/>
      <c r="F276" s="6"/>
      <c r="G276" s="6" t="str">
        <f aca="false">IFERROR(__xludf.dummyfunction("""COMPUTED_VALUE"""),"2026/03/28")</f>
        <v>2026/03/28</v>
      </c>
      <c r="H276" s="6" t="str">
        <f aca="false">IFERROR(__xludf.dummyfunction("""COMPUTED_VALUE"""),"必要")</f>
        <v>必要</v>
      </c>
      <c r="I276" s="6" t="str">
        <f aca="false">IFERROR(__xludf.dummyfunction("""COMPUTED_VALUE"""),"女性")</f>
        <v>女性</v>
      </c>
      <c r="J276" s="6" t="str">
        <f aca="false">IFERROR(__xludf.dummyfunction("""COMPUTED_VALUE"""),"日本")</f>
        <v>日本</v>
      </c>
      <c r="K276" s="6" t="str">
        <f aca="false">IFERROR(__xludf.dummyfunction("""COMPUTED_VALUE"""),"15")</f>
        <v>15</v>
      </c>
      <c r="L276" s="6" t="str">
        <f aca="false">IFERROR(__xludf.dummyfunction("""COMPUTED_VALUE"""),"冷蔵庫(単身用)、洗濯機、電子レンジ、掃除機")</f>
        <v>冷蔵庫(単身用)、洗濯機、電子レンジ、掃除機</v>
      </c>
      <c r="M276" s="6" t="str">
        <f aca="false">IFERROR(__xludf.dummyfunction("""COMPUTED_VALUE"""),"机（60×110×70）×1
椅子×1
プラスチックケース：4段×1、1段×3
スリムケース（40×20×70）×1
本棚（30×60×90）×1
カラーボックス×1
ポールハンガー×1
布団一式（シングル）
自転車")</f>
        <v>机（60×110×70）×1
椅子×1
プラスチックケース：4段×1、1段×3
スリムケース（40×20×70）×1
本棚（30×60×90）×1
カラーボックス×1
ポールハンガー×1
布団一式（シングル）
自転車</v>
      </c>
      <c r="N276" s="6" t="str">
        <f aca="false">IFERROR(__xludf.dummyfunction("""COMPUTED_VALUE"""),"自転車")</f>
        <v>自転車</v>
      </c>
      <c r="O276" s="6" t="str">
        <f aca="false">IFERROR(__xludf.dummyfunction("""COMPUTED_VALUE"""),"不要")</f>
        <v>不要</v>
      </c>
      <c r="P276" s="6"/>
      <c r="Q276" s="6"/>
      <c r="R276" s="6"/>
      <c r="S276" s="6" t="str">
        <f aca="false">IFERROR(__xludf.dummyfunction("""COMPUTED_VALUE"""),"家具家電なし社宅")</f>
        <v>家具家電なし社宅</v>
      </c>
      <c r="T276" s="6" t="str">
        <f aca="false">IFERROR(__xludf.dummyfunction("""COMPUTED_VALUE"""),"利用しない")</f>
        <v>利用しない</v>
      </c>
      <c r="U276" s="6"/>
      <c r="V276" s="6" t="str">
        <f aca="false">IFERROR(__xludf.dummyfunction("""COMPUTED_VALUE"""),"電車")</f>
        <v>電車</v>
      </c>
      <c r="W276" s="6"/>
      <c r="X276" s="6" t="str">
        <f aca="false">IFERROR(__xludf.dummyfunction("""COMPUTED_VALUE"""),"株式会社ビーネックステクノロジーズの社宅")</f>
        <v>株式会社ビーネックステクノロジーズの社宅</v>
      </c>
      <c r="Y276" s="6" t="str">
        <f aca="false">IFERROR(__xludf.dummyfunction("""COMPUTED_VALUE"""),"利用なし")</f>
        <v>利用なし</v>
      </c>
      <c r="Z276" s="6" t="str">
        <f aca="false">IFERROR(__xludf.dummyfunction("""COMPUTED_VALUE"""),"希望しない")</f>
        <v>希望しない</v>
      </c>
      <c r="AA276" s="6" t="str">
        <f aca="false">IFERROR(__xludf.dummyfunction("""COMPUTED_VALUE"""),"単身")</f>
        <v>単身</v>
      </c>
      <c r="AB276" s="6"/>
      <c r="AC276" s="6"/>
      <c r="AD276" s="6" t="str">
        <f aca="false">IFERROR(__xludf.dummyfunction("""COMPUTED_VALUE"""),"2階以上（1階不可）
駅前にスーパー・コンビニなど
防犯面(オートロックなど)
風呂とトイレが分かれているタイプ")</f>
        <v>2階以上（1階不可）
駅前にスーパー・コンビニなど
防犯面(オートロックなど)
風呂とトイレが分かれているタイプ</v>
      </c>
      <c r="AE276" s="6" t="str">
        <f aca="false">IFERROR(__xludf.dummyfunction("""COMPUTED_VALUE"""),"確認しました。")</f>
        <v>確認しました。</v>
      </c>
      <c r="AF276" s="6" t="str">
        <f aca="false">IFERROR(__xludf.dummyfunction("""COMPUTED_VALUE"""),"社宅基準の内容について確認しました")</f>
        <v>社宅基準の内容について確認しました</v>
      </c>
      <c r="AG276" s="6" t="str">
        <f aca="false">IFERROR(__xludf.dummyfunction("""COMPUTED_VALUE"""),"入居のしおりの内容についてご確認しました")</f>
        <v>入居のしおりの内容についてご確認しました</v>
      </c>
      <c r="AH276" s="6" t="str">
        <f aca="false">IFERROR(__xludf.dummyfunction("""COMPUTED_VALUE"""),"確認しました")</f>
        <v>確認しました</v>
      </c>
      <c r="AI276" s="6"/>
      <c r="AJ276" s="6" t="str">
        <v/>
      </c>
      <c r="AK276" s="6" t="str">
        <v/>
      </c>
      <c r="AL276" s="6" t="str">
        <v/>
      </c>
      <c r="AM276" s="6" t="str">
        <v/>
      </c>
      <c r="AN276" s="6" t="n">
        <f aca="false">TRUE()</f>
        <v>1</v>
      </c>
    </row>
    <row r="277" customFormat="false" ht="52.5" hidden="false" customHeight="true" outlineLevel="0" collapsed="false">
      <c r="A277" s="6" t="str">
        <f aca="false">IFERROR(__xludf.dummyfunction("""COMPUTED_VALUE"""),"2026/03/05 20:50:19")</f>
        <v>2026/03/05 20:50:19</v>
      </c>
      <c r="B277" s="6"/>
      <c r="C277" s="6" t="str">
        <f aca="false">IFERROR(__xludf.dummyfunction("""COMPUTED_VALUE"""),"70860")</f>
        <v>70860</v>
      </c>
      <c r="D277" s="6"/>
      <c r="E277" s="6"/>
      <c r="F277" s="6"/>
      <c r="G277" s="6" t="str">
        <f aca="false">IFERROR(__xludf.dummyfunction("""COMPUTED_VALUE"""),"2026/03/24")</f>
        <v>2026/03/24</v>
      </c>
      <c r="H277" s="6" t="str">
        <f aca="false">IFERROR(__xludf.dummyfunction("""COMPUTED_VALUE"""),"必要")</f>
        <v>必要</v>
      </c>
      <c r="I277" s="6" t="str">
        <f aca="false">IFERROR(__xludf.dummyfunction("""COMPUTED_VALUE"""),"男性")</f>
        <v>男性</v>
      </c>
      <c r="J277" s="6" t="str">
        <f aca="false">IFERROR(__xludf.dummyfunction("""COMPUTED_VALUE"""),"日本")</f>
        <v>日本</v>
      </c>
      <c r="K277" s="6" t="str">
        <f aca="false">IFERROR(__xludf.dummyfunction("""COMPUTED_VALUE"""),"10")</f>
        <v>10</v>
      </c>
      <c r="L277" s="6" t="str">
        <f aca="false">IFERROR(__xludf.dummyfunction("""COMPUTED_VALUE"""),"冷蔵庫(単身用)、電子レンジ、洗濯機、トースター")</f>
        <v>冷蔵庫(単身用)、電子レンジ、洗濯機、トースター</v>
      </c>
      <c r="M277" s="6" t="str">
        <f aca="false">IFERROR(__xludf.dummyfunction("""COMPUTED_VALUE"""),"机(横幅160、奥行78、高さ80cm)")</f>
        <v>机(横幅160、奥行78、高さ80cm)</v>
      </c>
      <c r="N277" s="6" t="str">
        <f aca="false">IFERROR(__xludf.dummyfunction("""COMPUTED_VALUE"""),"自転車")</f>
        <v>自転車</v>
      </c>
      <c r="O277" s="6" t="str">
        <f aca="false">IFERROR(__xludf.dummyfunction("""COMPUTED_VALUE"""),"不要")</f>
        <v>不要</v>
      </c>
      <c r="P277" s="6"/>
      <c r="Q277" s="6"/>
      <c r="R277" s="6"/>
      <c r="S277" s="6" t="str">
        <f aca="false">IFERROR(__xludf.dummyfunction("""COMPUTED_VALUE"""),"家具家電なし社宅")</f>
        <v>家具家電なし社宅</v>
      </c>
      <c r="T277" s="6" t="str">
        <f aca="false">IFERROR(__xludf.dummyfunction("""COMPUTED_VALUE"""),"利用しない")</f>
        <v>利用しない</v>
      </c>
      <c r="U277" s="6"/>
      <c r="V277" s="6" t="str">
        <f aca="false">IFERROR(__xludf.dummyfunction("""COMPUTED_VALUE"""),"徒歩, 自転車, 電車, バス")</f>
        <v>徒歩, 自転車, 電車, バス</v>
      </c>
      <c r="W277" s="6"/>
      <c r="X277" s="6" t="str">
        <f aca="false">IFERROR(__xludf.dummyfunction("""COMPUTED_VALUE"""),"実家")</f>
        <v>実家</v>
      </c>
      <c r="Y277" s="6"/>
      <c r="Z277" s="6" t="str">
        <f aca="false">IFERROR(__xludf.dummyfunction("""COMPUTED_VALUE"""),"希望する")</f>
        <v>希望する</v>
      </c>
      <c r="AA277" s="6" t="str">
        <f aca="false">IFERROR(__xludf.dummyfunction("""COMPUTED_VALUE"""),"単身")</f>
        <v>単身</v>
      </c>
      <c r="AB277" s="6"/>
      <c r="AC277" s="6"/>
      <c r="AD277" s="6"/>
      <c r="AE277" s="6" t="str">
        <f aca="false">IFERROR(__xludf.dummyfunction("""COMPUTED_VALUE"""),"確認しました。")</f>
        <v>確認しました。</v>
      </c>
      <c r="AF277" s="6" t="str">
        <f aca="false">IFERROR(__xludf.dummyfunction("""COMPUTED_VALUE"""),"社宅基準の内容について確認しました")</f>
        <v>社宅基準の内容について確認しました</v>
      </c>
      <c r="AG277" s="6" t="str">
        <f aca="false">IFERROR(__xludf.dummyfunction("""COMPUTED_VALUE"""),"入居のしおりの内容についてご確認しました")</f>
        <v>入居のしおりの内容についてご確認しました</v>
      </c>
      <c r="AH277" s="6" t="str">
        <f aca="false">IFERROR(__xludf.dummyfunction("""COMPUTED_VALUE"""),"確認しました")</f>
        <v>確認しました</v>
      </c>
      <c r="AI277" s="6"/>
      <c r="AJ277" s="6" t="str">
        <v/>
      </c>
      <c r="AK277" s="6" t="str">
        <v/>
      </c>
      <c r="AL277" s="6" t="str">
        <v/>
      </c>
      <c r="AM277" s="6" t="str">
        <v/>
      </c>
      <c r="AN277" s="6" t="n">
        <f aca="false">FALSE()</f>
        <v>0</v>
      </c>
    </row>
    <row r="278" customFormat="false" ht="52.5" hidden="false" customHeight="true" outlineLevel="0" collapsed="false">
      <c r="A278" s="6" t="str">
        <f aca="false">IFERROR(__xludf.dummyfunction("""COMPUTED_VALUE"""),"2026/03/05 22:20:02")</f>
        <v>2026/03/05 22:20:02</v>
      </c>
      <c r="B278" s="6"/>
      <c r="C278" s="6" t="str">
        <f aca="false">IFERROR(__xludf.dummyfunction("""COMPUTED_VALUE"""),"70861")</f>
        <v>70861</v>
      </c>
      <c r="D278" s="6"/>
      <c r="E278" s="6"/>
      <c r="F278" s="6"/>
      <c r="G278" s="6" t="str">
        <f aca="false">IFERROR(__xludf.dummyfunction("""COMPUTED_VALUE"""),"2026/03/20")</f>
        <v>2026/03/20</v>
      </c>
      <c r="H278" s="6" t="str">
        <f aca="false">IFERROR(__xludf.dummyfunction("""COMPUTED_VALUE"""),"必要")</f>
        <v>必要</v>
      </c>
      <c r="I278" s="6" t="str">
        <f aca="false">IFERROR(__xludf.dummyfunction("""COMPUTED_VALUE"""),"男性")</f>
        <v>男性</v>
      </c>
      <c r="J278" s="6" t="str">
        <f aca="false">IFERROR(__xludf.dummyfunction("""COMPUTED_VALUE"""),"日本")</f>
        <v>日本</v>
      </c>
      <c r="K278" s="6" t="str">
        <f aca="false">IFERROR(__xludf.dummyfunction("""COMPUTED_VALUE"""),"15")</f>
        <v>15</v>
      </c>
      <c r="L278" s="6" t="str">
        <f aca="false">IFERROR(__xludf.dummyfunction("""COMPUTED_VALUE"""),"冷蔵庫・単身用,洗濯機,電子レンジ,炊飯器,アイロン,扇風機2つ")</f>
        <v>冷蔵庫・単身用,洗濯機,電子レンジ,炊飯器,アイロン,扇風機2つ</v>
      </c>
      <c r="M278" s="6" t="str">
        <f aca="false">IFERROR(__xludf.dummyfunction("""COMPUTED_VALUE"""),"机(74・74・34),大型棚2つ(42,29,86) (54,38,96),小型棚2つ
パレットベット・シングル,洗濯がけ,ソファ・1人,小型椅子,カーテン")</f>
        <v>机(74・74・34),大型棚2つ(42,29,86) (54,38,96),小型棚2つ
パレットベット・シングル,洗濯がけ,ソファ・1人,小型椅子,カーテン</v>
      </c>
      <c r="N278" s="6" t="str">
        <f aca="false">IFERROR(__xludf.dummyfunction("""COMPUTED_VALUE"""),"自転車")</f>
        <v>自転車</v>
      </c>
      <c r="O278" s="6" t="str">
        <f aca="false">IFERROR(__xludf.dummyfunction("""COMPUTED_VALUE"""),"不要")</f>
        <v>不要</v>
      </c>
      <c r="P278" s="6"/>
      <c r="Q278" s="6"/>
      <c r="R278" s="6"/>
      <c r="S278" s="6" t="str">
        <f aca="false">IFERROR(__xludf.dummyfunction("""COMPUTED_VALUE"""),"家具家電なし社宅")</f>
        <v>家具家電なし社宅</v>
      </c>
      <c r="T278" s="6" t="str">
        <f aca="false">IFERROR(__xludf.dummyfunction("""COMPUTED_VALUE"""),"利用する")</f>
        <v>利用する</v>
      </c>
      <c r="U278" s="6" t="str">
        <f aca="false">IFERROR(__xludf.dummyfunction("""COMPUTED_VALUE"""),"エアコン")</f>
        <v>エアコン</v>
      </c>
      <c r="V278" s="6" t="str">
        <f aca="false">IFERROR(__xludf.dummyfunction("""COMPUTED_VALUE"""),"徒歩, 自転車")</f>
        <v>徒歩, 自転車</v>
      </c>
      <c r="W278" s="6"/>
      <c r="X278" s="6" t="str">
        <f aca="false">IFERROR(__xludf.dummyfunction("""COMPUTED_VALUE"""),"ご自身で契約中の物件")</f>
        <v>ご自身で契約中の物件</v>
      </c>
      <c r="Y278" s="6"/>
      <c r="Z278" s="6" t="str">
        <f aca="false">IFERROR(__xludf.dummyfunction("""COMPUTED_VALUE"""),"希望する")</f>
        <v>希望する</v>
      </c>
      <c r="AA278" s="6" t="str">
        <f aca="false">IFERROR(__xludf.dummyfunction("""COMPUTED_VALUE"""),"単身")</f>
        <v>単身</v>
      </c>
      <c r="AB278" s="6"/>
      <c r="AC278" s="6"/>
      <c r="AD278" s="6"/>
      <c r="AE278" s="6" t="str">
        <f aca="false">IFERROR(__xludf.dummyfunction("""COMPUTED_VALUE"""),"確認しました。")</f>
        <v>確認しました。</v>
      </c>
      <c r="AF278" s="6" t="str">
        <f aca="false">IFERROR(__xludf.dummyfunction("""COMPUTED_VALUE"""),"社宅基準の内容について確認しました")</f>
        <v>社宅基準の内容について確認しました</v>
      </c>
      <c r="AG278" s="6" t="str">
        <f aca="false">IFERROR(__xludf.dummyfunction("""COMPUTED_VALUE"""),"入居のしおりの内容についてご確認しました")</f>
        <v>入居のしおりの内容についてご確認しました</v>
      </c>
      <c r="AH278" s="6" t="str">
        <f aca="false">IFERROR(__xludf.dummyfunction("""COMPUTED_VALUE"""),"確認しました")</f>
        <v>確認しました</v>
      </c>
      <c r="AI278" s="6"/>
      <c r="AJ278" s="6" t="str">
        <v/>
      </c>
      <c r="AK278" s="6" t="str">
        <v/>
      </c>
      <c r="AL278" s="6" t="str">
        <v/>
      </c>
      <c r="AM278" s="6" t="str">
        <v/>
      </c>
      <c r="AN278" s="6" t="n">
        <f aca="false">FALSE()</f>
        <v>0</v>
      </c>
    </row>
    <row r="279" customFormat="false" ht="52.5" hidden="false" customHeight="true" outlineLevel="0" collapsed="false">
      <c r="A279" s="6" t="str">
        <f aca="false">IFERROR(__xludf.dummyfunction("""COMPUTED_VALUE"""),"2026/03/05 22:37:34")</f>
        <v>2026/03/05 22:37:34</v>
      </c>
      <c r="B279" s="6"/>
      <c r="C279" s="6" t="str">
        <f aca="false">IFERROR(__xludf.dummyfunction("""COMPUTED_VALUE"""),"70724")</f>
        <v>70724</v>
      </c>
      <c r="D279" s="6"/>
      <c r="E279" s="6"/>
      <c r="F279" s="6"/>
      <c r="G279" s="6" t="str">
        <f aca="false">IFERROR(__xludf.dummyfunction("""COMPUTED_VALUE"""),"2026/03/30")</f>
        <v>2026/03/30</v>
      </c>
      <c r="H279" s="6" t="str">
        <f aca="false">IFERROR(__xludf.dummyfunction("""COMPUTED_VALUE"""),"必要")</f>
        <v>必要</v>
      </c>
      <c r="I279" s="6" t="str">
        <f aca="false">IFERROR(__xludf.dummyfunction("""COMPUTED_VALUE"""),"男性")</f>
        <v>男性</v>
      </c>
      <c r="J279" s="6" t="str">
        <f aca="false">IFERROR(__xludf.dummyfunction("""COMPUTED_VALUE"""),"日本")</f>
        <v>日本</v>
      </c>
      <c r="K279" s="6" t="str">
        <f aca="false">IFERROR(__xludf.dummyfunction("""COMPUTED_VALUE"""),"20")</f>
        <v>20</v>
      </c>
      <c r="L279" s="6" t="str">
        <f aca="false">IFERROR(__xludf.dummyfunction("""COMPUTED_VALUE"""),"2ドアの冷蔵庫1台　縦型洗濯機1台")</f>
        <v>2ドアの冷蔵庫1台　縦型洗濯機1台</v>
      </c>
      <c r="M279" s="6" t="str">
        <f aca="false">IFERROR(__xludf.dummyfunction("""COMPUTED_VALUE"""),"ベッド　電子レンジ　棚　ウォーターサーバー")</f>
        <v>ベッド　電子レンジ　棚　ウォーターサーバー</v>
      </c>
      <c r="N279" s="6" t="str">
        <f aca="false">IFERROR(__xludf.dummyfunction("""COMPUTED_VALUE"""),"自転車")</f>
        <v>自転車</v>
      </c>
      <c r="O279" s="6" t="str">
        <f aca="false">IFERROR(__xludf.dummyfunction("""COMPUTED_VALUE"""),"必要")</f>
        <v>必要</v>
      </c>
      <c r="P279" s="6" t="str">
        <f aca="false">IFERROR(__xludf.dummyfunction("""COMPUTED_VALUE"""),"ダイハツ　タント")</f>
        <v>ダイハツ　タント</v>
      </c>
      <c r="Q279" s="6" t="str">
        <f aca="false">IFERROR(__xludf.dummyfunction("""COMPUTED_VALUE"""),"き　・7-17")</f>
        <v>き　・7-17</v>
      </c>
      <c r="R279" s="6" t="str">
        <f aca="false">IFERROR(__xludf.dummyfunction("""COMPUTED_VALUE"""),"シャンパンゴールド")</f>
        <v>シャンパンゴールド</v>
      </c>
      <c r="S279" s="6" t="str">
        <f aca="false">IFERROR(__xludf.dummyfunction("""COMPUTED_VALUE"""),"家具家電なし社宅")</f>
        <v>家具家電なし社宅</v>
      </c>
      <c r="T279" s="6" t="str">
        <f aca="false">IFERROR(__xludf.dummyfunction("""COMPUTED_VALUE"""),"利用しない")</f>
        <v>利用しない</v>
      </c>
      <c r="U279" s="6"/>
      <c r="V279" s="6" t="str">
        <f aca="false">IFERROR(__xludf.dummyfunction("""COMPUTED_VALUE"""),"自転車")</f>
        <v>自転車</v>
      </c>
      <c r="W279" s="6"/>
      <c r="X279" s="6" t="str">
        <f aca="false">IFERROR(__xludf.dummyfunction("""COMPUTED_VALUE"""),"株式会社ビーネックステクノロジーズの社宅")</f>
        <v>株式会社ビーネックステクノロジーズの社宅</v>
      </c>
      <c r="Y279" s="6" t="str">
        <f aca="false">IFERROR(__xludf.dummyfunction("""COMPUTED_VALUE"""),"利用なし")</f>
        <v>利用なし</v>
      </c>
      <c r="Z279" s="6" t="str">
        <f aca="false">IFERROR(__xludf.dummyfunction("""COMPUTED_VALUE"""),"希望する")</f>
        <v>希望する</v>
      </c>
      <c r="AA279" s="6" t="str">
        <f aca="false">IFERROR(__xludf.dummyfunction("""COMPUTED_VALUE"""),"単身")</f>
        <v>単身</v>
      </c>
      <c r="AB279" s="6"/>
      <c r="AC279" s="6"/>
      <c r="AD279" s="6" t="str">
        <f aca="false">IFERROR(__xludf.dummyfunction("""COMPUTED_VALUE"""),"風呂・トイレ別、上階でお願いいたします。")</f>
        <v>風呂・トイレ別、上階でお願いいたします。</v>
      </c>
      <c r="AE279" s="6" t="str">
        <f aca="false">IFERROR(__xludf.dummyfunction("""COMPUTED_VALUE"""),"確認しました。")</f>
        <v>確認しました。</v>
      </c>
      <c r="AF279" s="6" t="str">
        <f aca="false">IFERROR(__xludf.dummyfunction("""COMPUTED_VALUE"""),"社宅基準の内容について確認しました")</f>
        <v>社宅基準の内容について確認しました</v>
      </c>
      <c r="AG279" s="6" t="str">
        <f aca="false">IFERROR(__xludf.dummyfunction("""COMPUTED_VALUE"""),"入居のしおりの内容についてご確認しました")</f>
        <v>入居のしおりの内容についてご確認しました</v>
      </c>
      <c r="AH279" s="6" t="str">
        <f aca="false">IFERROR(__xludf.dummyfunction("""COMPUTED_VALUE"""),"確認しました")</f>
        <v>確認しました</v>
      </c>
      <c r="AI279" s="6"/>
      <c r="AJ279" s="6" t="str">
        <v/>
      </c>
      <c r="AK279" s="6" t="str">
        <v/>
      </c>
      <c r="AL279" s="6" t="str">
        <v/>
      </c>
      <c r="AM279" s="6" t="str">
        <v/>
      </c>
      <c r="AN279" s="6" t="n">
        <f aca="false">FALSE()</f>
        <v>0</v>
      </c>
    </row>
    <row r="280" customFormat="false" ht="52.5" hidden="false" customHeight="true" outlineLevel="0" collapsed="false">
      <c r="A280" s="6" t="str">
        <f aca="false">IFERROR(__xludf.dummyfunction("""COMPUTED_VALUE"""),"2026/03/05 22:56:56")</f>
        <v>2026/03/05 22:56:56</v>
      </c>
      <c r="B280" s="6"/>
      <c r="C280" s="6" t="str">
        <f aca="false">IFERROR(__xludf.dummyfunction("""COMPUTED_VALUE"""),"70875")</f>
        <v>70875</v>
      </c>
      <c r="D280" s="6"/>
      <c r="E280" s="6"/>
      <c r="F280" s="6"/>
      <c r="G280" s="6" t="str">
        <f aca="false">IFERROR(__xludf.dummyfunction("""COMPUTED_VALUE"""),"2026/03/21")</f>
        <v>2026/03/21</v>
      </c>
      <c r="H280" s="6" t="str">
        <f aca="false">IFERROR(__xludf.dummyfunction("""COMPUTED_VALUE"""),"必要")</f>
        <v>必要</v>
      </c>
      <c r="I280" s="6" t="str">
        <f aca="false">IFERROR(__xludf.dummyfunction("""COMPUTED_VALUE"""),"女性")</f>
        <v>女性</v>
      </c>
      <c r="J280" s="6" t="str">
        <f aca="false">IFERROR(__xludf.dummyfunction("""COMPUTED_VALUE"""),"日本")</f>
        <v>日本</v>
      </c>
      <c r="K280" s="6" t="str">
        <f aca="false">IFERROR(__xludf.dummyfunction("""COMPUTED_VALUE"""),"10")</f>
        <v>10</v>
      </c>
      <c r="L280" s="6" t="str">
        <f aca="false">IFERROR(__xludf.dummyfunction("""COMPUTED_VALUE"""),"なし")</f>
        <v>なし</v>
      </c>
      <c r="M280" s="6" t="str">
        <f aca="false">IFERROR(__xludf.dummyfunction("""COMPUTED_VALUE"""),"3")</f>
        <v>3</v>
      </c>
      <c r="N280" s="6"/>
      <c r="O280" s="6" t="str">
        <f aca="false">IFERROR(__xludf.dummyfunction("""COMPUTED_VALUE"""),"不要")</f>
        <v>不要</v>
      </c>
      <c r="P280" s="6"/>
      <c r="Q280" s="6"/>
      <c r="R280" s="6"/>
      <c r="S280" s="6" t="str">
        <f aca="false">IFERROR(__xludf.dummyfunction("""COMPUTED_VALUE"""),"家具家電なし社宅")</f>
        <v>家具家電なし社宅</v>
      </c>
      <c r="T280" s="6" t="str">
        <f aca="false">IFERROR(__xludf.dummyfunction("""COMPUTED_VALUE"""),"利用しない")</f>
        <v>利用しない</v>
      </c>
      <c r="U280" s="6"/>
      <c r="V280" s="6" t="str">
        <f aca="false">IFERROR(__xludf.dummyfunction("""COMPUTED_VALUE"""),"徒歩, 自動車")</f>
        <v>徒歩, 自動車</v>
      </c>
      <c r="W280" s="6"/>
      <c r="X280" s="6" t="str">
        <f aca="false">IFERROR(__xludf.dummyfunction("""COMPUTED_VALUE"""),"実家")</f>
        <v>実家</v>
      </c>
      <c r="Y280" s="6"/>
      <c r="Z280" s="6" t="str">
        <f aca="false">IFERROR(__xludf.dummyfunction("""COMPUTED_VALUE"""),"希望する")</f>
        <v>希望する</v>
      </c>
      <c r="AA280" s="6" t="str">
        <f aca="false">IFERROR(__xludf.dummyfunction("""COMPUTED_VALUE"""),"単身")</f>
        <v>単身</v>
      </c>
      <c r="AB280" s="6"/>
      <c r="AC280" s="6"/>
      <c r="AD280" s="6" t="str">
        <f aca="false">IFERROR(__xludf.dummyfunction("""COMPUTED_VALUE"""),"バストイレ別 モニター付きインターホン オートロック 2階以上 宅配ボックスあり 都市ガス RCかSRC 会社から徒歩15分圏内 自己負担額増えていいので家賃10万までの物件で探していただきたいです")</f>
        <v>バストイレ別 モニター付きインターホン オートロック 2階以上 宅配ボックスあり 都市ガス RCかSRC 会社から徒歩15分圏内 自己負担額増えていいので家賃10万までの物件で探していただきたいです</v>
      </c>
      <c r="AE280" s="6" t="str">
        <f aca="false">IFERROR(__xludf.dummyfunction("""COMPUTED_VALUE"""),"確認しました。")</f>
        <v>確認しました。</v>
      </c>
      <c r="AF280" s="6" t="str">
        <f aca="false">IFERROR(__xludf.dummyfunction("""COMPUTED_VALUE"""),"社宅基準の内容について確認しました")</f>
        <v>社宅基準の内容について確認しました</v>
      </c>
      <c r="AG280" s="6" t="str">
        <f aca="false">IFERROR(__xludf.dummyfunction("""COMPUTED_VALUE"""),"入居のしおりの内容についてご確認しました")</f>
        <v>入居のしおりの内容についてご確認しました</v>
      </c>
      <c r="AH280" s="6" t="str">
        <f aca="false">IFERROR(__xludf.dummyfunction("""COMPUTED_VALUE"""),"確認しました")</f>
        <v>確認しました</v>
      </c>
      <c r="AI280" s="6"/>
      <c r="AJ280" s="6" t="str">
        <v/>
      </c>
      <c r="AK280" s="6" t="str">
        <v/>
      </c>
      <c r="AL280" s="6" t="str">
        <v/>
      </c>
      <c r="AM280" s="6" t="str">
        <v/>
      </c>
      <c r="AN280" s="6" t="n">
        <f aca="false">FALSE()</f>
        <v>0</v>
      </c>
    </row>
    <row r="281" customFormat="false" ht="52.5" hidden="false" customHeight="true" outlineLevel="0" collapsed="false">
      <c r="A281" s="6" t="str">
        <f aca="false">IFERROR(__xludf.dummyfunction("""COMPUTED_VALUE"""),"2026/03/06 0:14:13")</f>
        <v>2026/03/06 0:14:13</v>
      </c>
      <c r="B281" s="6"/>
      <c r="C281" s="6" t="str">
        <f aca="false">IFERROR(__xludf.dummyfunction("""COMPUTED_VALUE"""),"70772")</f>
        <v>70772</v>
      </c>
      <c r="D281" s="6"/>
      <c r="E281" s="6"/>
      <c r="F281" s="6"/>
      <c r="G281" s="6" t="str">
        <f aca="false">IFERROR(__xludf.dummyfunction("""COMPUTED_VALUE"""),"2026/03/28")</f>
        <v>2026/03/28</v>
      </c>
      <c r="H281" s="6" t="str">
        <f aca="false">IFERROR(__xludf.dummyfunction("""COMPUTED_VALUE"""),"必要")</f>
        <v>必要</v>
      </c>
      <c r="I281" s="6" t="str">
        <f aca="false">IFERROR(__xludf.dummyfunction("""COMPUTED_VALUE"""),"男性")</f>
        <v>男性</v>
      </c>
      <c r="J281" s="6" t="str">
        <f aca="false">IFERROR(__xludf.dummyfunction("""COMPUTED_VALUE"""),"日本")</f>
        <v>日本</v>
      </c>
      <c r="K281" s="6" t="str">
        <f aca="false">IFERROR(__xludf.dummyfunction("""COMPUTED_VALUE"""),"10")</f>
        <v>10</v>
      </c>
      <c r="L281" s="6" t="str">
        <f aca="false">IFERROR(__xludf.dummyfunction("""COMPUTED_VALUE"""),"冷蔵庫(単身用)、電子レンジ、デスクトップPC、モニター、炊飯器、掃除機")</f>
        <v>冷蔵庫(単身用)、電子レンジ、デスクトップPC、モニター、炊飯器、掃除機</v>
      </c>
      <c r="M281" s="6" t="str">
        <f aca="false">IFERROR(__xludf.dummyfunction("""COMPUTED_VALUE"""),"机(横100cm、奥行60cm、高さ75cm)
棚(横80cm、奥行50cm、高さ100cm)
ベッド(シングル)
椅子(1人)")</f>
        <v>机(横100cm、奥行60cm、高さ75cm)
棚(横80cm、奥行50cm、高さ100cm)
ベッド(シングル)
椅子(1人)</v>
      </c>
      <c r="N281" s="6"/>
      <c r="O281" s="6" t="str">
        <f aca="false">IFERROR(__xludf.dummyfunction("""COMPUTED_VALUE"""),"不要")</f>
        <v>不要</v>
      </c>
      <c r="P281" s="6"/>
      <c r="Q281" s="6"/>
      <c r="R281" s="6"/>
      <c r="S281" s="6" t="str">
        <f aca="false">IFERROR(__xludf.dummyfunction("""COMPUTED_VALUE"""),"家具家電なし社宅")</f>
        <v>家具家電なし社宅</v>
      </c>
      <c r="T281" s="6" t="str">
        <f aca="false">IFERROR(__xludf.dummyfunction("""COMPUTED_VALUE"""),"利用する")</f>
        <v>利用する</v>
      </c>
      <c r="U281" s="6" t="str">
        <f aca="false">IFERROR(__xludf.dummyfunction("""COMPUTED_VALUE"""),"全自動洗濯機")</f>
        <v>全自動洗濯機</v>
      </c>
      <c r="V281" s="6" t="str">
        <f aca="false">IFERROR(__xludf.dummyfunction("""COMPUTED_VALUE"""),"徒歩, 電車, バス")</f>
        <v>徒歩, 電車, バス</v>
      </c>
      <c r="W281" s="6"/>
      <c r="X281" s="6" t="str">
        <f aca="false">IFERROR(__xludf.dummyfunction("""COMPUTED_VALUE"""),"ご自身で契約中の物件")</f>
        <v>ご自身で契約中の物件</v>
      </c>
      <c r="Y281" s="6"/>
      <c r="Z281" s="6" t="str">
        <f aca="false">IFERROR(__xludf.dummyfunction("""COMPUTED_VALUE"""),"希望する")</f>
        <v>希望する</v>
      </c>
      <c r="AA281" s="6" t="str">
        <f aca="false">IFERROR(__xludf.dummyfunction("""COMPUTED_VALUE"""),"単身")</f>
        <v>単身</v>
      </c>
      <c r="AB281" s="6"/>
      <c r="AC281" s="6"/>
      <c r="AD281" s="6"/>
      <c r="AE281" s="6" t="str">
        <f aca="false">IFERROR(__xludf.dummyfunction("""COMPUTED_VALUE"""),"確認しました。")</f>
        <v>確認しました。</v>
      </c>
      <c r="AF281" s="6" t="str">
        <f aca="false">IFERROR(__xludf.dummyfunction("""COMPUTED_VALUE"""),"社宅基準の内容について確認しました")</f>
        <v>社宅基準の内容について確認しました</v>
      </c>
      <c r="AG281" s="6" t="str">
        <f aca="false">IFERROR(__xludf.dummyfunction("""COMPUTED_VALUE"""),"入居のしおりの内容についてご確認しました")</f>
        <v>入居のしおりの内容についてご確認しました</v>
      </c>
      <c r="AH281" s="6" t="str">
        <f aca="false">IFERROR(__xludf.dummyfunction("""COMPUTED_VALUE"""),"確認しました")</f>
        <v>確認しました</v>
      </c>
      <c r="AI281" s="6"/>
      <c r="AJ281" s="6" t="str">
        <v/>
      </c>
      <c r="AK281" s="6" t="str">
        <v/>
      </c>
      <c r="AL281" s="6" t="str">
        <v/>
      </c>
      <c r="AM281" s="6" t="str">
        <v/>
      </c>
      <c r="AN281" s="6" t="n">
        <f aca="false">TRUE()</f>
        <v>1</v>
      </c>
    </row>
    <row r="282" customFormat="false" ht="52.5" hidden="false" customHeight="true" outlineLevel="0" collapsed="false">
      <c r="A282" s="6" t="str">
        <f aca="false">IFERROR(__xludf.dummyfunction("""COMPUTED_VALUE"""),"2026/03/06 1:56:52")</f>
        <v>2026/03/06 1:56:52</v>
      </c>
      <c r="B282" s="6"/>
      <c r="C282" s="6" t="str">
        <f aca="false">IFERROR(__xludf.dummyfunction("""COMPUTED_VALUE"""),"70804")</f>
        <v>70804</v>
      </c>
      <c r="D282" s="6"/>
      <c r="E282" s="6"/>
      <c r="F282" s="6"/>
      <c r="G282" s="6" t="str">
        <f aca="false">IFERROR(__xludf.dummyfunction("""COMPUTED_VALUE"""),"2026/04/01")</f>
        <v>2026/04/01</v>
      </c>
      <c r="H282" s="6" t="str">
        <f aca="false">IFERROR(__xludf.dummyfunction("""COMPUTED_VALUE"""),"必要")</f>
        <v>必要</v>
      </c>
      <c r="I282" s="6" t="str">
        <f aca="false">IFERROR(__xludf.dummyfunction("""COMPUTED_VALUE"""),"男性")</f>
        <v>男性</v>
      </c>
      <c r="J282" s="6" t="str">
        <f aca="false">IFERROR(__xludf.dummyfunction("""COMPUTED_VALUE"""),"日本")</f>
        <v>日本</v>
      </c>
      <c r="K282" s="6" t="str">
        <f aca="false">IFERROR(__xludf.dummyfunction("""COMPUTED_VALUE"""),"10")</f>
        <v>10</v>
      </c>
      <c r="L282" s="6" t="str">
        <f aca="false">IFERROR(__xludf.dummyfunction("""COMPUTED_VALUE"""),"電子レンジ")</f>
        <v>電子レンジ</v>
      </c>
      <c r="M282" s="6" t="str">
        <f aca="false">IFERROR(__xludf.dummyfunction("""COMPUTED_VALUE"""),"こたつ＋テーブル（脚をたたむと、幅70cm×奥行70cm×高さ30cm）")</f>
        <v>こたつ＋テーブル（脚をたたむと、幅70cm×奥行70cm×高さ30cm）</v>
      </c>
      <c r="N282" s="6" t="str">
        <f aca="false">IFERROR(__xludf.dummyfunction("""COMPUTED_VALUE"""),"自転車１台（クロスバイク）")</f>
        <v>自転車１台（クロスバイク）</v>
      </c>
      <c r="O282" s="6" t="str">
        <f aca="false">IFERROR(__xludf.dummyfunction("""COMPUTED_VALUE"""),"不要")</f>
        <v>不要</v>
      </c>
      <c r="P282" s="6"/>
      <c r="Q282" s="6"/>
      <c r="R282" s="6"/>
      <c r="S282" s="6" t="str">
        <f aca="false">IFERROR(__xludf.dummyfunction("""COMPUTED_VALUE"""),"家具家電付き社宅")</f>
        <v>家具家電付き社宅</v>
      </c>
      <c r="T282" s="6" t="str">
        <f aca="false">IFERROR(__xludf.dummyfunction("""COMPUTED_VALUE"""),"利用しない")</f>
        <v>利用しない</v>
      </c>
      <c r="U282" s="6"/>
      <c r="V282" s="6" t="str">
        <f aca="false">IFERROR(__xludf.dummyfunction("""COMPUTED_VALUE"""),"徒歩, 自転車, 電車")</f>
        <v>徒歩, 自転車, 電車</v>
      </c>
      <c r="W282" s="6"/>
      <c r="X282" s="6" t="str">
        <f aca="false">IFERROR(__xludf.dummyfunction("""COMPUTED_VALUE"""),"ご自身で契約中の物件")</f>
        <v>ご自身で契約中の物件</v>
      </c>
      <c r="Y282" s="6"/>
      <c r="Z282" s="6" t="str">
        <f aca="false">IFERROR(__xludf.dummyfunction("""COMPUTED_VALUE"""),"希望しない")</f>
        <v>希望しない</v>
      </c>
      <c r="AA282" s="6" t="str">
        <f aca="false">IFERROR(__xludf.dummyfunction("""COMPUTED_VALUE"""),"単身")</f>
        <v>単身</v>
      </c>
      <c r="AB282" s="6"/>
      <c r="AC282" s="6"/>
      <c r="AD282" s="6" t="str">
        <f aca="false">IFERROR(__xludf.dummyfunction("""COMPUTED_VALUE"""),"※1～2か月の研修後、北海道に長期出張となるので短期での利用となります。")</f>
        <v>※1～2か月の研修後、北海道に長期出張となるので短期での利用となります。</v>
      </c>
      <c r="AE282" s="6" t="str">
        <f aca="false">IFERROR(__xludf.dummyfunction("""COMPUTED_VALUE"""),"確認しました。")</f>
        <v>確認しました。</v>
      </c>
      <c r="AF282" s="6" t="str">
        <f aca="false">IFERROR(__xludf.dummyfunction("""COMPUTED_VALUE"""),"社宅基準の内容について確認しました")</f>
        <v>社宅基準の内容について確認しました</v>
      </c>
      <c r="AG282" s="6" t="str">
        <f aca="false">IFERROR(__xludf.dummyfunction("""COMPUTED_VALUE"""),"入居のしおりの内容についてご確認しました")</f>
        <v>入居のしおりの内容についてご確認しました</v>
      </c>
      <c r="AH282" s="6" t="str">
        <f aca="false">IFERROR(__xludf.dummyfunction("""COMPUTED_VALUE"""),"確認しました")</f>
        <v>確認しました</v>
      </c>
      <c r="AI282" s="6"/>
      <c r="AJ282" s="6" t="str">
        <v/>
      </c>
      <c r="AK282" s="6" t="str">
        <v/>
      </c>
      <c r="AL282" s="6" t="str">
        <v/>
      </c>
      <c r="AM282" s="6" t="str">
        <v/>
      </c>
      <c r="AN282" s="6" t="n">
        <f aca="false">TRUE()</f>
        <v>1</v>
      </c>
    </row>
    <row r="283" customFormat="false" ht="52.5" hidden="false" customHeight="true" outlineLevel="0" collapsed="false">
      <c r="A283" s="6" t="str">
        <f aca="false">IFERROR(__xludf.dummyfunction("""COMPUTED_VALUE"""),"2026/03/06 3:47:17")</f>
        <v>2026/03/06 3:47:17</v>
      </c>
      <c r="B283" s="6"/>
      <c r="C283" s="6" t="str">
        <f aca="false">IFERROR(__xludf.dummyfunction("""COMPUTED_VALUE"""),"70597")</f>
        <v>70597</v>
      </c>
      <c r="D283" s="6"/>
      <c r="E283" s="6"/>
      <c r="F283" s="6"/>
      <c r="G283" s="6" t="str">
        <f aca="false">IFERROR(__xludf.dummyfunction("""COMPUTED_VALUE"""),"2026/03/26")</f>
        <v>2026/03/26</v>
      </c>
      <c r="H283" s="6" t="str">
        <f aca="false">IFERROR(__xludf.dummyfunction("""COMPUTED_VALUE"""),"必要")</f>
        <v>必要</v>
      </c>
      <c r="I283" s="6" t="str">
        <f aca="false">IFERROR(__xludf.dummyfunction("""COMPUTED_VALUE"""),"男性")</f>
        <v>男性</v>
      </c>
      <c r="J283" s="6" t="str">
        <f aca="false">IFERROR(__xludf.dummyfunction("""COMPUTED_VALUE"""),"日本")</f>
        <v>日本</v>
      </c>
      <c r="K283" s="6" t="str">
        <f aca="false">IFERROR(__xludf.dummyfunction("""COMPUTED_VALUE"""),"10")</f>
        <v>10</v>
      </c>
      <c r="L283" s="6" t="str">
        <f aca="false">IFERROR(__xludf.dummyfunction("""COMPUTED_VALUE"""),"冷蔵庫(単身用)、洗濯機、デスクトップPC、モニター(2台)、ノンフライヤー、オーブントースター、炊飯器、電子レンジ")</f>
        <v>冷蔵庫(単身用)、洗濯機、デスクトップPC、モニター(2台)、ノンフライヤー、オーブントースター、炊飯器、電子レンジ</v>
      </c>
      <c r="M283" s="6" t="str">
        <f aca="false">IFERROR(__xludf.dummyfunction("""COMPUTED_VALUE"""),"ベッド(シングル)、机(120・55・75)")</f>
        <v>ベッド(シングル)、机(120・55・75)</v>
      </c>
      <c r="N283" s="6"/>
      <c r="O283" s="6" t="str">
        <f aca="false">IFERROR(__xludf.dummyfunction("""COMPUTED_VALUE"""),"必要")</f>
        <v>必要</v>
      </c>
      <c r="P283" s="6" t="str">
        <f aca="false">IFERROR(__xludf.dummyfunction("""COMPUTED_VALUE"""),"ハスラー")</f>
        <v>ハスラー</v>
      </c>
      <c r="Q283" s="6" t="str">
        <f aca="false">IFERROR(__xludf.dummyfunction("""COMPUTED_VALUE"""),"か76-36")</f>
        <v>か76-36</v>
      </c>
      <c r="R283" s="6" t="str">
        <f aca="false">IFERROR(__xludf.dummyfunction("""COMPUTED_VALUE"""),"水色")</f>
        <v>水色</v>
      </c>
      <c r="S283" s="6" t="str">
        <f aca="false">IFERROR(__xludf.dummyfunction("""COMPUTED_VALUE"""),"家具家電なし社宅")</f>
        <v>家具家電なし社宅</v>
      </c>
      <c r="T283" s="6" t="str">
        <f aca="false">IFERROR(__xludf.dummyfunction("""COMPUTED_VALUE"""),"利用しない")</f>
        <v>利用しない</v>
      </c>
      <c r="U283" s="6"/>
      <c r="V283" s="6" t="str">
        <f aca="false">IFERROR(__xludf.dummyfunction("""COMPUTED_VALUE"""),"自動車")</f>
        <v>自動車</v>
      </c>
      <c r="W283" s="6"/>
      <c r="X283" s="6" t="str">
        <f aca="false">IFERROR(__xludf.dummyfunction("""COMPUTED_VALUE"""),"実家")</f>
        <v>実家</v>
      </c>
      <c r="Y283" s="6"/>
      <c r="Z283" s="6" t="str">
        <f aca="false">IFERROR(__xludf.dummyfunction("""COMPUTED_VALUE"""),"希望しない")</f>
        <v>希望しない</v>
      </c>
      <c r="AA283" s="6" t="str">
        <f aca="false">IFERROR(__xludf.dummyfunction("""COMPUTED_VALUE"""),"単身")</f>
        <v>単身</v>
      </c>
      <c r="AB283" s="6"/>
      <c r="AC283" s="6"/>
      <c r="AD283" s="6"/>
      <c r="AE283" s="6" t="str">
        <f aca="false">IFERROR(__xludf.dummyfunction("""COMPUTED_VALUE"""),"確認しました。")</f>
        <v>確認しました。</v>
      </c>
      <c r="AF283" s="6" t="str">
        <f aca="false">IFERROR(__xludf.dummyfunction("""COMPUTED_VALUE"""),"社宅基準の内容について確認しました")</f>
        <v>社宅基準の内容について確認しました</v>
      </c>
      <c r="AG283" s="6" t="str">
        <f aca="false">IFERROR(__xludf.dummyfunction("""COMPUTED_VALUE"""),"入居のしおりの内容についてご確認しました")</f>
        <v>入居のしおりの内容についてご確認しました</v>
      </c>
      <c r="AH283" s="6" t="str">
        <f aca="false">IFERROR(__xludf.dummyfunction("""COMPUTED_VALUE"""),"確認しました")</f>
        <v>確認しました</v>
      </c>
      <c r="AI283" s="6"/>
      <c r="AJ283" s="6" t="str">
        <v/>
      </c>
      <c r="AK283" s="6" t="str">
        <v/>
      </c>
      <c r="AL283" s="6" t="str">
        <v/>
      </c>
      <c r="AM283" s="6" t="str">
        <v/>
      </c>
      <c r="AN283" s="6" t="n">
        <f aca="false">FALSE()</f>
        <v>0</v>
      </c>
    </row>
    <row r="284" customFormat="false" ht="52.5" hidden="false" customHeight="true" outlineLevel="0" collapsed="false">
      <c r="A284" s="6" t="str">
        <f aca="false">IFERROR(__xludf.dummyfunction("""COMPUTED_VALUE"""),"2026/03/06 5:42:24")</f>
        <v>2026/03/06 5:42:24</v>
      </c>
      <c r="B284" s="6"/>
      <c r="C284" s="6" t="str">
        <f aca="false">IFERROR(__xludf.dummyfunction("""COMPUTED_VALUE"""),"70801")</f>
        <v>70801</v>
      </c>
      <c r="D284" s="6"/>
      <c r="E284" s="6"/>
      <c r="F284" s="6"/>
      <c r="G284" s="6" t="str">
        <f aca="false">IFERROR(__xludf.dummyfunction("""COMPUTED_VALUE"""),"2026/03/30")</f>
        <v>2026/03/30</v>
      </c>
      <c r="H284" s="6" t="str">
        <f aca="false">IFERROR(__xludf.dummyfunction("""COMPUTED_VALUE"""),"必要")</f>
        <v>必要</v>
      </c>
      <c r="I284" s="6" t="str">
        <f aca="false">IFERROR(__xludf.dummyfunction("""COMPUTED_VALUE"""),"男性")</f>
        <v>男性</v>
      </c>
      <c r="J284" s="6" t="str">
        <f aca="false">IFERROR(__xludf.dummyfunction("""COMPUTED_VALUE"""),"日本")</f>
        <v>日本</v>
      </c>
      <c r="K284" s="6" t="str">
        <f aca="false">IFERROR(__xludf.dummyfunction("""COMPUTED_VALUE"""),"15")</f>
        <v>15</v>
      </c>
      <c r="L284" s="6" t="str">
        <f aca="false">IFERROR(__xludf.dummyfunction("""COMPUTED_VALUE"""),"デスクトップpc
pc用モニター23インチ")</f>
        <v>デスクトップpc
pc用モニター23インチ</v>
      </c>
      <c r="M284" s="6" t="str">
        <f aca="false">IFERROR(__xludf.dummyfunction("""COMPUTED_VALUE"""),"なし")</f>
        <v>なし</v>
      </c>
      <c r="N284" s="6"/>
      <c r="O284" s="6" t="str">
        <f aca="false">IFERROR(__xludf.dummyfunction("""COMPUTED_VALUE"""),"必要")</f>
        <v>必要</v>
      </c>
      <c r="P284" s="6" t="str">
        <f aca="false">IFERROR(__xludf.dummyfunction("""COMPUTED_VALUE"""),"セルボ")</f>
        <v>セルボ</v>
      </c>
      <c r="Q284" s="6" t="str">
        <f aca="false">IFERROR(__xludf.dummyfunction("""COMPUTED_VALUE"""),"ら・917")</f>
        <v>ら・917</v>
      </c>
      <c r="R284" s="6" t="str">
        <f aca="false">IFERROR(__xludf.dummyfunction("""COMPUTED_VALUE"""),"黒")</f>
        <v>黒</v>
      </c>
      <c r="S284" s="6" t="str">
        <f aca="false">IFERROR(__xludf.dummyfunction("""COMPUTED_VALUE"""),"家具家電なし社宅")</f>
        <v>家具家電なし社宅</v>
      </c>
      <c r="T284" s="6" t="str">
        <f aca="false">IFERROR(__xludf.dummyfunction("""COMPUTED_VALUE"""),"利用しない")</f>
        <v>利用しない</v>
      </c>
      <c r="U284" s="6"/>
      <c r="V284" s="6" t="str">
        <f aca="false">IFERROR(__xludf.dummyfunction("""COMPUTED_VALUE"""),"自動車")</f>
        <v>自動車</v>
      </c>
      <c r="W284" s="6"/>
      <c r="X284" s="6" t="str">
        <f aca="false">IFERROR(__xludf.dummyfunction("""COMPUTED_VALUE"""),"実家")</f>
        <v>実家</v>
      </c>
      <c r="Y284" s="6"/>
      <c r="Z284" s="6" t="str">
        <f aca="false">IFERROR(__xludf.dummyfunction("""COMPUTED_VALUE"""),"希望しない")</f>
        <v>希望しない</v>
      </c>
      <c r="AA284" s="6" t="str">
        <f aca="false">IFERROR(__xludf.dummyfunction("""COMPUTED_VALUE"""),"単身")</f>
        <v>単身</v>
      </c>
      <c r="AB284" s="6"/>
      <c r="AC284" s="6"/>
      <c r="AD284" s="6" t="str">
        <f aca="false">IFERROR(__xludf.dummyfunction("""COMPUTED_VALUE"""),"住所：北海道砂川市空知太東2条6丁目2-39
氏名：宮野　俊恵
フリガナ：ミヤノ　トシエ
生年月日：1968 6/9
電話番号：080 7000 3018
続柄：母")</f>
        <v>住所：北海道砂川市空知太東2条6丁目2-39
氏名：宮野　俊恵
フリガナ：ミヤノ　トシエ
生年月日：1968 6/9
電話番号：080 7000 3018
続柄：母</v>
      </c>
      <c r="AE284" s="6" t="str">
        <f aca="false">IFERROR(__xludf.dummyfunction("""COMPUTED_VALUE"""),"確認しました。")</f>
        <v>確認しました。</v>
      </c>
      <c r="AF284" s="6" t="str">
        <f aca="false">IFERROR(__xludf.dummyfunction("""COMPUTED_VALUE"""),"社宅基準の内容について確認しました")</f>
        <v>社宅基準の内容について確認しました</v>
      </c>
      <c r="AG284" s="6" t="str">
        <f aca="false">IFERROR(__xludf.dummyfunction("""COMPUTED_VALUE"""),"入居のしおりの内容についてご確認しました")</f>
        <v>入居のしおりの内容についてご確認しました</v>
      </c>
      <c r="AH284" s="6" t="str">
        <f aca="false">IFERROR(__xludf.dummyfunction("""COMPUTED_VALUE"""),"確認しました")</f>
        <v>確認しました</v>
      </c>
      <c r="AI284" s="6"/>
      <c r="AJ284" s="6" t="str">
        <v/>
      </c>
      <c r="AK284" s="6" t="str">
        <v/>
      </c>
      <c r="AL284" s="6" t="str">
        <v/>
      </c>
      <c r="AM284" s="6" t="str">
        <v/>
      </c>
      <c r="AN284" s="6" t="n">
        <f aca="false">FALSE()</f>
        <v>0</v>
      </c>
    </row>
    <row r="285" customFormat="false" ht="52.5" hidden="false" customHeight="true" outlineLevel="0" collapsed="false">
      <c r="A285" s="6" t="str">
        <f aca="false">IFERROR(__xludf.dummyfunction("""COMPUTED_VALUE"""),"2026/03/06 11:22:03")</f>
        <v>2026/03/06 11:22:03</v>
      </c>
      <c r="B285" s="6"/>
      <c r="C285" s="6" t="str">
        <f aca="false">IFERROR(__xludf.dummyfunction("""COMPUTED_VALUE"""),"70830")</f>
        <v>70830</v>
      </c>
      <c r="D285" s="6"/>
      <c r="E285" s="6"/>
      <c r="F285" s="6"/>
      <c r="G285" s="6" t="str">
        <f aca="false">IFERROR(__xludf.dummyfunction("""COMPUTED_VALUE"""),"2026/03/28")</f>
        <v>2026/03/28</v>
      </c>
      <c r="H285" s="6" t="str">
        <f aca="false">IFERROR(__xludf.dummyfunction("""COMPUTED_VALUE"""),"不要")</f>
        <v>不要</v>
      </c>
      <c r="I285" s="6" t="str">
        <f aca="false">IFERROR(__xludf.dummyfunction("""COMPUTED_VALUE"""),"男性")</f>
        <v>男性</v>
      </c>
      <c r="J285" s="6" t="str">
        <f aca="false">IFERROR(__xludf.dummyfunction("""COMPUTED_VALUE"""),"日本")</f>
        <v>日本</v>
      </c>
      <c r="K285" s="6"/>
      <c r="L285" s="6"/>
      <c r="M285" s="6"/>
      <c r="N285" s="6"/>
      <c r="O285" s="6" t="str">
        <f aca="false">IFERROR(__xludf.dummyfunction("""COMPUTED_VALUE"""),"不要")</f>
        <v>不要</v>
      </c>
      <c r="P285" s="6"/>
      <c r="Q285" s="6"/>
      <c r="R285" s="6"/>
      <c r="S285" s="6" t="str">
        <f aca="false">IFERROR(__xludf.dummyfunction("""COMPUTED_VALUE"""),"家具家電なし社宅")</f>
        <v>家具家電なし社宅</v>
      </c>
      <c r="T285" s="6" t="str">
        <f aca="false">IFERROR(__xludf.dummyfunction("""COMPUTED_VALUE"""),"利用しない")</f>
        <v>利用しない</v>
      </c>
      <c r="U285" s="6"/>
      <c r="V285" s="6" t="str">
        <f aca="false">IFERROR(__xludf.dummyfunction("""COMPUTED_VALUE"""),"徒歩, 自転車, 電車")</f>
        <v>徒歩, 自転車, 電車</v>
      </c>
      <c r="W285" s="6"/>
      <c r="X285" s="6" t="str">
        <f aca="false">IFERROR(__xludf.dummyfunction("""COMPUTED_VALUE"""),"実家")</f>
        <v>実家</v>
      </c>
      <c r="Y285" s="6"/>
      <c r="Z285" s="6" t="str">
        <f aca="false">IFERROR(__xludf.dummyfunction("""COMPUTED_VALUE"""),"希望しない")</f>
        <v>希望しない</v>
      </c>
      <c r="AA285" s="6" t="str">
        <f aca="false">IFERROR(__xludf.dummyfunction("""COMPUTED_VALUE"""),"単身")</f>
        <v>単身</v>
      </c>
      <c r="AB285" s="6"/>
      <c r="AC285" s="6"/>
      <c r="AD285" s="6" t="str">
        <f aca="false">IFERROR(__xludf.dummyfunction("""COMPUTED_VALUE"""),"バストイレ別、2階以上")</f>
        <v>バストイレ別、2階以上</v>
      </c>
      <c r="AE285" s="6" t="str">
        <f aca="false">IFERROR(__xludf.dummyfunction("""COMPUTED_VALUE"""),"確認しました。")</f>
        <v>確認しました。</v>
      </c>
      <c r="AF285" s="6" t="str">
        <f aca="false">IFERROR(__xludf.dummyfunction("""COMPUTED_VALUE"""),"社宅基準の内容について確認しました")</f>
        <v>社宅基準の内容について確認しました</v>
      </c>
      <c r="AG285" s="6" t="str">
        <f aca="false">IFERROR(__xludf.dummyfunction("""COMPUTED_VALUE"""),"入居のしおりの内容についてご確認しました")</f>
        <v>入居のしおりの内容についてご確認しました</v>
      </c>
      <c r="AH285" s="6" t="str">
        <f aca="false">IFERROR(__xludf.dummyfunction("""COMPUTED_VALUE"""),"確認しました")</f>
        <v>確認しました</v>
      </c>
      <c r="AI285" s="6"/>
      <c r="AJ285" s="6" t="str">
        <v/>
      </c>
      <c r="AK285" s="6" t="str">
        <v/>
      </c>
      <c r="AL285" s="6" t="str">
        <v/>
      </c>
      <c r="AM285" s="6" t="str">
        <v/>
      </c>
      <c r="AN285" s="6" t="n">
        <f aca="false">FALSE()</f>
        <v>0</v>
      </c>
    </row>
    <row r="286" customFormat="false" ht="52.5" hidden="false" customHeight="true" outlineLevel="0" collapsed="false">
      <c r="A286" s="6" t="str">
        <f aca="false">IFERROR(__xludf.dummyfunction("""COMPUTED_VALUE"""),"2026/03/06 13:56:24")</f>
        <v>2026/03/06 13:56:24</v>
      </c>
      <c r="B286" s="6"/>
      <c r="C286" s="6" t="str">
        <f aca="false">IFERROR(__xludf.dummyfunction("""COMPUTED_VALUE"""),"70831")</f>
        <v>70831</v>
      </c>
      <c r="D286" s="6"/>
      <c r="E286" s="6"/>
      <c r="F286" s="6"/>
      <c r="G286" s="6" t="str">
        <f aca="false">IFERROR(__xludf.dummyfunction("""COMPUTED_VALUE"""),"2026/03/23")</f>
        <v>2026/03/23</v>
      </c>
      <c r="H286" s="6" t="str">
        <f aca="false">IFERROR(__xludf.dummyfunction("""COMPUTED_VALUE"""),"必要")</f>
        <v>必要</v>
      </c>
      <c r="I286" s="6" t="str">
        <f aca="false">IFERROR(__xludf.dummyfunction("""COMPUTED_VALUE"""),"男性")</f>
        <v>男性</v>
      </c>
      <c r="J286" s="6" t="str">
        <f aca="false">IFERROR(__xludf.dummyfunction("""COMPUTED_VALUE"""),"日本")</f>
        <v>日本</v>
      </c>
      <c r="K286" s="6" t="str">
        <f aca="false">IFERROR(__xludf.dummyfunction("""COMPUTED_VALUE"""),"15")</f>
        <v>15</v>
      </c>
      <c r="L286" s="6" t="str">
        <f aca="false">IFERROR(__xludf.dummyfunction("""COMPUTED_VALUE"""),"炊飯器、電気ケトル、テレビ、")</f>
        <v>炊飯器、電気ケトル、テレビ、</v>
      </c>
      <c r="M286" s="6" t="str">
        <f aca="false">IFERROR(__xludf.dummyfunction("""COMPUTED_VALUE"""),"物干し竿、")</f>
        <v>物干し竿、</v>
      </c>
      <c r="N286" s="6" t="str">
        <f aca="false">IFERROR(__xludf.dummyfunction("""COMPUTED_VALUE"""),"なし")</f>
        <v>なし</v>
      </c>
      <c r="O286" s="6" t="str">
        <f aca="false">IFERROR(__xludf.dummyfunction("""COMPUTED_VALUE"""),"必要")</f>
        <v>必要</v>
      </c>
      <c r="P286" s="6" t="str">
        <f aca="false">IFERROR(__xludf.dummyfunction("""COMPUTED_VALUE"""),"未定")</f>
        <v>未定</v>
      </c>
      <c r="Q286" s="6" t="str">
        <f aca="false">IFERROR(__xludf.dummyfunction("""COMPUTED_VALUE"""),"未定")</f>
        <v>未定</v>
      </c>
      <c r="R286" s="6" t="str">
        <f aca="false">IFERROR(__xludf.dummyfunction("""COMPUTED_VALUE"""),"未定")</f>
        <v>未定</v>
      </c>
      <c r="S286" s="6" t="str">
        <f aca="false">IFERROR(__xludf.dummyfunction("""COMPUTED_VALUE"""),"家具家電なし社宅")</f>
        <v>家具家電なし社宅</v>
      </c>
      <c r="T286" s="6" t="str">
        <f aca="false">IFERROR(__xludf.dummyfunction("""COMPUTED_VALUE"""),"利用する")</f>
        <v>利用する</v>
      </c>
      <c r="U286" s="6" t="str">
        <f aca="false">IFERROR(__xludf.dummyfunction("""COMPUTED_VALUE"""),"冷凍冷蔵庫2ドア80L、ベッド")</f>
        <v>冷凍冷蔵庫2ドア80L、ベッド</v>
      </c>
      <c r="V286" s="6" t="str">
        <f aca="false">IFERROR(__xludf.dummyfunction("""COMPUTED_VALUE"""),"徒歩, 自動車")</f>
        <v>徒歩, 自動車</v>
      </c>
      <c r="W286" s="6"/>
      <c r="X286" s="6" t="str">
        <f aca="false">IFERROR(__xludf.dummyfunction("""COMPUTED_VALUE"""),"ご自身で契約中の物件")</f>
        <v>ご自身で契約中の物件</v>
      </c>
      <c r="Y286" s="6"/>
      <c r="Z286" s="6" t="str">
        <f aca="false">IFERROR(__xludf.dummyfunction("""COMPUTED_VALUE"""),"希望する")</f>
        <v>希望する</v>
      </c>
      <c r="AA286" s="6" t="str">
        <f aca="false">IFERROR(__xludf.dummyfunction("""COMPUTED_VALUE"""),"単身")</f>
        <v>単身</v>
      </c>
      <c r="AB286" s="6"/>
      <c r="AC286" s="6"/>
      <c r="AD286" s="6" t="str">
        <f aca="false">IFERROR(__xludf.dummyfunction("""COMPUTED_VALUE"""),"駐車場料金によって駐車場を借りようかどうか決めようと考えています。また、社宅によって、エアコンをレンタルするかどうか決めようと考えています。帰省中に家電も見ようと思っているため、もしかしたら変更になる場合があります。")</f>
        <v>駐車場料金によって駐車場を借りようかどうか決めようと考えています。また、社宅によって、エアコンをレンタルするかどうか決めようと考えています。帰省中に家電も見ようと思っているため、もしかしたら変更になる場合があります。</v>
      </c>
      <c r="AE286" s="6" t="str">
        <f aca="false">IFERROR(__xludf.dummyfunction("""COMPUTED_VALUE"""),"確認しました。")</f>
        <v>確認しました。</v>
      </c>
      <c r="AF286" s="6" t="str">
        <f aca="false">IFERROR(__xludf.dummyfunction("""COMPUTED_VALUE"""),"社宅基準の内容について確認しました")</f>
        <v>社宅基準の内容について確認しました</v>
      </c>
      <c r="AG286" s="6" t="str">
        <f aca="false">IFERROR(__xludf.dummyfunction("""COMPUTED_VALUE"""),"入居のしおりの内容についてご確認しました")</f>
        <v>入居のしおりの内容についてご確認しました</v>
      </c>
      <c r="AH286" s="6" t="str">
        <f aca="false">IFERROR(__xludf.dummyfunction("""COMPUTED_VALUE"""),"確認しました")</f>
        <v>確認しました</v>
      </c>
      <c r="AI286" s="6"/>
      <c r="AJ286" s="6" t="str">
        <v/>
      </c>
      <c r="AK286" s="6" t="str">
        <v/>
      </c>
      <c r="AL286" s="6" t="str">
        <v/>
      </c>
      <c r="AM286" s="6" t="str">
        <v/>
      </c>
      <c r="AN286" s="6" t="n">
        <f aca="false">FALSE()</f>
        <v>0</v>
      </c>
    </row>
    <row r="287" customFormat="false" ht="52.5" hidden="false" customHeight="true" outlineLevel="0" collapsed="false">
      <c r="A287" s="6" t="str">
        <f aca="false">IFERROR(__xludf.dummyfunction("""COMPUTED_VALUE"""),"2026/03/06 14:47:35")</f>
        <v>2026/03/06 14:47:35</v>
      </c>
      <c r="B287" s="6"/>
      <c r="C287" s="6" t="str">
        <f aca="false">IFERROR(__xludf.dummyfunction("""COMPUTED_VALUE"""),"70953")</f>
        <v>70953</v>
      </c>
      <c r="D287" s="6"/>
      <c r="E287" s="6"/>
      <c r="F287" s="6"/>
      <c r="G287" s="6" t="str">
        <f aca="false">IFERROR(__xludf.dummyfunction("""COMPUTED_VALUE"""),"2026/03/31")</f>
        <v>2026/03/31</v>
      </c>
      <c r="H287" s="6" t="str">
        <f aca="false">IFERROR(__xludf.dummyfunction("""COMPUTED_VALUE"""),"必要")</f>
        <v>必要</v>
      </c>
      <c r="I287" s="6" t="str">
        <f aca="false">IFERROR(__xludf.dummyfunction("""COMPUTED_VALUE"""),"男性")</f>
        <v>男性</v>
      </c>
      <c r="J287" s="6" t="str">
        <f aca="false">IFERROR(__xludf.dummyfunction("""COMPUTED_VALUE"""),"日本")</f>
        <v>日本</v>
      </c>
      <c r="K287" s="6" t="str">
        <f aca="false">IFERROR(__xludf.dummyfunction("""COMPUTED_VALUE"""),"30")</f>
        <v>30</v>
      </c>
      <c r="L287" s="6" t="str">
        <f aca="false">IFERROR(__xludf.dummyfunction("""COMPUTED_VALUE"""),"単身用冷蔵庫　縦型洗濯機　電子レンジ　空気清浄機　ディスプレイ")</f>
        <v>単身用冷蔵庫　縦型洗濯機　電子レンジ　空気清浄機　ディスプレイ</v>
      </c>
      <c r="M287" s="6" t="str">
        <f aca="false">IFERROR(__xludf.dummyfunction("""COMPUTED_VALUE"""),"本棚2個1m×1m×30cm ベッド(バラシ済み) 机3 　オフィスチェア2個　3段ケース5個　衣装ケース3個")</f>
        <v>本棚2個1m×1m×30cm ベッド(バラシ済み) 机3 　オフィスチェア2個　3段ケース5個　衣装ケース3個</v>
      </c>
      <c r="N287" s="6" t="str">
        <f aca="false">IFERROR(__xludf.dummyfunction("""COMPUTED_VALUE"""),"なし")</f>
        <v>なし</v>
      </c>
      <c r="O287" s="6" t="str">
        <f aca="false">IFERROR(__xludf.dummyfunction("""COMPUTED_VALUE"""),"不要")</f>
        <v>不要</v>
      </c>
      <c r="P287" s="6"/>
      <c r="Q287" s="6"/>
      <c r="R287" s="6"/>
      <c r="S287" s="6" t="str">
        <f aca="false">IFERROR(__xludf.dummyfunction("""COMPUTED_VALUE"""),"家具家電なし社宅")</f>
        <v>家具家電なし社宅</v>
      </c>
      <c r="T287" s="6" t="str">
        <f aca="false">IFERROR(__xludf.dummyfunction("""COMPUTED_VALUE"""),"利用しない")</f>
        <v>利用しない</v>
      </c>
      <c r="U287" s="6"/>
      <c r="V287" s="6" t="str">
        <f aca="false">IFERROR(__xludf.dummyfunction("""COMPUTED_VALUE"""),"電車")</f>
        <v>電車</v>
      </c>
      <c r="W287" s="6"/>
      <c r="X287" s="6" t="str">
        <f aca="false">IFERROR(__xludf.dummyfunction("""COMPUTED_VALUE"""),"ご自身で契約中の物件")</f>
        <v>ご自身で契約中の物件</v>
      </c>
      <c r="Y287" s="6"/>
      <c r="Z287" s="6" t="str">
        <f aca="false">IFERROR(__xludf.dummyfunction("""COMPUTED_VALUE"""),"希望する")</f>
        <v>希望する</v>
      </c>
      <c r="AA287" s="6" t="str">
        <f aca="false">IFERROR(__xludf.dummyfunction("""COMPUTED_VALUE"""),"単身")</f>
        <v>単身</v>
      </c>
      <c r="AB287" s="6"/>
      <c r="AC287" s="6"/>
      <c r="AD287" s="6" t="str">
        <f aca="false">IFERROR(__xludf.dummyfunction("""COMPUTED_VALUE"""),"最寄り駅は豊田市駅か梅坪駅を希望します")</f>
        <v>最寄り駅は豊田市駅か梅坪駅を希望します</v>
      </c>
      <c r="AE287" s="6" t="str">
        <f aca="false">IFERROR(__xludf.dummyfunction("""COMPUTED_VALUE"""),"確認しました。")</f>
        <v>確認しました。</v>
      </c>
      <c r="AF287" s="6" t="str">
        <f aca="false">IFERROR(__xludf.dummyfunction("""COMPUTED_VALUE"""),"社宅基準の内容について確認しました")</f>
        <v>社宅基準の内容について確認しました</v>
      </c>
      <c r="AG287" s="6" t="str">
        <f aca="false">IFERROR(__xludf.dummyfunction("""COMPUTED_VALUE"""),"入居のしおりの内容についてご確認しました")</f>
        <v>入居のしおりの内容についてご確認しました</v>
      </c>
      <c r="AH287" s="6" t="str">
        <f aca="false">IFERROR(__xludf.dummyfunction("""COMPUTED_VALUE"""),"確認しました")</f>
        <v>確認しました</v>
      </c>
      <c r="AI287" s="6"/>
      <c r="AJ287" s="6" t="str">
        <v/>
      </c>
      <c r="AK287" s="6" t="str">
        <v/>
      </c>
      <c r="AL287" s="6" t="str">
        <v/>
      </c>
      <c r="AM287" s="6" t="str">
        <v/>
      </c>
      <c r="AN287" s="6" t="n">
        <f aca="false">FALSE()</f>
        <v>0</v>
      </c>
    </row>
    <row r="288" customFormat="false" ht="52.5" hidden="false" customHeight="true" outlineLevel="0" collapsed="false">
      <c r="A288" s="6" t="str">
        <f aca="false">IFERROR(__xludf.dummyfunction("""COMPUTED_VALUE"""),"2026/03/06 15:06:04")</f>
        <v>2026/03/06 15:06:04</v>
      </c>
      <c r="B288" s="6"/>
      <c r="C288" s="6" t="str">
        <f aca="false">IFERROR(__xludf.dummyfunction("""COMPUTED_VALUE"""),"70950")</f>
        <v>70950</v>
      </c>
      <c r="D288" s="6"/>
      <c r="E288" s="6"/>
      <c r="F288" s="6"/>
      <c r="G288" s="6" t="str">
        <f aca="false">IFERROR(__xludf.dummyfunction("""COMPUTED_VALUE"""),"2026/03/28")</f>
        <v>2026/03/28</v>
      </c>
      <c r="H288" s="6" t="str">
        <f aca="false">IFERROR(__xludf.dummyfunction("""COMPUTED_VALUE"""),"必要")</f>
        <v>必要</v>
      </c>
      <c r="I288" s="6" t="str">
        <f aca="false">IFERROR(__xludf.dummyfunction("""COMPUTED_VALUE"""),"男性")</f>
        <v>男性</v>
      </c>
      <c r="J288" s="6" t="str">
        <f aca="false">IFERROR(__xludf.dummyfunction("""COMPUTED_VALUE"""),"日本")</f>
        <v>日本</v>
      </c>
      <c r="K288" s="6" t="str">
        <f aca="false">IFERROR(__xludf.dummyfunction("""COMPUTED_VALUE"""),"20")</f>
        <v>20</v>
      </c>
      <c r="L288" s="6" t="str">
        <f aca="false">IFERROR(__xludf.dummyfunction("""COMPUTED_VALUE"""),"冷蔵庫(単身用)、洗濯機(奥行56×幅55.5×高さ99)、電子レンジ、ウォーターサーバー、パソコン")</f>
        <v>冷蔵庫(単身用)、洗濯機(奥行56×幅55.5×高さ99)、電子レンジ、ウォーターサーバー、パソコン</v>
      </c>
      <c r="M288" s="6" t="str">
        <f aca="false">IFERROR(__xludf.dummyfunction("""COMPUTED_VALUE"""),"ベッド(セミダブル)、ベッドフレーム、机(
幅80×奥行60×高さ38cm)、座椅子(幅49×奥行78×高さ71cm)、ゲーミングデスク(
幅118×奥行63×高さ73.5cm)、ゲーミングチェア(約幅66cm、奥行66cm、高さ126cm)")</f>
        <v>ベッド(セミダブル)、ベッドフレーム、机(
幅80×奥行60×高さ38cm)、座椅子(幅49×奥行78×高さ71cm)、ゲーミングデスク(
幅118×奥行63×高さ73.5cm)、ゲーミングチェア(約幅66cm、奥行66cm、高さ126cm)</v>
      </c>
      <c r="N288" s="6"/>
      <c r="O288" s="6" t="str">
        <f aca="false">IFERROR(__xludf.dummyfunction("""COMPUTED_VALUE"""),"必要")</f>
        <v>必要</v>
      </c>
      <c r="P288" s="6" t="str">
        <f aca="false">IFERROR(__xludf.dummyfunction("""COMPUTED_VALUE"""),"ロッキー")</f>
        <v>ロッキー</v>
      </c>
      <c r="Q288" s="6" t="str">
        <f aca="false">IFERROR(__xludf.dummyfunction("""COMPUTED_VALUE"""),"て･126")</f>
        <v>て･126</v>
      </c>
      <c r="R288" s="6" t="str">
        <f aca="false">IFERROR(__xludf.dummyfunction("""COMPUTED_VALUE"""),"白")</f>
        <v>白</v>
      </c>
      <c r="S288" s="6" t="str">
        <f aca="false">IFERROR(__xludf.dummyfunction("""COMPUTED_VALUE"""),"家具家電なし社宅")</f>
        <v>家具家電なし社宅</v>
      </c>
      <c r="T288" s="6" t="str">
        <f aca="false">IFERROR(__xludf.dummyfunction("""COMPUTED_VALUE"""),"利用しない")</f>
        <v>利用しない</v>
      </c>
      <c r="U288" s="6"/>
      <c r="V288" s="6" t="str">
        <f aca="false">IFERROR(__xludf.dummyfunction("""COMPUTED_VALUE"""),"自動車, 電車")</f>
        <v>自動車, 電車</v>
      </c>
      <c r="W288" s="6"/>
      <c r="X288" s="6" t="str">
        <f aca="false">IFERROR(__xludf.dummyfunction("""COMPUTED_VALUE"""),"株式会社ビーネックステクノロジーズの社宅")</f>
        <v>株式会社ビーネックステクノロジーズの社宅</v>
      </c>
      <c r="Y288" s="6" t="str">
        <f aca="false">IFERROR(__xludf.dummyfunction("""COMPUTED_VALUE"""),"利用なし")</f>
        <v>利用なし</v>
      </c>
      <c r="Z288" s="6" t="str">
        <f aca="false">IFERROR(__xludf.dummyfunction("""COMPUTED_VALUE"""),"希望する")</f>
        <v>希望する</v>
      </c>
      <c r="AA288" s="6" t="str">
        <f aca="false">IFERROR(__xludf.dummyfunction("""COMPUTED_VALUE"""),"単身")</f>
        <v>単身</v>
      </c>
      <c r="AB288" s="6"/>
      <c r="AC288" s="6"/>
      <c r="AD288" s="6"/>
      <c r="AE288" s="6" t="str">
        <f aca="false">IFERROR(__xludf.dummyfunction("""COMPUTED_VALUE"""),"確認しました。")</f>
        <v>確認しました。</v>
      </c>
      <c r="AF288" s="6" t="str">
        <f aca="false">IFERROR(__xludf.dummyfunction("""COMPUTED_VALUE"""),"社宅基準の内容について確認しました")</f>
        <v>社宅基準の内容について確認しました</v>
      </c>
      <c r="AG288" s="6" t="str">
        <f aca="false">IFERROR(__xludf.dummyfunction("""COMPUTED_VALUE"""),"入居のしおりの内容についてご確認しました")</f>
        <v>入居のしおりの内容についてご確認しました</v>
      </c>
      <c r="AH288" s="6" t="str">
        <f aca="false">IFERROR(__xludf.dummyfunction("""COMPUTED_VALUE"""),"確認しました")</f>
        <v>確認しました</v>
      </c>
      <c r="AI288" s="6"/>
      <c r="AJ288" s="6" t="str">
        <v/>
      </c>
      <c r="AK288" s="6" t="str">
        <v/>
      </c>
      <c r="AL288" s="6" t="str">
        <v/>
      </c>
      <c r="AM288" s="6" t="str">
        <v/>
      </c>
      <c r="AN288" s="6" t="n">
        <f aca="false">TRUE()</f>
        <v>1</v>
      </c>
    </row>
    <row r="289" customFormat="false" ht="52.5" hidden="false" customHeight="true" outlineLevel="0" collapsed="false">
      <c r="A289" s="6" t="str">
        <f aca="false">IFERROR(__xludf.dummyfunction("""COMPUTED_VALUE"""),"2026/03/06 16:13:06")</f>
        <v>2026/03/06 16:13:06</v>
      </c>
      <c r="B289" s="6"/>
      <c r="C289" s="6" t="str">
        <f aca="false">IFERROR(__xludf.dummyfunction("""COMPUTED_VALUE"""),"70859")</f>
        <v>70859</v>
      </c>
      <c r="D289" s="6"/>
      <c r="E289" s="6"/>
      <c r="F289" s="6"/>
      <c r="G289" s="6" t="str">
        <f aca="false">IFERROR(__xludf.dummyfunction("""COMPUTED_VALUE"""),"2026/03/28")</f>
        <v>2026/03/28</v>
      </c>
      <c r="H289" s="6" t="str">
        <f aca="false">IFERROR(__xludf.dummyfunction("""COMPUTED_VALUE"""),"必要")</f>
        <v>必要</v>
      </c>
      <c r="I289" s="6" t="str">
        <f aca="false">IFERROR(__xludf.dummyfunction("""COMPUTED_VALUE"""),"男性")</f>
        <v>男性</v>
      </c>
      <c r="J289" s="6" t="str">
        <f aca="false">IFERROR(__xludf.dummyfunction("""COMPUTED_VALUE"""),"日本")</f>
        <v>日本</v>
      </c>
      <c r="K289" s="6" t="str">
        <f aca="false">IFERROR(__xludf.dummyfunction("""COMPUTED_VALUE"""),"8")</f>
        <v>8</v>
      </c>
      <c r="L289" s="6" t="str">
        <f aca="false">IFERROR(__xludf.dummyfunction("""COMPUTED_VALUE"""),"なし")</f>
        <v>なし</v>
      </c>
      <c r="M289" s="6" t="str">
        <f aca="false">IFERROR(__xludf.dummyfunction("""COMPUTED_VALUE"""),"なし")</f>
        <v>なし</v>
      </c>
      <c r="N289" s="6"/>
      <c r="O289" s="6" t="str">
        <f aca="false">IFERROR(__xludf.dummyfunction("""COMPUTED_VALUE"""),"不要")</f>
        <v>不要</v>
      </c>
      <c r="P289" s="6"/>
      <c r="Q289" s="6"/>
      <c r="R289" s="6"/>
      <c r="S289" s="6" t="str">
        <f aca="false">IFERROR(__xludf.dummyfunction("""COMPUTED_VALUE"""),"家具家電付き社宅")</f>
        <v>家具家電付き社宅</v>
      </c>
      <c r="T289" s="6" t="str">
        <f aca="false">IFERROR(__xludf.dummyfunction("""COMPUTED_VALUE"""),"利用しない")</f>
        <v>利用しない</v>
      </c>
      <c r="U289" s="6"/>
      <c r="V289" s="6" t="str">
        <f aca="false">IFERROR(__xludf.dummyfunction("""COMPUTED_VALUE"""),"自転車, 電車, バス")</f>
        <v>自転車, 電車, バス</v>
      </c>
      <c r="W289" s="6"/>
      <c r="X289" s="6" t="str">
        <f aca="false">IFERROR(__xludf.dummyfunction("""COMPUTED_VALUE"""),"実家")</f>
        <v>実家</v>
      </c>
      <c r="Y289" s="6"/>
      <c r="Z289" s="6" t="str">
        <f aca="false">IFERROR(__xludf.dummyfunction("""COMPUTED_VALUE"""),"希望する")</f>
        <v>希望する</v>
      </c>
      <c r="AA289" s="6" t="str">
        <f aca="false">IFERROR(__xludf.dummyfunction("""COMPUTED_VALUE"""),"単身")</f>
        <v>単身</v>
      </c>
      <c r="AB289" s="6"/>
      <c r="AC289" s="6"/>
      <c r="AD289" s="6"/>
      <c r="AE289" s="6" t="str">
        <f aca="false">IFERROR(__xludf.dummyfunction("""COMPUTED_VALUE"""),"確認しました。")</f>
        <v>確認しました。</v>
      </c>
      <c r="AF289" s="6" t="str">
        <f aca="false">IFERROR(__xludf.dummyfunction("""COMPUTED_VALUE"""),"社宅基準の内容について確認しました")</f>
        <v>社宅基準の内容について確認しました</v>
      </c>
      <c r="AG289" s="6" t="str">
        <f aca="false">IFERROR(__xludf.dummyfunction("""COMPUTED_VALUE"""),"入居のしおりの内容についてご確認しました")</f>
        <v>入居のしおりの内容についてご確認しました</v>
      </c>
      <c r="AH289" s="6" t="str">
        <f aca="false">IFERROR(__xludf.dummyfunction("""COMPUTED_VALUE"""),"確認しました")</f>
        <v>確認しました</v>
      </c>
      <c r="AI289" s="6"/>
      <c r="AJ289" s="6" t="str">
        <v/>
      </c>
      <c r="AK289" s="6" t="str">
        <v/>
      </c>
      <c r="AL289" s="6" t="str">
        <v/>
      </c>
      <c r="AM289" s="6" t="str">
        <v/>
      </c>
      <c r="AN289" s="6" t="n">
        <f aca="false">FALSE()</f>
        <v>0</v>
      </c>
    </row>
    <row r="290" customFormat="false" ht="52.5" hidden="false" customHeight="true" outlineLevel="0" collapsed="false">
      <c r="A290" s="6" t="str">
        <f aca="false">IFERROR(__xludf.dummyfunction("""COMPUTED_VALUE"""),"2026/03/06 16:54:35")</f>
        <v>2026/03/06 16:54:35</v>
      </c>
      <c r="B290" s="6"/>
      <c r="C290" s="6" t="str">
        <f aca="false">IFERROR(__xludf.dummyfunction("""COMPUTED_VALUE"""),"70924")</f>
        <v>70924</v>
      </c>
      <c r="D290" s="6"/>
      <c r="E290" s="6"/>
      <c r="F290" s="6"/>
      <c r="G290" s="6" t="str">
        <f aca="false">IFERROR(__xludf.dummyfunction("""COMPUTED_VALUE"""),"2026/03/26")</f>
        <v>2026/03/26</v>
      </c>
      <c r="H290" s="6" t="str">
        <f aca="false">IFERROR(__xludf.dummyfunction("""COMPUTED_VALUE"""),"必要")</f>
        <v>必要</v>
      </c>
      <c r="I290" s="6" t="str">
        <f aca="false">IFERROR(__xludf.dummyfunction("""COMPUTED_VALUE"""),"男性")</f>
        <v>男性</v>
      </c>
      <c r="J290" s="6" t="str">
        <f aca="false">IFERROR(__xludf.dummyfunction("""COMPUTED_VALUE"""),"日本")</f>
        <v>日本</v>
      </c>
      <c r="K290" s="6" t="str">
        <f aca="false">IFERROR(__xludf.dummyfunction("""COMPUTED_VALUE"""),"50")</f>
        <v>50</v>
      </c>
      <c r="L290" s="6" t="str">
        <f aca="false">IFERROR(__xludf.dummyfunction("""COMPUTED_VALUE"""),"冷蔵庫（家族用）洗濯機　テレビ　オーディオ　空気清浄機２台　掃除機　炊飯器　インクジェットプリンター")</f>
        <v>冷蔵庫（家族用）洗濯機　テレビ　オーディオ　空気清浄機２台　掃除機　炊飯器　インクジェットプリンター</v>
      </c>
      <c r="M290" s="6" t="str">
        <f aca="false">IFERROR(__xludf.dummyfunction("""COMPUTED_VALUE"""),"仏壇（中型）　ダイニングテーブル（200ｘ100ｘ70）椅子６脚　ソファー（三人掛け）小型食器棚３台　キューブ型木製ＢＯＸ（37ｘ37ｘ37）18個　キューブ型木製ＢＯＸ（30ｘ30ｘ30）10個　テレビ台１台　コーヒーテーブル　分解式エレクタースチールラック５台分　寝具用ウレタンマットシングル４枚　布団")</f>
        <v>仏壇（中型）　ダイニングテーブル（200ｘ100ｘ70）椅子６脚　ソファー（三人掛け）小型食器棚３台　キューブ型木製ＢＯＸ（37ｘ37ｘ37）18個　キューブ型木製ＢＯＸ（30ｘ30ｘ30）10個　テレビ台１台　コーヒーテーブル　分解式エレクタースチールラック５台分　寝具用ウレタンマットシングル４枚　布団</v>
      </c>
      <c r="N290" s="6" t="str">
        <f aca="false">IFERROR(__xludf.dummyfunction("""COMPUTED_VALUE"""),"自転車２台　スーツケース３個　ギター")</f>
        <v>自転車２台　スーツケース３個　ギター</v>
      </c>
      <c r="O290" s="6" t="str">
        <f aca="false">IFERROR(__xludf.dummyfunction("""COMPUTED_VALUE"""),"必要")</f>
        <v>必要</v>
      </c>
      <c r="P290" s="6" t="str">
        <f aca="false">IFERROR(__xludf.dummyfunction("""COMPUTED_VALUE"""),"マツダ　ボンゴバン")</f>
        <v>マツダ　ボンゴバン</v>
      </c>
      <c r="Q290" s="6" t="str">
        <f aca="false">IFERROR(__xludf.dummyfunction("""COMPUTED_VALUE"""),"広島830　も・100")</f>
        <v>広島830　も・100</v>
      </c>
      <c r="R290" s="6" t="str">
        <f aca="false">IFERROR(__xludf.dummyfunction("""COMPUTED_VALUE"""),"白")</f>
        <v>白</v>
      </c>
      <c r="S290" s="6" t="str">
        <f aca="false">IFERROR(__xludf.dummyfunction("""COMPUTED_VALUE"""),"家具家電なし社宅")</f>
        <v>家具家電なし社宅</v>
      </c>
      <c r="T290" s="6" t="str">
        <f aca="false">IFERROR(__xludf.dummyfunction("""COMPUTED_VALUE"""),"利用しない")</f>
        <v>利用しない</v>
      </c>
      <c r="U290" s="6"/>
      <c r="V290" s="6" t="str">
        <f aca="false">IFERROR(__xludf.dummyfunction("""COMPUTED_VALUE"""),"自動車")</f>
        <v>自動車</v>
      </c>
      <c r="W290" s="6"/>
      <c r="X290" s="6" t="str">
        <f aca="false">IFERROR(__xludf.dummyfunction("""COMPUTED_VALUE"""),"実家")</f>
        <v>実家</v>
      </c>
      <c r="Y290" s="6"/>
      <c r="Z290" s="6" t="str">
        <f aca="false">IFERROR(__xludf.dummyfunction("""COMPUTED_VALUE"""),"希望する")</f>
        <v>希望する</v>
      </c>
      <c r="AA290" s="6" t="str">
        <f aca="false">IFERROR(__xludf.dummyfunction("""COMPUTED_VALUE"""),"家族")</f>
        <v>家族</v>
      </c>
      <c r="AB290" s="6" t="str">
        <f aca="false">IFERROR(__xludf.dummyfunction("""COMPUTED_VALUE"""),"氏名：大川さをり
フリガナ：オオカワサヲリ
生年月日：1972.02.15
携帯番号：080-3873-2857
続柄：妻")</f>
        <v>氏名：大川さをり
フリガナ：オオカワサヲリ
生年月日：1972.02.15
携帯番号：080-3873-2857
続柄：妻</v>
      </c>
      <c r="AC290" s="6"/>
      <c r="AD290" s="6"/>
      <c r="AE290" s="6" t="str">
        <f aca="false">IFERROR(__xludf.dummyfunction("""COMPUTED_VALUE"""),"確認しました。")</f>
        <v>確認しました。</v>
      </c>
      <c r="AF290" s="6" t="str">
        <f aca="false">IFERROR(__xludf.dummyfunction("""COMPUTED_VALUE"""),"社宅基準の内容について確認しました")</f>
        <v>社宅基準の内容について確認しました</v>
      </c>
      <c r="AG290" s="6" t="str">
        <f aca="false">IFERROR(__xludf.dummyfunction("""COMPUTED_VALUE"""),"入居のしおりの内容についてご確認しました")</f>
        <v>入居のしおりの内容についてご確認しました</v>
      </c>
      <c r="AH290" s="6" t="str">
        <f aca="false">IFERROR(__xludf.dummyfunction("""COMPUTED_VALUE"""),"確認しました")</f>
        <v>確認しました</v>
      </c>
      <c r="AI290" s="6"/>
      <c r="AJ290" s="6" t="str">
        <v/>
      </c>
      <c r="AK290" s="6" t="str">
        <v/>
      </c>
      <c r="AL290" s="6" t="str">
        <v/>
      </c>
      <c r="AM290" s="6" t="str">
        <v/>
      </c>
      <c r="AN290" s="6" t="n">
        <f aca="false">FALSE()</f>
        <v>0</v>
      </c>
    </row>
    <row r="291" customFormat="false" ht="52.5" hidden="false" customHeight="true" outlineLevel="0" collapsed="false">
      <c r="A291" s="6" t="str">
        <f aca="false">IFERROR(__xludf.dummyfunction("""COMPUTED_VALUE"""),"2026/03/06 17:51:33")</f>
        <v>2026/03/06 17:51:33</v>
      </c>
      <c r="B291" s="6"/>
      <c r="C291" s="6" t="str">
        <f aca="false">IFERROR(__xludf.dummyfunction("""COMPUTED_VALUE"""),"70973")</f>
        <v>70973</v>
      </c>
      <c r="D291" s="6"/>
      <c r="E291" s="6"/>
      <c r="F291" s="6"/>
      <c r="G291" s="6" t="str">
        <f aca="false">IFERROR(__xludf.dummyfunction("""COMPUTED_VALUE"""),"2026/04/04")</f>
        <v>2026/04/04</v>
      </c>
      <c r="H291" s="6" t="str">
        <f aca="false">IFERROR(__xludf.dummyfunction("""COMPUTED_VALUE"""),"必要")</f>
        <v>必要</v>
      </c>
      <c r="I291" s="6" t="str">
        <f aca="false">IFERROR(__xludf.dummyfunction("""COMPUTED_VALUE"""),"男性")</f>
        <v>男性</v>
      </c>
      <c r="J291" s="6" t="str">
        <f aca="false">IFERROR(__xludf.dummyfunction("""COMPUTED_VALUE"""),"日本")</f>
        <v>日本</v>
      </c>
      <c r="K291" s="6" t="str">
        <f aca="false">IFERROR(__xludf.dummyfunction("""COMPUTED_VALUE"""),"12")</f>
        <v>12</v>
      </c>
      <c r="L291" s="6" t="str">
        <f aca="false">IFERROR(__xludf.dummyfunction("""COMPUTED_VALUE"""),"単身用冷蔵庫、洗濯機、コンピューター、モニターx2、電子レンジ、炊飯器")</f>
        <v>単身用冷蔵庫、洗濯機、コンピューター、モニターx2、電子レンジ、炊飯器</v>
      </c>
      <c r="M291" s="6" t="str">
        <f aca="false">IFERROR(__xludf.dummyfunction("""COMPUTED_VALUE"""),"机(150x120)")</f>
        <v>机(150x120)</v>
      </c>
      <c r="N291" s="6"/>
      <c r="O291" s="6" t="str">
        <f aca="false">IFERROR(__xludf.dummyfunction("""COMPUTED_VALUE"""),"不要")</f>
        <v>不要</v>
      </c>
      <c r="P291" s="6"/>
      <c r="Q291" s="6"/>
      <c r="R291" s="6"/>
      <c r="S291" s="6" t="str">
        <f aca="false">IFERROR(__xludf.dummyfunction("""COMPUTED_VALUE"""),"家具家電なし社宅")</f>
        <v>家具家電なし社宅</v>
      </c>
      <c r="T291" s="6" t="str">
        <f aca="false">IFERROR(__xludf.dummyfunction("""COMPUTED_VALUE"""),"利用しない")</f>
        <v>利用しない</v>
      </c>
      <c r="U291" s="6"/>
      <c r="V291" s="6" t="str">
        <f aca="false">IFERROR(__xludf.dummyfunction("""COMPUTED_VALUE"""),"徒歩, 電車")</f>
        <v>徒歩, 電車</v>
      </c>
      <c r="W291" s="6"/>
      <c r="X291" s="6" t="str">
        <f aca="false">IFERROR(__xludf.dummyfunction("""COMPUTED_VALUE"""),"株式会社ビーネックステクノロジーズの社宅")</f>
        <v>株式会社ビーネックステクノロジーズの社宅</v>
      </c>
      <c r="Y291" s="6" t="str">
        <f aca="false">IFERROR(__xludf.dummyfunction("""COMPUTED_VALUE"""),"利用なし")</f>
        <v>利用なし</v>
      </c>
      <c r="Z291" s="6" t="str">
        <f aca="false">IFERROR(__xludf.dummyfunction("""COMPUTED_VALUE"""),"希望しない")</f>
        <v>希望しない</v>
      </c>
      <c r="AA291" s="6" t="str">
        <f aca="false">IFERROR(__xludf.dummyfunction("""COMPUTED_VALUE"""),"単身")</f>
        <v>単身</v>
      </c>
      <c r="AB291" s="6"/>
      <c r="AC291" s="6"/>
      <c r="AD291" s="6"/>
      <c r="AE291" s="6" t="str">
        <f aca="false">IFERROR(__xludf.dummyfunction("""COMPUTED_VALUE"""),"確認しました。")</f>
        <v>確認しました。</v>
      </c>
      <c r="AF291" s="6" t="str">
        <f aca="false">IFERROR(__xludf.dummyfunction("""COMPUTED_VALUE"""),"社宅基準の内容について確認しました")</f>
        <v>社宅基準の内容について確認しました</v>
      </c>
      <c r="AG291" s="6" t="str">
        <f aca="false">IFERROR(__xludf.dummyfunction("""COMPUTED_VALUE"""),"入居のしおりの内容についてご確認しました")</f>
        <v>入居のしおりの内容についてご確認しました</v>
      </c>
      <c r="AH291" s="6" t="str">
        <f aca="false">IFERROR(__xludf.dummyfunction("""COMPUTED_VALUE"""),"確認しました")</f>
        <v>確認しました</v>
      </c>
      <c r="AI291" s="6"/>
      <c r="AJ291" s="6" t="str">
        <v/>
      </c>
      <c r="AK291" s="6" t="str">
        <v/>
      </c>
      <c r="AL291" s="6" t="str">
        <v/>
      </c>
      <c r="AM291" s="6" t="str">
        <v/>
      </c>
      <c r="AN291" s="6" t="n">
        <f aca="false">TRUE()</f>
        <v>1</v>
      </c>
    </row>
    <row r="292" customFormat="false" ht="52.5" hidden="false" customHeight="true" outlineLevel="0" collapsed="false">
      <c r="A292" s="6" t="str">
        <f aca="false">IFERROR(__xludf.dummyfunction("""COMPUTED_VALUE"""),"2026/03/06 18:21:25")</f>
        <v>2026/03/06 18:21:25</v>
      </c>
      <c r="B292" s="6"/>
      <c r="C292" s="6" t="str">
        <f aca="false">IFERROR(__xludf.dummyfunction("""COMPUTED_VALUE"""),"71031")</f>
        <v>71031</v>
      </c>
      <c r="D292" s="6"/>
      <c r="E292" s="6"/>
      <c r="F292" s="6"/>
      <c r="G292" s="6" t="str">
        <f aca="false">IFERROR(__xludf.dummyfunction("""COMPUTED_VALUE"""),"2026/04/12")</f>
        <v>2026/04/12</v>
      </c>
      <c r="H292" s="6" t="str">
        <f aca="false">IFERROR(__xludf.dummyfunction("""COMPUTED_VALUE"""),"必要")</f>
        <v>必要</v>
      </c>
      <c r="I292" s="6" t="str">
        <f aca="false">IFERROR(__xludf.dummyfunction("""COMPUTED_VALUE"""),"男性")</f>
        <v>男性</v>
      </c>
      <c r="J292" s="6" t="str">
        <f aca="false">IFERROR(__xludf.dummyfunction("""COMPUTED_VALUE"""),"日本")</f>
        <v>日本</v>
      </c>
      <c r="K292" s="6" t="str">
        <f aca="false">IFERROR(__xludf.dummyfunction("""COMPUTED_VALUE"""),"20")</f>
        <v>20</v>
      </c>
      <c r="L292" s="6" t="str">
        <f aca="false">IFERROR(__xludf.dummyfunction("""COMPUTED_VALUE"""),"冷蔵庫（2ドア）、テレビ50インチ、洗濯機、ウォーターサーバー、電子レンジ、")</f>
        <v>冷蔵庫（2ドア）、テレビ50インチ、洗濯機、ウォーターサーバー、電子レンジ、</v>
      </c>
      <c r="M292" s="6" t="str">
        <f aca="false">IFERROR(__xludf.dummyfunction("""COMPUTED_VALUE"""),"テレビ台、机、オフィスチェア、ソファ（3人）、ローテーブル、ベッドセミダブル、棚")</f>
        <v>テレビ台、机、オフィスチェア、ソファ（3人）、ローテーブル、ベッドセミダブル、棚</v>
      </c>
      <c r="N292" s="6" t="str">
        <f aca="false">IFERROR(__xludf.dummyfunction("""COMPUTED_VALUE"""),"なし")</f>
        <v>なし</v>
      </c>
      <c r="O292" s="6" t="str">
        <f aca="false">IFERROR(__xludf.dummyfunction("""COMPUTED_VALUE"""),"必要")</f>
        <v>必要</v>
      </c>
      <c r="P292" s="6" t="str">
        <f aca="false">IFERROR(__xludf.dummyfunction("""COMPUTED_VALUE"""),"ダイハツ　タフト")</f>
        <v>ダイハツ　タフト</v>
      </c>
      <c r="Q292" s="6" t="str">
        <f aca="false">IFERROR(__xludf.dummyfunction("""COMPUTED_VALUE"""),"ね 15")</f>
        <v>ね 15</v>
      </c>
      <c r="R292" s="6" t="str">
        <f aca="false">IFERROR(__xludf.dummyfunction("""COMPUTED_VALUE"""),"青")</f>
        <v>青</v>
      </c>
      <c r="S292" s="6" t="str">
        <f aca="false">IFERROR(__xludf.dummyfunction("""COMPUTED_VALUE"""),"家具家電なし社宅")</f>
        <v>家具家電なし社宅</v>
      </c>
      <c r="T292" s="6" t="str">
        <f aca="false">IFERROR(__xludf.dummyfunction("""COMPUTED_VALUE"""),"利用しない")</f>
        <v>利用しない</v>
      </c>
      <c r="U292" s="6"/>
      <c r="V292" s="6" t="str">
        <f aca="false">IFERROR(__xludf.dummyfunction("""COMPUTED_VALUE"""),"自動車")</f>
        <v>自動車</v>
      </c>
      <c r="W292" s="6"/>
      <c r="X292" s="6" t="str">
        <f aca="false">IFERROR(__xludf.dummyfunction("""COMPUTED_VALUE"""),"株式会社ビーネックステクノロジーズの社宅")</f>
        <v>株式会社ビーネックステクノロジーズの社宅</v>
      </c>
      <c r="Y292" s="6" t="str">
        <f aca="false">IFERROR(__xludf.dummyfunction("""COMPUTED_VALUE"""),"利用なし")</f>
        <v>利用なし</v>
      </c>
      <c r="Z292" s="6" t="str">
        <f aca="false">IFERROR(__xludf.dummyfunction("""COMPUTED_VALUE"""),"希望しない")</f>
        <v>希望しない</v>
      </c>
      <c r="AA292" s="6" t="str">
        <f aca="false">IFERROR(__xludf.dummyfunction("""COMPUTED_VALUE"""),"単身")</f>
        <v>単身</v>
      </c>
      <c r="AB292" s="6"/>
      <c r="AC292" s="6"/>
      <c r="AD292" s="6"/>
      <c r="AE292" s="6" t="str">
        <f aca="false">IFERROR(__xludf.dummyfunction("""COMPUTED_VALUE"""),"確認しました。")</f>
        <v>確認しました。</v>
      </c>
      <c r="AF292" s="6" t="str">
        <f aca="false">IFERROR(__xludf.dummyfunction("""COMPUTED_VALUE"""),"社宅基準の内容について確認しました")</f>
        <v>社宅基準の内容について確認しました</v>
      </c>
      <c r="AG292" s="6" t="str">
        <f aca="false">IFERROR(__xludf.dummyfunction("""COMPUTED_VALUE"""),"入居のしおりの内容についてご確認しました")</f>
        <v>入居のしおりの内容についてご確認しました</v>
      </c>
      <c r="AH292" s="6" t="str">
        <f aca="false">IFERROR(__xludf.dummyfunction("""COMPUTED_VALUE"""),"確認しました")</f>
        <v>確認しました</v>
      </c>
      <c r="AI292" s="6"/>
      <c r="AJ292" s="6" t="str">
        <v/>
      </c>
      <c r="AK292" s="6" t="str">
        <v/>
      </c>
      <c r="AL292" s="6" t="str">
        <v/>
      </c>
      <c r="AM292" s="6" t="str">
        <v/>
      </c>
      <c r="AN292" s="6" t="n">
        <f aca="false">TRUE()</f>
        <v>1</v>
      </c>
    </row>
    <row r="293" customFormat="false" ht="52.5" hidden="false" customHeight="true" outlineLevel="0" collapsed="false">
      <c r="A293" s="6" t="str">
        <f aca="false">IFERROR(__xludf.dummyfunction("""COMPUTED_VALUE"""),"2026/03/07 0:34:23")</f>
        <v>2026/03/07 0:34:23</v>
      </c>
      <c r="B293" s="6"/>
      <c r="C293" s="6" t="str">
        <f aca="false">IFERROR(__xludf.dummyfunction("""COMPUTED_VALUE"""),"70947")</f>
        <v>70947</v>
      </c>
      <c r="D293" s="6"/>
      <c r="E293" s="6"/>
      <c r="F293" s="6"/>
      <c r="G293" s="6" t="str">
        <f aca="false">IFERROR(__xludf.dummyfunction("""COMPUTED_VALUE"""),"2026/03/20")</f>
        <v>2026/03/20</v>
      </c>
      <c r="H293" s="6" t="str">
        <f aca="false">IFERROR(__xludf.dummyfunction("""COMPUTED_VALUE"""),"必要")</f>
        <v>必要</v>
      </c>
      <c r="I293" s="6" t="str">
        <f aca="false">IFERROR(__xludf.dummyfunction("""COMPUTED_VALUE"""),"男性")</f>
        <v>男性</v>
      </c>
      <c r="J293" s="6" t="str">
        <f aca="false">IFERROR(__xludf.dummyfunction("""COMPUTED_VALUE"""),"日本")</f>
        <v>日本</v>
      </c>
      <c r="K293" s="6" t="str">
        <f aca="false">IFERROR(__xludf.dummyfunction("""COMPUTED_VALUE"""),"15")</f>
        <v>15</v>
      </c>
      <c r="L293" s="6" t="str">
        <f aca="false">IFERROR(__xludf.dummyfunction("""COMPUTED_VALUE"""),"なし")</f>
        <v>なし</v>
      </c>
      <c r="M293" s="6" t="str">
        <f aca="false">IFERROR(__xludf.dummyfunction("""COMPUTED_VALUE"""),"衣装ケース(横幅39cm・奥行53cm・高さ18cm)
衣装ケース(横幅39cm・奥行53cm・高さ18cm)
衣装ケース(横幅39cm・奥行53cm・高さ23cm)
衣装ケース(横幅39cm・奥行53cm・高さ23cm)
衣装ケース(横幅39cm・奥行53cm・高さ23cm)
衣装ケース(横幅74cm・奥行43cm・高さ81cm)
棚(横幅39cm・奥行35cm・高さ61cm)
机(横幅96cm・奥行49cm・高さ73cm)
椅子(横幅70cm・奥行63cm・高さ113cm)")</f>
        <v>衣装ケース(横幅39cm・奥行53cm・高さ18cm)
衣装ケース(横幅39cm・奥行53cm・高さ18cm)
衣装ケース(横幅39cm・奥行53cm・高さ23cm)
衣装ケース(横幅39cm・奥行53cm・高さ23cm)
衣装ケース(横幅39cm・奥行53cm・高さ23cm)
衣装ケース(横幅74cm・奥行43cm・高さ81cm)
棚(横幅39cm・奥行35cm・高さ61cm)
机(横幅96cm・奥行49cm・高さ73cm)
椅子(横幅70cm・奥行63cm・高さ113cm)</v>
      </c>
      <c r="N293" s="6"/>
      <c r="O293" s="6" t="str">
        <f aca="false">IFERROR(__xludf.dummyfunction("""COMPUTED_VALUE"""),"不要")</f>
        <v>不要</v>
      </c>
      <c r="P293" s="6"/>
      <c r="Q293" s="6"/>
      <c r="R293" s="6"/>
      <c r="S293" s="6" t="str">
        <f aca="false">IFERROR(__xludf.dummyfunction("""COMPUTED_VALUE"""),"家具家電なし社宅")</f>
        <v>家具家電なし社宅</v>
      </c>
      <c r="T293" s="6" t="str">
        <f aca="false">IFERROR(__xludf.dummyfunction("""COMPUTED_VALUE"""),"利用しない")</f>
        <v>利用しない</v>
      </c>
      <c r="U293" s="6"/>
      <c r="V293" s="6" t="str">
        <f aca="false">IFERROR(__xludf.dummyfunction("""COMPUTED_VALUE"""),"徒歩, 自動車")</f>
        <v>徒歩, 自動車</v>
      </c>
      <c r="W293" s="6"/>
      <c r="X293" s="6" t="str">
        <f aca="false">IFERROR(__xludf.dummyfunction("""COMPUTED_VALUE"""),"実家")</f>
        <v>実家</v>
      </c>
      <c r="Y293" s="6"/>
      <c r="Z293" s="6" t="str">
        <f aca="false">IFERROR(__xludf.dummyfunction("""COMPUTED_VALUE"""),"希望しない")</f>
        <v>希望しない</v>
      </c>
      <c r="AA293" s="6" t="str">
        <f aca="false">IFERROR(__xludf.dummyfunction("""COMPUTED_VALUE"""),"単身")</f>
        <v>単身</v>
      </c>
      <c r="AB293" s="6"/>
      <c r="AC293" s="6"/>
      <c r="AD293" s="6" t="str">
        <f aca="false">IFERROR(__xludf.dummyfunction("""COMPUTED_VALUE"""),"防音性の高い社宅をご紹介いただけますと幸いです。")</f>
        <v>防音性の高い社宅をご紹介いただけますと幸いです。</v>
      </c>
      <c r="AE293" s="6" t="str">
        <f aca="false">IFERROR(__xludf.dummyfunction("""COMPUTED_VALUE"""),"確認しました。")</f>
        <v>確認しました。</v>
      </c>
      <c r="AF293" s="6" t="str">
        <f aca="false">IFERROR(__xludf.dummyfunction("""COMPUTED_VALUE"""),"社宅基準の内容について確認しました")</f>
        <v>社宅基準の内容について確認しました</v>
      </c>
      <c r="AG293" s="6" t="str">
        <f aca="false">IFERROR(__xludf.dummyfunction("""COMPUTED_VALUE"""),"入居のしおりの内容についてご確認しました")</f>
        <v>入居のしおりの内容についてご確認しました</v>
      </c>
      <c r="AH293" s="6" t="str">
        <f aca="false">IFERROR(__xludf.dummyfunction("""COMPUTED_VALUE"""),"確認しました")</f>
        <v>確認しました</v>
      </c>
      <c r="AI293" s="6"/>
      <c r="AJ293" s="6" t="str">
        <v/>
      </c>
      <c r="AK293" s="6" t="str">
        <v/>
      </c>
      <c r="AL293" s="6" t="str">
        <v/>
      </c>
      <c r="AM293" s="6" t="str">
        <v/>
      </c>
      <c r="AN293" s="6" t="n">
        <f aca="false">TRUE()</f>
        <v>1</v>
      </c>
    </row>
    <row r="294" customFormat="false" ht="52.5" hidden="false" customHeight="true" outlineLevel="0" collapsed="false">
      <c r="A294" s="6" t="str">
        <f aca="false">IFERROR(__xludf.dummyfunction("""COMPUTED_VALUE"""),"2026/03/07 1:31:08")</f>
        <v>2026/03/07 1:31:08</v>
      </c>
      <c r="B294" s="6"/>
      <c r="C294" s="6" t="str">
        <f aca="false">IFERROR(__xludf.dummyfunction("""COMPUTED_VALUE"""),"70970")</f>
        <v>70970</v>
      </c>
      <c r="D294" s="6"/>
      <c r="E294" s="6"/>
      <c r="F294" s="6"/>
      <c r="G294" s="6" t="str">
        <f aca="false">IFERROR(__xludf.dummyfunction("""COMPUTED_VALUE"""),"2026/03/30")</f>
        <v>2026/03/30</v>
      </c>
      <c r="H294" s="6" t="str">
        <f aca="false">IFERROR(__xludf.dummyfunction("""COMPUTED_VALUE"""),"必要")</f>
        <v>必要</v>
      </c>
      <c r="I294" s="6" t="str">
        <f aca="false">IFERROR(__xludf.dummyfunction("""COMPUTED_VALUE"""),"男性")</f>
        <v>男性</v>
      </c>
      <c r="J294" s="6" t="str">
        <f aca="false">IFERROR(__xludf.dummyfunction("""COMPUTED_VALUE"""),"日本")</f>
        <v>日本</v>
      </c>
      <c r="K294" s="6" t="str">
        <f aca="false">IFERROR(__xludf.dummyfunction("""COMPUTED_VALUE"""),"10")</f>
        <v>10</v>
      </c>
      <c r="L294" s="6" t="str">
        <f aca="false">IFERROR(__xludf.dummyfunction("""COMPUTED_VALUE"""),"なし")</f>
        <v>なし</v>
      </c>
      <c r="M294" s="6" t="str">
        <f aca="false">IFERROR(__xludf.dummyfunction("""COMPUTED_VALUE"""),"机　幅120cm 奥行60cm 高さ70cm
棚2個　幅45cm 奥行30cm 高さ90cm
チェア　幅68cm 奥行51cm 高さ132cm")</f>
        <v>机　幅120cm 奥行60cm 高さ70cm
棚2個　幅45cm 奥行30cm 高さ90cm
チェア　幅68cm 奥行51cm 高さ132cm</v>
      </c>
      <c r="N294" s="6"/>
      <c r="O294" s="6" t="str">
        <f aca="false">IFERROR(__xludf.dummyfunction("""COMPUTED_VALUE"""),"必要")</f>
        <v>必要</v>
      </c>
      <c r="P294" s="6" t="str">
        <f aca="false">IFERROR(__xludf.dummyfunction("""COMPUTED_VALUE"""),"購入予定")</f>
        <v>購入予定</v>
      </c>
      <c r="Q294" s="6" t="str">
        <f aca="false">IFERROR(__xludf.dummyfunction("""COMPUTED_VALUE"""),"購入予定")</f>
        <v>購入予定</v>
      </c>
      <c r="R294" s="6" t="str">
        <f aca="false">IFERROR(__xludf.dummyfunction("""COMPUTED_VALUE"""),"購入予定")</f>
        <v>購入予定</v>
      </c>
      <c r="S294" s="6" t="str">
        <f aca="false">IFERROR(__xludf.dummyfunction("""COMPUTED_VALUE"""),"家具家電付き社宅")</f>
        <v>家具家電付き社宅</v>
      </c>
      <c r="T294" s="6" t="str">
        <f aca="false">IFERROR(__xludf.dummyfunction("""COMPUTED_VALUE"""),"利用しない")</f>
        <v>利用しない</v>
      </c>
      <c r="U294" s="6"/>
      <c r="V294" s="6" t="str">
        <f aca="false">IFERROR(__xludf.dummyfunction("""COMPUTED_VALUE"""),"徒歩, 自動車, 自転車, 社用バス")</f>
        <v>徒歩, 自動車, 自転車, 社用バス</v>
      </c>
      <c r="W294" s="6"/>
      <c r="X294" s="6" t="str">
        <f aca="false">IFERROR(__xludf.dummyfunction("""COMPUTED_VALUE"""),"実家")</f>
        <v>実家</v>
      </c>
      <c r="Y294" s="6"/>
      <c r="Z294" s="6" t="str">
        <f aca="false">IFERROR(__xludf.dummyfunction("""COMPUTED_VALUE"""),"希望する")</f>
        <v>希望する</v>
      </c>
      <c r="AA294" s="6" t="str">
        <f aca="false">IFERROR(__xludf.dummyfunction("""COMPUTED_VALUE"""),"単身")</f>
        <v>単身</v>
      </c>
      <c r="AB294" s="6"/>
      <c r="AC294" s="6"/>
      <c r="AD294" s="6" t="str">
        <f aca="false">IFERROR(__xludf.dummyfunction("""COMPUTED_VALUE"""),"広めの部屋がいいです。
可能であればバストイレ別でお願いします。")</f>
        <v>広めの部屋がいいです。
可能であればバストイレ別でお願いします。</v>
      </c>
      <c r="AE294" s="6" t="str">
        <f aca="false">IFERROR(__xludf.dummyfunction("""COMPUTED_VALUE"""),"確認しました。")</f>
        <v>確認しました。</v>
      </c>
      <c r="AF294" s="6" t="str">
        <f aca="false">IFERROR(__xludf.dummyfunction("""COMPUTED_VALUE"""),"社宅基準の内容について確認しました")</f>
        <v>社宅基準の内容について確認しました</v>
      </c>
      <c r="AG294" s="6" t="str">
        <f aca="false">IFERROR(__xludf.dummyfunction("""COMPUTED_VALUE"""),"入居のしおりの内容についてご確認しました")</f>
        <v>入居のしおりの内容についてご確認しました</v>
      </c>
      <c r="AH294" s="6" t="str">
        <f aca="false">IFERROR(__xludf.dummyfunction("""COMPUTED_VALUE"""),"確認しました")</f>
        <v>確認しました</v>
      </c>
      <c r="AI294" s="6"/>
      <c r="AJ294" s="6" t="str">
        <v/>
      </c>
      <c r="AK294" s="6" t="str">
        <v/>
      </c>
      <c r="AL294" s="6" t="str">
        <v/>
      </c>
      <c r="AM294" s="6" t="str">
        <v/>
      </c>
      <c r="AN294" s="6" t="n">
        <f aca="false">TRUE()</f>
        <v>1</v>
      </c>
    </row>
    <row r="295" customFormat="false" ht="52.5" hidden="false" customHeight="true" outlineLevel="0" collapsed="false">
      <c r="A295" s="6" t="str">
        <f aca="false">IFERROR(__xludf.dummyfunction("""COMPUTED_VALUE"""),"2026/03/07 12:25:52")</f>
        <v>2026/03/07 12:25:52</v>
      </c>
      <c r="B295" s="6"/>
      <c r="C295" s="6" t="str">
        <f aca="false">IFERROR(__xludf.dummyfunction("""COMPUTED_VALUE"""),"70949")</f>
        <v>70949</v>
      </c>
      <c r="D295" s="6"/>
      <c r="E295" s="6"/>
      <c r="F295" s="6"/>
      <c r="G295" s="6" t="str">
        <f aca="false">IFERROR(__xludf.dummyfunction("""COMPUTED_VALUE"""),"2026/03/23")</f>
        <v>2026/03/23</v>
      </c>
      <c r="H295" s="6" t="str">
        <f aca="false">IFERROR(__xludf.dummyfunction("""COMPUTED_VALUE"""),"必要")</f>
        <v>必要</v>
      </c>
      <c r="I295" s="6" t="str">
        <f aca="false">IFERROR(__xludf.dummyfunction("""COMPUTED_VALUE"""),"男性")</f>
        <v>男性</v>
      </c>
      <c r="J295" s="6" t="str">
        <f aca="false">IFERROR(__xludf.dummyfunction("""COMPUTED_VALUE"""),"日本")</f>
        <v>日本</v>
      </c>
      <c r="K295" s="6" t="str">
        <f aca="false">IFERROR(__xludf.dummyfunction("""COMPUTED_VALUE"""),"10")</f>
        <v>10</v>
      </c>
      <c r="L295" s="6" t="str">
        <f aca="false">IFERROR(__xludf.dummyfunction("""COMPUTED_VALUE"""),"無し")</f>
        <v>無し</v>
      </c>
      <c r="M295" s="6" t="str">
        <f aca="false">IFERROR(__xludf.dummyfunction("""COMPUTED_VALUE"""),"タンス(80cm、30cm、1m)")</f>
        <v>タンス(80cm、30cm、1m)</v>
      </c>
      <c r="N295" s="6" t="str">
        <f aca="false">IFERROR(__xludf.dummyfunction("""COMPUTED_VALUE"""),"自転車、掛け布団、敷布団")</f>
        <v>自転車、掛け布団、敷布団</v>
      </c>
      <c r="O295" s="6" t="str">
        <f aca="false">IFERROR(__xludf.dummyfunction("""COMPUTED_VALUE"""),"不要")</f>
        <v>不要</v>
      </c>
      <c r="P295" s="6"/>
      <c r="Q295" s="6"/>
      <c r="R295" s="6"/>
      <c r="S295" s="6" t="str">
        <f aca="false">IFERROR(__xludf.dummyfunction("""COMPUTED_VALUE"""),"家具家電付き社宅")</f>
        <v>家具家電付き社宅</v>
      </c>
      <c r="T295" s="6" t="str">
        <f aca="false">IFERROR(__xludf.dummyfunction("""COMPUTED_VALUE"""),"利用する")</f>
        <v>利用する</v>
      </c>
      <c r="U295" s="6" t="str">
        <f aca="false">IFERROR(__xludf.dummyfunction("""COMPUTED_VALUE"""),"電子レンジ、炊飯器、掃除機")</f>
        <v>電子レンジ、炊飯器、掃除機</v>
      </c>
      <c r="V295" s="6" t="str">
        <f aca="false">IFERROR(__xludf.dummyfunction("""COMPUTED_VALUE"""),"徒歩, 自転車")</f>
        <v>徒歩, 自転車</v>
      </c>
      <c r="W295" s="6"/>
      <c r="X295" s="6" t="str">
        <f aca="false">IFERROR(__xludf.dummyfunction("""COMPUTED_VALUE"""),"実家")</f>
        <v>実家</v>
      </c>
      <c r="Y295" s="6"/>
      <c r="Z295" s="6" t="str">
        <f aca="false">IFERROR(__xludf.dummyfunction("""COMPUTED_VALUE"""),"希望する")</f>
        <v>希望する</v>
      </c>
      <c r="AA295" s="6" t="str">
        <f aca="false">IFERROR(__xludf.dummyfunction("""COMPUTED_VALUE"""),"単身")</f>
        <v>単身</v>
      </c>
      <c r="AB295" s="6"/>
      <c r="AC295" s="6"/>
      <c r="AD295" s="6"/>
      <c r="AE295" s="6" t="str">
        <f aca="false">IFERROR(__xludf.dummyfunction("""COMPUTED_VALUE"""),"確認しました。")</f>
        <v>確認しました。</v>
      </c>
      <c r="AF295" s="6" t="str">
        <f aca="false">IFERROR(__xludf.dummyfunction("""COMPUTED_VALUE"""),"社宅基準の内容について確認しました")</f>
        <v>社宅基準の内容について確認しました</v>
      </c>
      <c r="AG295" s="6" t="str">
        <f aca="false">IFERROR(__xludf.dummyfunction("""COMPUTED_VALUE"""),"入居のしおりの内容についてご確認しました")</f>
        <v>入居のしおりの内容についてご確認しました</v>
      </c>
      <c r="AH295" s="6" t="str">
        <f aca="false">IFERROR(__xludf.dummyfunction("""COMPUTED_VALUE"""),"確認しました")</f>
        <v>確認しました</v>
      </c>
      <c r="AI295" s="6"/>
      <c r="AJ295" s="6" t="str">
        <v/>
      </c>
      <c r="AK295" s="6" t="str">
        <v/>
      </c>
      <c r="AL295" s="6" t="str">
        <v/>
      </c>
      <c r="AM295" s="6" t="str">
        <v/>
      </c>
      <c r="AN295" s="6" t="n">
        <f aca="false">FALSE()</f>
        <v>0</v>
      </c>
    </row>
    <row r="296" customFormat="false" ht="52.5" hidden="false" customHeight="true" outlineLevel="0" collapsed="false">
      <c r="A296" s="6" t="str">
        <f aca="false">IFERROR(__xludf.dummyfunction("""COMPUTED_VALUE"""),"2026/03/07 12:34:47")</f>
        <v>2026/03/07 12:34:47</v>
      </c>
      <c r="B296" s="6"/>
      <c r="C296" s="6" t="str">
        <f aca="false">IFERROR(__xludf.dummyfunction("""COMPUTED_VALUE"""),"70844")</f>
        <v>70844</v>
      </c>
      <c r="D296" s="6"/>
      <c r="E296" s="6"/>
      <c r="F296" s="6"/>
      <c r="G296" s="6" t="str">
        <f aca="false">IFERROR(__xludf.dummyfunction("""COMPUTED_VALUE"""),"2026/03/07")</f>
        <v>2026/03/07</v>
      </c>
      <c r="H296" s="6" t="str">
        <f aca="false">IFERROR(__xludf.dummyfunction("""COMPUTED_VALUE"""),"必要")</f>
        <v>必要</v>
      </c>
      <c r="I296" s="6" t="str">
        <f aca="false">IFERROR(__xludf.dummyfunction("""COMPUTED_VALUE"""),"男性")</f>
        <v>男性</v>
      </c>
      <c r="J296" s="6" t="str">
        <f aca="false">IFERROR(__xludf.dummyfunction("""COMPUTED_VALUE"""),"日本")</f>
        <v>日本</v>
      </c>
      <c r="K296" s="6" t="str">
        <f aca="false">IFERROR(__xludf.dummyfunction("""COMPUTED_VALUE"""),"5")</f>
        <v>5</v>
      </c>
      <c r="L296" s="6" t="str">
        <f aca="false">IFERROR(__xludf.dummyfunction("""COMPUTED_VALUE"""),"無し")</f>
        <v>無し</v>
      </c>
      <c r="M296" s="6" t="str">
        <f aca="false">IFERROR(__xludf.dummyfunction("""COMPUTED_VALUE"""),"無し")</f>
        <v>無し</v>
      </c>
      <c r="N296" s="6" t="str">
        <f aca="false">IFERROR(__xludf.dummyfunction("""COMPUTED_VALUE"""),"自転車")</f>
        <v>自転車</v>
      </c>
      <c r="O296" s="6" t="str">
        <f aca="false">IFERROR(__xludf.dummyfunction("""COMPUTED_VALUE"""),"不要")</f>
        <v>不要</v>
      </c>
      <c r="P296" s="6"/>
      <c r="Q296" s="6"/>
      <c r="R296" s="6"/>
      <c r="S296" s="6" t="str">
        <f aca="false">IFERROR(__xludf.dummyfunction("""COMPUTED_VALUE"""),"家具家電付き社宅")</f>
        <v>家具家電付き社宅</v>
      </c>
      <c r="T296" s="6" t="str">
        <f aca="false">IFERROR(__xludf.dummyfunction("""COMPUTED_VALUE"""),"利用する")</f>
        <v>利用する</v>
      </c>
      <c r="U296" s="6" t="str">
        <f aca="false">IFERROR(__xludf.dummyfunction("""COMPUTED_VALUE"""),"掛け布団、敷布団、毛布、マットレス、枕、冷凍冷蔵庫(2ドア、80リットル)、ガスコンロ(1口)、電子レンジ、炊飯器、照明器具、掃除機")</f>
        <v>掛け布団、敷布団、毛布、マットレス、枕、冷凍冷蔵庫(2ドア、80リットル)、ガスコンロ(1口)、電子レンジ、炊飯器、照明器具、掃除機</v>
      </c>
      <c r="V296" s="6" t="str">
        <f aca="false">IFERROR(__xludf.dummyfunction("""COMPUTED_VALUE"""),"徒歩, 自動車")</f>
        <v>徒歩, 自動車</v>
      </c>
      <c r="W296" s="6"/>
      <c r="X296" s="6" t="str">
        <f aca="false">IFERROR(__xludf.dummyfunction("""COMPUTED_VALUE"""),"実家")</f>
        <v>実家</v>
      </c>
      <c r="Y296" s="6"/>
      <c r="Z296" s="6" t="str">
        <f aca="false">IFERROR(__xludf.dummyfunction("""COMPUTED_VALUE"""),"希望する")</f>
        <v>希望する</v>
      </c>
      <c r="AA296" s="6" t="str">
        <f aca="false">IFERROR(__xludf.dummyfunction("""COMPUTED_VALUE"""),"単身")</f>
        <v>単身</v>
      </c>
      <c r="AB296" s="6"/>
      <c r="AC296" s="6"/>
      <c r="AD296" s="6" t="str">
        <f aca="false">IFERROR(__xludf.dummyfunction("""COMPUTED_VALUE"""),"特に無し")</f>
        <v>特に無し</v>
      </c>
      <c r="AE296" s="6" t="str">
        <f aca="false">IFERROR(__xludf.dummyfunction("""COMPUTED_VALUE"""),"確認しました。")</f>
        <v>確認しました。</v>
      </c>
      <c r="AF296" s="6" t="str">
        <f aca="false">IFERROR(__xludf.dummyfunction("""COMPUTED_VALUE"""),"社宅基準の内容について確認しました")</f>
        <v>社宅基準の内容について確認しました</v>
      </c>
      <c r="AG296" s="6" t="str">
        <f aca="false">IFERROR(__xludf.dummyfunction("""COMPUTED_VALUE"""),"入居のしおりの内容についてご確認しました")</f>
        <v>入居のしおりの内容についてご確認しました</v>
      </c>
      <c r="AH296" s="6" t="str">
        <f aca="false">IFERROR(__xludf.dummyfunction("""COMPUTED_VALUE"""),"確認しました")</f>
        <v>確認しました</v>
      </c>
      <c r="AI296" s="6"/>
      <c r="AJ296" s="6" t="str">
        <v/>
      </c>
      <c r="AK296" s="6" t="str">
        <v/>
      </c>
      <c r="AL296" s="6" t="str">
        <v/>
      </c>
      <c r="AM296" s="6" t="str">
        <v/>
      </c>
      <c r="AN296" s="6" t="n">
        <f aca="false">TRUE()</f>
        <v>1</v>
      </c>
    </row>
    <row r="297" customFormat="false" ht="52.5" hidden="false" customHeight="true" outlineLevel="0" collapsed="false">
      <c r="A297" s="6" t="str">
        <f aca="false">IFERROR(__xludf.dummyfunction("""COMPUTED_VALUE"""),"2026/03/07 20:46:41")</f>
        <v>2026/03/07 20:46:41</v>
      </c>
      <c r="B297" s="6"/>
      <c r="C297" s="6" t="str">
        <f aca="false">IFERROR(__xludf.dummyfunction("""COMPUTED_VALUE"""),"71025")</f>
        <v>71025</v>
      </c>
      <c r="D297" s="6"/>
      <c r="E297" s="6"/>
      <c r="F297" s="6"/>
      <c r="G297" s="6" t="str">
        <f aca="false">IFERROR(__xludf.dummyfunction("""COMPUTED_VALUE"""),"2026/03/28")</f>
        <v>2026/03/28</v>
      </c>
      <c r="H297" s="6" t="str">
        <f aca="false">IFERROR(__xludf.dummyfunction("""COMPUTED_VALUE"""),"必要")</f>
        <v>必要</v>
      </c>
      <c r="I297" s="6" t="str">
        <f aca="false">IFERROR(__xludf.dummyfunction("""COMPUTED_VALUE"""),"男性")</f>
        <v>男性</v>
      </c>
      <c r="J297" s="6" t="str">
        <f aca="false">IFERROR(__xludf.dummyfunction("""COMPUTED_VALUE"""),"日本")</f>
        <v>日本</v>
      </c>
      <c r="K297" s="6" t="str">
        <f aca="false">IFERROR(__xludf.dummyfunction("""COMPUTED_VALUE"""),"15")</f>
        <v>15</v>
      </c>
      <c r="L297" s="6" t="str">
        <f aca="false">IFERROR(__xludf.dummyfunction("""COMPUTED_VALUE"""),"なし")</f>
        <v>なし</v>
      </c>
      <c r="M297" s="6" t="str">
        <f aca="false">IFERROR(__xludf.dummyfunction("""COMPUTED_VALUE"""),"なし")</f>
        <v>なし</v>
      </c>
      <c r="N297" s="6" t="str">
        <f aca="false">IFERROR(__xludf.dummyfunction("""COMPUTED_VALUE"""),"なし")</f>
        <v>なし</v>
      </c>
      <c r="O297" s="6" t="str">
        <f aca="false">IFERROR(__xludf.dummyfunction("""COMPUTED_VALUE"""),"必要")</f>
        <v>必要</v>
      </c>
      <c r="P297" s="6" t="str">
        <f aca="false">IFERROR(__xludf.dummyfunction("""COMPUTED_VALUE"""),"フィット")</f>
        <v>フィット</v>
      </c>
      <c r="Q297" s="6" t="str">
        <f aca="false">IFERROR(__xludf.dummyfunction("""COMPUTED_VALUE"""),"横浜 549 や 225")</f>
        <v>横浜 549 や 225</v>
      </c>
      <c r="R297" s="6" t="str">
        <f aca="false">IFERROR(__xludf.dummyfunction("""COMPUTED_VALUE"""),"緑")</f>
        <v>緑</v>
      </c>
      <c r="S297" s="6" t="str">
        <f aca="false">IFERROR(__xludf.dummyfunction("""COMPUTED_VALUE"""),"家具家電付き社宅")</f>
        <v>家具家電付き社宅</v>
      </c>
      <c r="T297" s="6" t="str">
        <f aca="false">IFERROR(__xludf.dummyfunction("""COMPUTED_VALUE"""),"利用しない")</f>
        <v>利用しない</v>
      </c>
      <c r="U297" s="6"/>
      <c r="V297" s="6" t="str">
        <f aca="false">IFERROR(__xludf.dummyfunction("""COMPUTED_VALUE"""),"自動車, バイク")</f>
        <v>自動車, バイク</v>
      </c>
      <c r="W297" s="6"/>
      <c r="X297" s="6" t="str">
        <f aca="false">IFERROR(__xludf.dummyfunction("""COMPUTED_VALUE"""),"実家")</f>
        <v>実家</v>
      </c>
      <c r="Y297" s="6"/>
      <c r="Z297" s="6" t="str">
        <f aca="false">IFERROR(__xludf.dummyfunction("""COMPUTED_VALUE"""),"希望する")</f>
        <v>希望する</v>
      </c>
      <c r="AA297" s="6" t="str">
        <f aca="false">IFERROR(__xludf.dummyfunction("""COMPUTED_VALUE"""),"単身")</f>
        <v>単身</v>
      </c>
      <c r="AB297" s="6"/>
      <c r="AC297" s="6"/>
      <c r="AD297" s="6" t="str">
        <f aca="false">IFERROR(__xludf.dummyfunction("""COMPUTED_VALUE"""),"バイクが置ける駐輪場が欲しいです。")</f>
        <v>バイクが置ける駐輪場が欲しいです。</v>
      </c>
      <c r="AE297" s="6" t="str">
        <f aca="false">IFERROR(__xludf.dummyfunction("""COMPUTED_VALUE"""),"確認しました。")</f>
        <v>確認しました。</v>
      </c>
      <c r="AF297" s="6" t="str">
        <f aca="false">IFERROR(__xludf.dummyfunction("""COMPUTED_VALUE"""),"社宅基準の内容について確認しました")</f>
        <v>社宅基準の内容について確認しました</v>
      </c>
      <c r="AG297" s="6" t="str">
        <f aca="false">IFERROR(__xludf.dummyfunction("""COMPUTED_VALUE"""),"入居のしおりの内容についてご確認しました")</f>
        <v>入居のしおりの内容についてご確認しました</v>
      </c>
      <c r="AH297" s="6" t="str">
        <f aca="false">IFERROR(__xludf.dummyfunction("""COMPUTED_VALUE"""),"確認しました")</f>
        <v>確認しました</v>
      </c>
      <c r="AI297" s="6"/>
      <c r="AJ297" s="6" t="str">
        <v/>
      </c>
      <c r="AK297" s="6" t="str">
        <v/>
      </c>
      <c r="AL297" s="6" t="str">
        <v/>
      </c>
      <c r="AM297" s="6" t="str">
        <v/>
      </c>
      <c r="AN297" s="6" t="n">
        <f aca="false">TRUE()</f>
        <v>1</v>
      </c>
    </row>
    <row r="298" customFormat="false" ht="52.5" hidden="false" customHeight="true" outlineLevel="0" collapsed="false">
      <c r="A298" s="6" t="str">
        <f aca="false">IFERROR(__xludf.dummyfunction("""COMPUTED_VALUE"""),"2026/03/07 21:20:58")</f>
        <v>2026/03/07 21:20:58</v>
      </c>
      <c r="B298" s="6"/>
      <c r="C298" s="6" t="str">
        <f aca="false">IFERROR(__xludf.dummyfunction("""COMPUTED_VALUE"""),"70989")</f>
        <v>70989</v>
      </c>
      <c r="D298" s="6"/>
      <c r="E298" s="6"/>
      <c r="F298" s="6"/>
      <c r="G298" s="6" t="str">
        <f aca="false">IFERROR(__xludf.dummyfunction("""COMPUTED_VALUE"""),"2026/03/27")</f>
        <v>2026/03/27</v>
      </c>
      <c r="H298" s="6" t="str">
        <f aca="false">IFERROR(__xludf.dummyfunction("""COMPUTED_VALUE"""),"必要")</f>
        <v>必要</v>
      </c>
      <c r="I298" s="6" t="str">
        <f aca="false">IFERROR(__xludf.dummyfunction("""COMPUTED_VALUE"""),"男性")</f>
        <v>男性</v>
      </c>
      <c r="J298" s="6" t="str">
        <f aca="false">IFERROR(__xludf.dummyfunction("""COMPUTED_VALUE"""),"日本")</f>
        <v>日本</v>
      </c>
      <c r="K298" s="6" t="str">
        <f aca="false">IFERROR(__xludf.dummyfunction("""COMPUTED_VALUE"""),"10")</f>
        <v>10</v>
      </c>
      <c r="L298" s="6" t="str">
        <f aca="false">IFERROR(__xludf.dummyfunction("""COMPUTED_VALUE"""),"冷蔵庫(1ドア) デスクトップPC モニター3枚 ")</f>
        <v>冷蔵庫(1ドア) デスクトップPC モニター3枚 </v>
      </c>
      <c r="M298" s="6" t="str">
        <f aca="false">IFERROR(__xludf.dummyfunction("""COMPUTED_VALUE"""),"特になし")</f>
        <v>特になし</v>
      </c>
      <c r="N298" s="6"/>
      <c r="O298" s="6" t="str">
        <f aca="false">IFERROR(__xludf.dummyfunction("""COMPUTED_VALUE"""),"不要")</f>
        <v>不要</v>
      </c>
      <c r="P298" s="6"/>
      <c r="Q298" s="6"/>
      <c r="R298" s="6"/>
      <c r="S298" s="6" t="str">
        <f aca="false">IFERROR(__xludf.dummyfunction("""COMPUTED_VALUE"""),"家具家電付き社宅")</f>
        <v>家具家電付き社宅</v>
      </c>
      <c r="T298" s="6" t="str">
        <f aca="false">IFERROR(__xludf.dummyfunction("""COMPUTED_VALUE"""),"利用しない")</f>
        <v>利用しない</v>
      </c>
      <c r="U298" s="6"/>
      <c r="V298" s="6" t="str">
        <f aca="false">IFERROR(__xludf.dummyfunction("""COMPUTED_VALUE"""),"徒歩, 電車")</f>
        <v>徒歩, 電車</v>
      </c>
      <c r="W298" s="6"/>
      <c r="X298" s="6" t="str">
        <f aca="false">IFERROR(__xludf.dummyfunction("""COMPUTED_VALUE"""),"ご自身で契約中の物件")</f>
        <v>ご自身で契約中の物件</v>
      </c>
      <c r="Y298" s="6"/>
      <c r="Z298" s="6" t="str">
        <f aca="false">IFERROR(__xludf.dummyfunction("""COMPUTED_VALUE"""),"希望する")</f>
        <v>希望する</v>
      </c>
      <c r="AA298" s="6" t="str">
        <f aca="false">IFERROR(__xludf.dummyfunction("""COMPUTED_VALUE"""),"単身")</f>
        <v>単身</v>
      </c>
      <c r="AB298" s="6"/>
      <c r="AC298" s="6"/>
      <c r="AD298" s="6"/>
      <c r="AE298" s="6" t="str">
        <f aca="false">IFERROR(__xludf.dummyfunction("""COMPUTED_VALUE"""),"確認しました。")</f>
        <v>確認しました。</v>
      </c>
      <c r="AF298" s="6" t="str">
        <f aca="false">IFERROR(__xludf.dummyfunction("""COMPUTED_VALUE"""),"社宅基準の内容について確認しました")</f>
        <v>社宅基準の内容について確認しました</v>
      </c>
      <c r="AG298" s="6" t="str">
        <f aca="false">IFERROR(__xludf.dummyfunction("""COMPUTED_VALUE"""),"入居のしおりの内容についてご確認しました")</f>
        <v>入居のしおりの内容についてご確認しました</v>
      </c>
      <c r="AH298" s="6" t="str">
        <f aca="false">IFERROR(__xludf.dummyfunction("""COMPUTED_VALUE"""),"確認しました")</f>
        <v>確認しました</v>
      </c>
      <c r="AI298" s="6"/>
      <c r="AJ298" s="6" t="str">
        <v/>
      </c>
      <c r="AK298" s="6" t="str">
        <v/>
      </c>
      <c r="AL298" s="6" t="str">
        <v/>
      </c>
      <c r="AM298" s="6" t="str">
        <v/>
      </c>
      <c r="AN298" s="6" t="n">
        <f aca="false">FALSE()</f>
        <v>0</v>
      </c>
    </row>
    <row r="299" customFormat="false" ht="52.5" hidden="false" customHeight="true" outlineLevel="0" collapsed="false">
      <c r="A299" s="6" t="str">
        <f aca="false">IFERROR(__xludf.dummyfunction("""COMPUTED_VALUE"""),"2026/03/09 10:26:40")</f>
        <v>2026/03/09 10:26:40</v>
      </c>
      <c r="B299" s="6"/>
      <c r="C299" s="6" t="str">
        <f aca="false">IFERROR(__xludf.dummyfunction("""COMPUTED_VALUE"""),"71038")</f>
        <v>71038</v>
      </c>
      <c r="D299" s="6"/>
      <c r="E299" s="6"/>
      <c r="F299" s="6"/>
      <c r="G299" s="6" t="str">
        <f aca="false">IFERROR(__xludf.dummyfunction("""COMPUTED_VALUE"""),"2026/03/26")</f>
        <v>2026/03/26</v>
      </c>
      <c r="H299" s="6" t="str">
        <f aca="false">IFERROR(__xludf.dummyfunction("""COMPUTED_VALUE"""),"必要")</f>
        <v>必要</v>
      </c>
      <c r="I299" s="6" t="str">
        <f aca="false">IFERROR(__xludf.dummyfunction("""COMPUTED_VALUE"""),"男性")</f>
        <v>男性</v>
      </c>
      <c r="J299" s="6" t="str">
        <f aca="false">IFERROR(__xludf.dummyfunction("""COMPUTED_VALUE"""),"中国")</f>
        <v>中国</v>
      </c>
      <c r="K299" s="6" t="str">
        <f aca="false">IFERROR(__xludf.dummyfunction("""COMPUTED_VALUE"""),"8")</f>
        <v>8</v>
      </c>
      <c r="L299" s="6" t="str">
        <f aca="false">IFERROR(__xludf.dummyfunction("""COMPUTED_VALUE"""),"炊飯器とアイロン")</f>
        <v>炊飯器とアイロン</v>
      </c>
      <c r="M299" s="6" t="str">
        <f aca="false">IFERROR(__xludf.dummyfunction("""COMPUTED_VALUE"""),"持ってない")</f>
        <v>持ってない</v>
      </c>
      <c r="N299" s="6" t="str">
        <f aca="false">IFERROR(__xludf.dummyfunction("""COMPUTED_VALUE"""),"27インチのスーツケース")</f>
        <v>27インチのスーツケース</v>
      </c>
      <c r="O299" s="6" t="str">
        <f aca="false">IFERROR(__xludf.dummyfunction("""COMPUTED_VALUE"""),"不要")</f>
        <v>不要</v>
      </c>
      <c r="P299" s="6"/>
      <c r="Q299" s="6"/>
      <c r="R299" s="6"/>
      <c r="S299" s="6" t="str">
        <f aca="false">IFERROR(__xludf.dummyfunction("""COMPUTED_VALUE"""),"家具家電付き社宅")</f>
        <v>家具家電付き社宅</v>
      </c>
      <c r="T299" s="6" t="str">
        <f aca="false">IFERROR(__xludf.dummyfunction("""COMPUTED_VALUE"""),"利用しない")</f>
        <v>利用しない</v>
      </c>
      <c r="U299" s="6"/>
      <c r="V299" s="6" t="str">
        <f aca="false">IFERROR(__xludf.dummyfunction("""COMPUTED_VALUE"""),"徒歩, 自動車, 自転車, 電車, バス, 社用バス")</f>
        <v>徒歩, 自動車, 自転車, 電車, バス, 社用バス</v>
      </c>
      <c r="W299" s="6"/>
      <c r="X299" s="6" t="str">
        <f aca="false">IFERROR(__xludf.dummyfunction("""COMPUTED_VALUE"""),"株式会社ビーネックステクノロジーズの社宅")</f>
        <v>株式会社ビーネックステクノロジーズの社宅</v>
      </c>
      <c r="Y299" s="6" t="str">
        <f aca="false">IFERROR(__xludf.dummyfunction("""COMPUTED_VALUE"""),"利用なし")</f>
        <v>利用なし</v>
      </c>
      <c r="Z299" s="6" t="str">
        <f aca="false">IFERROR(__xludf.dummyfunction("""COMPUTED_VALUE"""),"希望する")</f>
        <v>希望する</v>
      </c>
      <c r="AA299" s="6" t="str">
        <f aca="false">IFERROR(__xludf.dummyfunction("""COMPUTED_VALUE"""),"単身")</f>
        <v>単身</v>
      </c>
      <c r="AB299" s="6"/>
      <c r="AC299" s="6"/>
      <c r="AD299" s="6"/>
      <c r="AE299" s="6" t="str">
        <f aca="false">IFERROR(__xludf.dummyfunction("""COMPUTED_VALUE"""),"確認しました。")</f>
        <v>確認しました。</v>
      </c>
      <c r="AF299" s="6" t="str">
        <f aca="false">IFERROR(__xludf.dummyfunction("""COMPUTED_VALUE"""),"社宅基準の内容について確認しました")</f>
        <v>社宅基準の内容について確認しました</v>
      </c>
      <c r="AG299" s="6" t="str">
        <f aca="false">IFERROR(__xludf.dummyfunction("""COMPUTED_VALUE"""),"入居のしおりの内容についてご確認しました")</f>
        <v>入居のしおりの内容についてご確認しました</v>
      </c>
      <c r="AH299" s="6" t="str">
        <f aca="false">IFERROR(__xludf.dummyfunction("""COMPUTED_VALUE"""),"確認しました")</f>
        <v>確認しました</v>
      </c>
      <c r="AI299" s="6"/>
      <c r="AJ299" s="6" t="str">
        <v/>
      </c>
      <c r="AK299" s="6" t="str">
        <v/>
      </c>
      <c r="AL299" s="6" t="str">
        <v/>
      </c>
      <c r="AM299" s="6" t="str">
        <v/>
      </c>
      <c r="AN299" s="6" t="n">
        <f aca="false">FALSE()</f>
        <v>0</v>
      </c>
    </row>
    <row r="300" customFormat="false" ht="52.5" hidden="false" customHeight="true" outlineLevel="0" collapsed="false">
      <c r="A300" s="6" t="str">
        <f aca="false">IFERROR(__xludf.dummyfunction("""COMPUTED_VALUE"""),"2026/03/09 11:34:38")</f>
        <v>2026/03/09 11:34:38</v>
      </c>
      <c r="B300" s="6"/>
      <c r="C300" s="6" t="str">
        <f aca="false">IFERROR(__xludf.dummyfunction("""COMPUTED_VALUE"""),"71069")</f>
        <v>71069</v>
      </c>
      <c r="D300" s="6"/>
      <c r="E300" s="6"/>
      <c r="F300" s="6"/>
      <c r="G300" s="6" t="str">
        <f aca="false">IFERROR(__xludf.dummyfunction("""COMPUTED_VALUE"""),"2026/03/23")</f>
        <v>2026/03/23</v>
      </c>
      <c r="H300" s="6" t="str">
        <f aca="false">IFERROR(__xludf.dummyfunction("""COMPUTED_VALUE"""),"必要")</f>
        <v>必要</v>
      </c>
      <c r="I300" s="6" t="str">
        <f aca="false">IFERROR(__xludf.dummyfunction("""COMPUTED_VALUE"""),"女性")</f>
        <v>女性</v>
      </c>
      <c r="J300" s="6" t="str">
        <f aca="false">IFERROR(__xludf.dummyfunction("""COMPUTED_VALUE"""),"日本")</f>
        <v>日本</v>
      </c>
      <c r="K300" s="6" t="str">
        <f aca="false">IFERROR(__xludf.dummyfunction("""COMPUTED_VALUE"""),"20")</f>
        <v>20</v>
      </c>
      <c r="L300" s="6" t="str">
        <f aca="false">IFERROR(__xludf.dummyfunction("""COMPUTED_VALUE"""),"冷蔵庫(単身用)、洗濯機、電子レンジ(ここまでの3点はレンタルなので場合によっては返却)
デスクトップPC、モニタ")</f>
        <v>冷蔵庫(単身用)、洗濯機、電子レンジ(ここまでの3点はレンタルなので場合によっては返却)
デスクトップPC、モニタ</v>
      </c>
      <c r="M300" s="6" t="str">
        <f aca="false">IFERROR(__xludf.dummyfunction("""COMPUTED_VALUE"""),"座椅子1、
コタツ机(天板60×60cm・枠60×60×15cm・脚部分は分解可)、
タンス(幅75×奥40×高さ100cm)、
カラーボックス(幅30×奥39×高さ88cm)×2点、
デスク(幅114×奥52.5×高さ120cm　机自体は高さ70cm程度ですがラックが繋がっています)")</f>
        <v>座椅子1、
コタツ机(天板60×60cm・枠60×60×15cm・脚部分は分解可)、
タンス(幅75×奥40×高さ100cm)、
カラーボックス(幅30×奥39×高さ88cm)×2点、
デスク(幅114×奥52.5×高さ120cm　机自体は高さ70cm程度ですがラックが繋がっています)</v>
      </c>
      <c r="N300" s="6"/>
      <c r="O300" s="6" t="str">
        <f aca="false">IFERROR(__xludf.dummyfunction("""COMPUTED_VALUE"""),"不要")</f>
        <v>不要</v>
      </c>
      <c r="P300" s="6"/>
      <c r="Q300" s="6"/>
      <c r="R300" s="6"/>
      <c r="S300" s="6" t="str">
        <f aca="false">IFERROR(__xludf.dummyfunction("""COMPUTED_VALUE"""),"家具家電付き社宅")</f>
        <v>家具家電付き社宅</v>
      </c>
      <c r="T300" s="6" t="str">
        <f aca="false">IFERROR(__xludf.dummyfunction("""COMPUTED_VALUE"""),"利用しない")</f>
        <v>利用しない</v>
      </c>
      <c r="U300" s="6"/>
      <c r="V300" s="6" t="str">
        <f aca="false">IFERROR(__xludf.dummyfunction("""COMPUTED_VALUE"""),"徒歩, 電車")</f>
        <v>徒歩, 電車</v>
      </c>
      <c r="W300" s="6"/>
      <c r="X300" s="6" t="str">
        <f aca="false">IFERROR(__xludf.dummyfunction("""COMPUTED_VALUE"""),"株式会社ビーネックステクノロジーズの社宅")</f>
        <v>株式会社ビーネックステクノロジーズの社宅</v>
      </c>
      <c r="Y300" s="6" t="str">
        <f aca="false">IFERROR(__xludf.dummyfunction("""COMPUTED_VALUE"""),"レンジ・冷蔵庫・洗濯機
家具なし物件しかない場合は引き継ぎ希望")</f>
        <v>レンジ・冷蔵庫・洗濯機
家具なし物件しかない場合は引き継ぎ希望</v>
      </c>
      <c r="Z300" s="6" t="str">
        <f aca="false">IFERROR(__xludf.dummyfunction("""COMPUTED_VALUE"""),"希望しない")</f>
        <v>希望しない</v>
      </c>
      <c r="AA300" s="6" t="str">
        <f aca="false">IFERROR(__xludf.dummyfunction("""COMPUTED_VALUE"""),"単身")</f>
        <v>単身</v>
      </c>
      <c r="AB300" s="6"/>
      <c r="AC300" s="6"/>
      <c r="AD300" s="6" t="str">
        <f aca="false">IFERROR(__xludf.dummyfunction("""COMPUTED_VALUE"""),"会社近くの物件(徒歩・自転車可)
もしくは電車通勤で最寄駅まで15分程度の物件を希望します。")</f>
        <v>会社近くの物件(徒歩・自転車可)
もしくは電車通勤で最寄駅まで15分程度の物件を希望します。</v>
      </c>
      <c r="AE300" s="6" t="str">
        <f aca="false">IFERROR(__xludf.dummyfunction("""COMPUTED_VALUE"""),"確認しました。")</f>
        <v>確認しました。</v>
      </c>
      <c r="AF300" s="6" t="str">
        <f aca="false">IFERROR(__xludf.dummyfunction("""COMPUTED_VALUE"""),"社宅基準の内容について確認しました")</f>
        <v>社宅基準の内容について確認しました</v>
      </c>
      <c r="AG300" s="6" t="str">
        <f aca="false">IFERROR(__xludf.dummyfunction("""COMPUTED_VALUE"""),"入居のしおりの内容についてご確認しました")</f>
        <v>入居のしおりの内容についてご確認しました</v>
      </c>
      <c r="AH300" s="6" t="str">
        <f aca="false">IFERROR(__xludf.dummyfunction("""COMPUTED_VALUE"""),"確認しました")</f>
        <v>確認しました</v>
      </c>
      <c r="AI300" s="6"/>
      <c r="AJ300" s="6" t="str">
        <v/>
      </c>
      <c r="AK300" s="6" t="str">
        <v/>
      </c>
      <c r="AL300" s="6" t="str">
        <v/>
      </c>
      <c r="AM300" s="6" t="str">
        <v/>
      </c>
      <c r="AN300" s="6" t="n">
        <f aca="false">FALSE()</f>
        <v>0</v>
      </c>
    </row>
    <row r="301" customFormat="false" ht="52.5" hidden="false" customHeight="true" outlineLevel="0" collapsed="false">
      <c r="A301" s="6" t="str">
        <f aca="false">IFERROR(__xludf.dummyfunction("""COMPUTED_VALUE"""),"2026/03/09 12:52:58")</f>
        <v>2026/03/09 12:52:58</v>
      </c>
      <c r="B301" s="6"/>
      <c r="C301" s="6" t="str">
        <f aca="false">IFERROR(__xludf.dummyfunction("""COMPUTED_VALUE"""),"71071")</f>
        <v>71071</v>
      </c>
      <c r="D301" s="6"/>
      <c r="E301" s="6"/>
      <c r="F301" s="6"/>
      <c r="G301" s="6" t="str">
        <f aca="false">IFERROR(__xludf.dummyfunction("""COMPUTED_VALUE"""),"2026/03/30")</f>
        <v>2026/03/30</v>
      </c>
      <c r="H301" s="6" t="str">
        <f aca="false">IFERROR(__xludf.dummyfunction("""COMPUTED_VALUE"""),"必要")</f>
        <v>必要</v>
      </c>
      <c r="I301" s="6" t="str">
        <f aca="false">IFERROR(__xludf.dummyfunction("""COMPUTED_VALUE"""),"男性")</f>
        <v>男性</v>
      </c>
      <c r="J301" s="6" t="str">
        <f aca="false">IFERROR(__xludf.dummyfunction("""COMPUTED_VALUE"""),"日本")</f>
        <v>日本</v>
      </c>
      <c r="K301" s="6" t="str">
        <f aca="false">IFERROR(__xludf.dummyfunction("""COMPUTED_VALUE"""),"5")</f>
        <v>5</v>
      </c>
      <c r="L301" s="6" t="str">
        <f aca="false">IFERROR(__xludf.dummyfunction("""COMPUTED_VALUE"""),"冷蔵庫単身用1台、ドラム式ではない洗濯機1台、炊飯器1台、電子レンジ1台、テレビ1台、ブルーレイレコーダー1台、ノートパソコン3台")</f>
        <v>冷蔵庫単身用1台、ドラム式ではない洗濯機1台、炊飯器1台、電子レンジ1台、テレビ1台、ブルーレイレコーダー1台、ノートパソコン3台</v>
      </c>
      <c r="M301" s="6" t="str">
        <f aca="false">IFERROR(__xludf.dummyfunction("""COMPUTED_VALUE"""),"ベッドシングル1つ、組み立て式の小型机2つ")</f>
        <v>ベッドシングル1つ、組み立て式の小型机2つ</v>
      </c>
      <c r="N301" s="6" t="str">
        <f aca="false">IFERROR(__xludf.dummyfunction("""COMPUTED_VALUE"""),"自転車1台")</f>
        <v>自転車1台</v>
      </c>
      <c r="O301" s="6" t="str">
        <f aca="false">IFERROR(__xludf.dummyfunction("""COMPUTED_VALUE"""),"不要")</f>
        <v>不要</v>
      </c>
      <c r="P301" s="6"/>
      <c r="Q301" s="6"/>
      <c r="R301" s="6"/>
      <c r="S301" s="6" t="str">
        <f aca="false">IFERROR(__xludf.dummyfunction("""COMPUTED_VALUE"""),"家具家電なし社宅")</f>
        <v>家具家電なし社宅</v>
      </c>
      <c r="T301" s="6" t="str">
        <f aca="false">IFERROR(__xludf.dummyfunction("""COMPUTED_VALUE"""),"利用しない")</f>
        <v>利用しない</v>
      </c>
      <c r="U301" s="6"/>
      <c r="V301" s="6" t="str">
        <f aca="false">IFERROR(__xludf.dummyfunction("""COMPUTED_VALUE"""),"徒歩, 電車")</f>
        <v>徒歩, 電車</v>
      </c>
      <c r="W301" s="6"/>
      <c r="X301" s="6" t="str">
        <f aca="false">IFERROR(__xludf.dummyfunction("""COMPUTED_VALUE"""),"株式会社ビーネックステクノロジーズの社宅")</f>
        <v>株式会社ビーネックステクノロジーズの社宅</v>
      </c>
      <c r="Y301" s="6" t="str">
        <f aca="false">IFERROR(__xludf.dummyfunction("""COMPUTED_VALUE"""),"利用なし")</f>
        <v>利用なし</v>
      </c>
      <c r="Z301" s="6" t="str">
        <f aca="false">IFERROR(__xludf.dummyfunction("""COMPUTED_VALUE"""),"希望する")</f>
        <v>希望する</v>
      </c>
      <c r="AA301" s="6" t="str">
        <f aca="false">IFERROR(__xludf.dummyfunction("""COMPUTED_VALUE"""),"単身")</f>
        <v>単身</v>
      </c>
      <c r="AB301" s="6"/>
      <c r="AC301" s="6"/>
      <c r="AD301" s="6" t="str">
        <f aca="false">IFERROR(__xludf.dummyfunction("""COMPUTED_VALUE"""),"可能ならば駅から1km以内の物件を希望します。")</f>
        <v>可能ならば駅から1km以内の物件を希望します。</v>
      </c>
      <c r="AE301" s="6" t="str">
        <f aca="false">IFERROR(__xludf.dummyfunction("""COMPUTED_VALUE"""),"確認しました。")</f>
        <v>確認しました。</v>
      </c>
      <c r="AF301" s="6" t="str">
        <f aca="false">IFERROR(__xludf.dummyfunction("""COMPUTED_VALUE"""),"社宅基準の内容について確認しました")</f>
        <v>社宅基準の内容について確認しました</v>
      </c>
      <c r="AG301" s="6" t="str">
        <f aca="false">IFERROR(__xludf.dummyfunction("""COMPUTED_VALUE"""),"入居のしおりの内容についてご確認しました")</f>
        <v>入居のしおりの内容についてご確認しました</v>
      </c>
      <c r="AH301" s="6" t="str">
        <f aca="false">IFERROR(__xludf.dummyfunction("""COMPUTED_VALUE"""),"確認しました")</f>
        <v>確認しました</v>
      </c>
      <c r="AI301" s="6"/>
      <c r="AJ301" s="6" t="str">
        <v/>
      </c>
      <c r="AK301" s="6" t="str">
        <v/>
      </c>
      <c r="AL301" s="6" t="str">
        <v/>
      </c>
      <c r="AM301" s="6" t="str">
        <v/>
      </c>
      <c r="AN301" s="6" t="n">
        <f aca="false">FALSE()</f>
        <v>0</v>
      </c>
    </row>
    <row r="302" customFormat="false" ht="52.5" hidden="false" customHeight="true" outlineLevel="0" collapsed="false">
      <c r="A302" s="6" t="str">
        <f aca="false">IFERROR(__xludf.dummyfunction("""COMPUTED_VALUE"""),"2026/03/09 13:00:37")</f>
        <v>2026/03/09 13:00:37</v>
      </c>
      <c r="B302" s="6"/>
      <c r="C302" s="6" t="str">
        <f aca="false">IFERROR(__xludf.dummyfunction("""COMPUTED_VALUE"""),"71059")</f>
        <v>71059</v>
      </c>
      <c r="D302" s="6"/>
      <c r="E302" s="6"/>
      <c r="F302" s="6"/>
      <c r="G302" s="6" t="str">
        <f aca="false">IFERROR(__xludf.dummyfunction("""COMPUTED_VALUE"""),"2026/04/16")</f>
        <v>2026/04/16</v>
      </c>
      <c r="H302" s="6" t="str">
        <f aca="false">IFERROR(__xludf.dummyfunction("""COMPUTED_VALUE"""),"必要")</f>
        <v>必要</v>
      </c>
      <c r="I302" s="6" t="str">
        <f aca="false">IFERROR(__xludf.dummyfunction("""COMPUTED_VALUE"""),"男性")</f>
        <v>男性</v>
      </c>
      <c r="J302" s="6" t="str">
        <f aca="false">IFERROR(__xludf.dummyfunction("""COMPUTED_VALUE"""),"日本")</f>
        <v>日本</v>
      </c>
      <c r="K302" s="6" t="str">
        <f aca="false">IFERROR(__xludf.dummyfunction("""COMPUTED_VALUE"""),"20")</f>
        <v>20</v>
      </c>
      <c r="L302" s="6" t="str">
        <f aca="false">IFERROR(__xludf.dummyfunction("""COMPUTED_VALUE"""),"ドラム式洗濯機(横幅60cm,奥行60cm,高さ100cm)、家族用冷蔵庫")</f>
        <v>ドラム式洗濯機(横幅60cm,奥行60cm,高さ100cm)、家族用冷蔵庫</v>
      </c>
      <c r="M302" s="6" t="str">
        <f aca="false">IFERROR(__xludf.dummyfunction("""COMPUTED_VALUE"""),"ベッド(シングル)2つ、机1つ、キャビネット3つ、洋服タンス3つ、洋服ラック、電動ソファ、椅子、収納ラック2つ、ランドリーキャビネット、キッチンキャビネット")</f>
        <v>ベッド(シングル)2つ、机1つ、キャビネット3つ、洋服タンス3つ、洋服ラック、電動ソファ、椅子、収納ラック2つ、ランドリーキャビネット、キッチンキャビネット</v>
      </c>
      <c r="N302" s="6" t="str">
        <f aca="false">IFERROR(__xludf.dummyfunction("""COMPUTED_VALUE"""),"電動バイク(自転車)")</f>
        <v>電動バイク(自転車)</v>
      </c>
      <c r="O302" s="6" t="str">
        <f aca="false">IFERROR(__xludf.dummyfunction("""COMPUTED_VALUE"""),"不要")</f>
        <v>不要</v>
      </c>
      <c r="P302" s="6"/>
      <c r="Q302" s="6"/>
      <c r="R302" s="6"/>
      <c r="S302" s="6" t="str">
        <f aca="false">IFERROR(__xludf.dummyfunction("""COMPUTED_VALUE"""),"家具家電なし社宅")</f>
        <v>家具家電なし社宅</v>
      </c>
      <c r="T302" s="6" t="str">
        <f aca="false">IFERROR(__xludf.dummyfunction("""COMPUTED_VALUE"""),"利用しない")</f>
        <v>利用しない</v>
      </c>
      <c r="U302" s="6"/>
      <c r="V302" s="6" t="str">
        <f aca="false">IFERROR(__xludf.dummyfunction("""COMPUTED_VALUE"""),"徒歩, 電車, バス")</f>
        <v>徒歩, 電車, バス</v>
      </c>
      <c r="W302" s="6"/>
      <c r="X302" s="6" t="str">
        <f aca="false">IFERROR(__xludf.dummyfunction("""COMPUTED_VALUE"""),"ご自身で契約中の物件")</f>
        <v>ご自身で契約中の物件</v>
      </c>
      <c r="Y302" s="6"/>
      <c r="Z302" s="6" t="str">
        <f aca="false">IFERROR(__xludf.dummyfunction("""COMPUTED_VALUE"""),"希望する")</f>
        <v>希望する</v>
      </c>
      <c r="AA302" s="6" t="str">
        <f aca="false">IFERROR(__xludf.dummyfunction("""COMPUTED_VALUE"""),"家族")</f>
        <v>家族</v>
      </c>
      <c r="AB302" s="6" t="str">
        <f aca="false">IFERROR(__xludf.dummyfunction("""COMPUTED_VALUE"""),"氏名:鴻巣あすか
フリガナ:コウノスアスカ
生年月日:1973年7月24日
携帯番号:08021347591
続柄:妻")</f>
        <v>氏名:鴻巣あすか
フリガナ:コウノスアスカ
生年月日:1973年7月24日
携帯番号:08021347591
続柄:妻</v>
      </c>
      <c r="AC302" s="6"/>
      <c r="AD302" s="6" t="str">
        <f aca="false">IFERROR(__xludf.dummyfunction("""COMPUTED_VALUE"""),"電動自転車が置ける所希望
マンション希望
上記は可能であれば。")</f>
        <v>電動自転車が置ける所希望
マンション希望
上記は可能であれば。</v>
      </c>
      <c r="AE302" s="6" t="str">
        <f aca="false">IFERROR(__xludf.dummyfunction("""COMPUTED_VALUE"""),"確認しました。")</f>
        <v>確認しました。</v>
      </c>
      <c r="AF302" s="6" t="str">
        <f aca="false">IFERROR(__xludf.dummyfunction("""COMPUTED_VALUE"""),"社宅基準の内容について確認しました")</f>
        <v>社宅基準の内容について確認しました</v>
      </c>
      <c r="AG302" s="6" t="str">
        <f aca="false">IFERROR(__xludf.dummyfunction("""COMPUTED_VALUE"""),"入居のしおりの内容についてご確認しました")</f>
        <v>入居のしおりの内容についてご確認しました</v>
      </c>
      <c r="AH302" s="6" t="str">
        <f aca="false">IFERROR(__xludf.dummyfunction("""COMPUTED_VALUE"""),"確認しました")</f>
        <v>確認しました</v>
      </c>
      <c r="AI302" s="6"/>
      <c r="AJ302" s="6" t="str">
        <v/>
      </c>
      <c r="AK302" s="6" t="str">
        <v/>
      </c>
      <c r="AL302" s="6" t="str">
        <v/>
      </c>
      <c r="AM302" s="6" t="str">
        <v/>
      </c>
      <c r="AN302" s="6" t="n">
        <f aca="false">FALSE()</f>
        <v>0</v>
      </c>
    </row>
    <row r="303" customFormat="false" ht="52.5" hidden="false" customHeight="true" outlineLevel="0" collapsed="false">
      <c r="A303" s="6" t="str">
        <f aca="false">IFERROR(__xludf.dummyfunction("""COMPUTED_VALUE"""),"2026/03/09 14:15:12")</f>
        <v>2026/03/09 14:15:12</v>
      </c>
      <c r="B303" s="6"/>
      <c r="C303" s="6" t="str">
        <f aca="false">IFERROR(__xludf.dummyfunction("""COMPUTED_VALUE"""),"71072")</f>
        <v>71072</v>
      </c>
      <c r="D303" s="6"/>
      <c r="E303" s="6"/>
      <c r="F303" s="6"/>
      <c r="G303" s="6" t="str">
        <f aca="false">IFERROR(__xludf.dummyfunction("""COMPUTED_VALUE"""),"2026/03/14")</f>
        <v>2026/03/14</v>
      </c>
      <c r="H303" s="6" t="str">
        <f aca="false">IFERROR(__xludf.dummyfunction("""COMPUTED_VALUE"""),"必要")</f>
        <v>必要</v>
      </c>
      <c r="I303" s="6" t="str">
        <f aca="false">IFERROR(__xludf.dummyfunction("""COMPUTED_VALUE"""),"女性")</f>
        <v>女性</v>
      </c>
      <c r="J303" s="6" t="str">
        <f aca="false">IFERROR(__xludf.dummyfunction("""COMPUTED_VALUE"""),"日本")</f>
        <v>日本</v>
      </c>
      <c r="K303" s="6" t="str">
        <f aca="false">IFERROR(__xludf.dummyfunction("""COMPUTED_VALUE"""),"25")</f>
        <v>25</v>
      </c>
      <c r="L303" s="6" t="str">
        <f aca="false">IFERROR(__xludf.dummyfunction("""COMPUTED_VALUE"""),"冷蔵庫(単身用)、洗濯機、テレビ、掃除機、炊飯器、トースター、電子レンジ")</f>
        <v>冷蔵庫(単身用)、洗濯機、テレビ、掃除機、炊飯器、トースター、電子レンジ</v>
      </c>
      <c r="M303" s="6" t="str">
        <f aca="false">IFERROR(__xludf.dummyfunction("""COMPUTED_VALUE"""),"ベッド(シングル)、マットレス(シングル)姿見(28×44×148)、デスク(95×48×72)、デスクチェア、棚(88×30×42)、デスク用ワゴン(40×45×58)、キッチンワゴン")</f>
        <v>ベッド(シングル)、マットレス(シングル)姿見(28×44×148)、デスク(95×48×72)、デスクチェア、棚(88×30×42)、デスク用ワゴン(40×45×58)、キッチンワゴン</v>
      </c>
      <c r="N303" s="6" t="str">
        <f aca="false">IFERROR(__xludf.dummyfunction("""COMPUTED_VALUE"""),"自転車")</f>
        <v>自転車</v>
      </c>
      <c r="O303" s="6" t="str">
        <f aca="false">IFERROR(__xludf.dummyfunction("""COMPUTED_VALUE"""),"不要")</f>
        <v>不要</v>
      </c>
      <c r="P303" s="6"/>
      <c r="Q303" s="6"/>
      <c r="R303" s="6"/>
      <c r="S303" s="6" t="str">
        <f aca="false">IFERROR(__xludf.dummyfunction("""COMPUTED_VALUE"""),"家具家電なし社宅")</f>
        <v>家具家電なし社宅</v>
      </c>
      <c r="T303" s="6" t="str">
        <f aca="false">IFERROR(__xludf.dummyfunction("""COMPUTED_VALUE"""),"利用しない")</f>
        <v>利用しない</v>
      </c>
      <c r="U303" s="6"/>
      <c r="V303" s="6" t="str">
        <f aca="false">IFERROR(__xludf.dummyfunction("""COMPUTED_VALUE"""),"徒歩, 自転車, 電車")</f>
        <v>徒歩, 自転車, 電車</v>
      </c>
      <c r="W303" s="6"/>
      <c r="X303" s="6" t="str">
        <f aca="false">IFERROR(__xludf.dummyfunction("""COMPUTED_VALUE"""),"ご自身で契約中の物件")</f>
        <v>ご自身で契約中の物件</v>
      </c>
      <c r="Y303" s="6"/>
      <c r="Z303" s="6" t="str">
        <f aca="false">IFERROR(__xludf.dummyfunction("""COMPUTED_VALUE"""),"希望しない")</f>
        <v>希望しない</v>
      </c>
      <c r="AA303" s="6" t="str">
        <f aca="false">IFERROR(__xludf.dummyfunction("""COMPUTED_VALUE"""),"単身")</f>
        <v>単身</v>
      </c>
      <c r="AB303" s="6"/>
      <c r="AC303" s="6"/>
      <c r="AD303" s="6" t="str">
        <f aca="false">IFERROR(__xludf.dummyfunction("""COMPUTED_VALUE"""),"可能であれば風呂・トイレ別、独立洗面台、ワンルームではない物件を希望したいと考えております。難しいかとは存じますので希望が叶わなくとも問題ございません。")</f>
        <v>可能であれば風呂・トイレ別、独立洗面台、ワンルームではない物件を希望したいと考えております。難しいかとは存じますので希望が叶わなくとも問題ございません。</v>
      </c>
      <c r="AE303" s="6" t="str">
        <f aca="false">IFERROR(__xludf.dummyfunction("""COMPUTED_VALUE"""),"確認しました。")</f>
        <v>確認しました。</v>
      </c>
      <c r="AF303" s="6" t="str">
        <f aca="false">IFERROR(__xludf.dummyfunction("""COMPUTED_VALUE"""),"社宅基準の内容について確認しました")</f>
        <v>社宅基準の内容について確認しました</v>
      </c>
      <c r="AG303" s="6" t="str">
        <f aca="false">IFERROR(__xludf.dummyfunction("""COMPUTED_VALUE"""),"入居のしおりの内容についてご確認しました")</f>
        <v>入居のしおりの内容についてご確認しました</v>
      </c>
      <c r="AH303" s="6" t="str">
        <f aca="false">IFERROR(__xludf.dummyfunction("""COMPUTED_VALUE"""),"確認しました")</f>
        <v>確認しました</v>
      </c>
      <c r="AI303" s="6"/>
      <c r="AJ303" s="6" t="str">
        <v/>
      </c>
      <c r="AK303" s="6" t="str">
        <v/>
      </c>
      <c r="AL303" s="6" t="str">
        <v/>
      </c>
      <c r="AM303" s="6" t="str">
        <v/>
      </c>
      <c r="AN303" s="6" t="n">
        <f aca="false">FALSE()</f>
        <v>0</v>
      </c>
    </row>
    <row r="304" customFormat="false" ht="52.5" hidden="false" customHeight="true" outlineLevel="0" collapsed="false">
      <c r="A304" s="6" t="str">
        <f aca="false">IFERROR(__xludf.dummyfunction("""COMPUTED_VALUE"""),"2026/03/09 14:30:34")</f>
        <v>2026/03/09 14:30:34</v>
      </c>
      <c r="B304" s="6"/>
      <c r="C304" s="6" t="str">
        <f aca="false">IFERROR(__xludf.dummyfunction("""COMPUTED_VALUE"""),"71043")</f>
        <v>71043</v>
      </c>
      <c r="D304" s="6"/>
      <c r="E304" s="6"/>
      <c r="F304" s="6"/>
      <c r="G304" s="6" t="str">
        <f aca="false">IFERROR(__xludf.dummyfunction("""COMPUTED_VALUE"""),"2026/03/16")</f>
        <v>2026/03/16</v>
      </c>
      <c r="H304" s="6" t="str">
        <f aca="false">IFERROR(__xludf.dummyfunction("""COMPUTED_VALUE"""),"必要")</f>
        <v>必要</v>
      </c>
      <c r="I304" s="6" t="str">
        <f aca="false">IFERROR(__xludf.dummyfunction("""COMPUTED_VALUE"""),"女性")</f>
        <v>女性</v>
      </c>
      <c r="J304" s="6" t="str">
        <f aca="false">IFERROR(__xludf.dummyfunction("""COMPUTED_VALUE"""),"日本")</f>
        <v>日本</v>
      </c>
      <c r="K304" s="6" t="str">
        <f aca="false">IFERROR(__xludf.dummyfunction("""COMPUTED_VALUE"""),"20")</f>
        <v>20</v>
      </c>
      <c r="L304" s="6" t="str">
        <f aca="false">IFERROR(__xludf.dummyfunction("""COMPUTED_VALUE"""),"冷蔵庫（単身用）、電子レンジ、洗濯機、テレビ、炊飯器")</f>
        <v>冷蔵庫（単身用）、電子レンジ、洗濯機、テレビ、炊飯器</v>
      </c>
      <c r="M304" s="6" t="str">
        <f aca="false">IFERROR(__xludf.dummyfunction("""COMPUTED_VALUE"""),"机（折りたたみ式でそんなに大きくないです）、ベッド（シングル）")</f>
        <v>机（折りたたみ式でそんなに大きくないです）、ベッド（シングル）</v>
      </c>
      <c r="N304" s="6" t="str">
        <f aca="false">IFERROR(__xludf.dummyfunction("""COMPUTED_VALUE"""),"自転車")</f>
        <v>自転車</v>
      </c>
      <c r="O304" s="6" t="str">
        <f aca="false">IFERROR(__xludf.dummyfunction("""COMPUTED_VALUE"""),"不要")</f>
        <v>不要</v>
      </c>
      <c r="P304" s="6"/>
      <c r="Q304" s="6"/>
      <c r="R304" s="6"/>
      <c r="S304" s="6" t="str">
        <f aca="false">IFERROR(__xludf.dummyfunction("""COMPUTED_VALUE"""),"家具家電なし社宅")</f>
        <v>家具家電なし社宅</v>
      </c>
      <c r="T304" s="6" t="str">
        <f aca="false">IFERROR(__xludf.dummyfunction("""COMPUTED_VALUE"""),"利用しない")</f>
        <v>利用しない</v>
      </c>
      <c r="U304" s="6"/>
      <c r="V304" s="6" t="str">
        <f aca="false">IFERROR(__xludf.dummyfunction("""COMPUTED_VALUE"""),"徒歩, 電車")</f>
        <v>徒歩, 電車</v>
      </c>
      <c r="W304" s="6"/>
      <c r="X304" s="6" t="str">
        <f aca="false">IFERROR(__xludf.dummyfunction("""COMPUTED_VALUE"""),"ご自身で契約中の物件")</f>
        <v>ご自身で契約中の物件</v>
      </c>
      <c r="Y304" s="6"/>
      <c r="Z304" s="6" t="str">
        <f aca="false">IFERROR(__xludf.dummyfunction("""COMPUTED_VALUE"""),"希望する")</f>
        <v>希望する</v>
      </c>
      <c r="AA304" s="6" t="str">
        <f aca="false">IFERROR(__xludf.dummyfunction("""COMPUTED_VALUE"""),"単身")</f>
        <v>単身</v>
      </c>
      <c r="AB304" s="6"/>
      <c r="AC304" s="6"/>
      <c r="AD304" s="6" t="str">
        <f aca="false">IFERROR(__xludf.dummyfunction("""COMPUTED_VALUE"""),"お風呂とトイレは絶対に別にしていただきたいのと、できれば2階以上でお願いします。")</f>
        <v>お風呂とトイレは絶対に別にしていただきたいのと、できれば2階以上でお願いします。</v>
      </c>
      <c r="AE304" s="6" t="str">
        <f aca="false">IFERROR(__xludf.dummyfunction("""COMPUTED_VALUE"""),"確認しました。")</f>
        <v>確認しました。</v>
      </c>
      <c r="AF304" s="6" t="str">
        <f aca="false">IFERROR(__xludf.dummyfunction("""COMPUTED_VALUE"""),"社宅基準の内容について確認しました")</f>
        <v>社宅基準の内容について確認しました</v>
      </c>
      <c r="AG304" s="6" t="str">
        <f aca="false">IFERROR(__xludf.dummyfunction("""COMPUTED_VALUE"""),"入居のしおりの内容についてご確認しました")</f>
        <v>入居のしおりの内容についてご確認しました</v>
      </c>
      <c r="AH304" s="6" t="str">
        <f aca="false">IFERROR(__xludf.dummyfunction("""COMPUTED_VALUE"""),"確認しました")</f>
        <v>確認しました</v>
      </c>
      <c r="AI304" s="6"/>
      <c r="AJ304" s="6" t="str">
        <v/>
      </c>
      <c r="AK304" s="6" t="str">
        <v/>
      </c>
      <c r="AL304" s="6" t="str">
        <v/>
      </c>
      <c r="AM304" s="6" t="str">
        <v/>
      </c>
      <c r="AN304" s="6" t="n">
        <f aca="false">FALSE()</f>
        <v>0</v>
      </c>
    </row>
    <row r="305" customFormat="false" ht="52.5" hidden="false" customHeight="true" outlineLevel="0" collapsed="false">
      <c r="A305" s="6" t="str">
        <f aca="false">IFERROR(__xludf.dummyfunction("""COMPUTED_VALUE"""),"2026/03/09 18:17:03")</f>
        <v>2026/03/09 18:17:03</v>
      </c>
      <c r="B305" s="6"/>
      <c r="C305" s="6" t="str">
        <f aca="false">IFERROR(__xludf.dummyfunction("""COMPUTED_VALUE"""),"71076")</f>
        <v>71076</v>
      </c>
      <c r="D305" s="6"/>
      <c r="E305" s="6"/>
      <c r="F305" s="6"/>
      <c r="G305" s="6" t="str">
        <f aca="false">IFERROR(__xludf.dummyfunction("""COMPUTED_VALUE"""),"2026/04/01")</f>
        <v>2026/04/01</v>
      </c>
      <c r="H305" s="6" t="str">
        <f aca="false">IFERROR(__xludf.dummyfunction("""COMPUTED_VALUE"""),"必要")</f>
        <v>必要</v>
      </c>
      <c r="I305" s="6" t="str">
        <f aca="false">IFERROR(__xludf.dummyfunction("""COMPUTED_VALUE"""),"男性")</f>
        <v>男性</v>
      </c>
      <c r="J305" s="6" t="str">
        <f aca="false">IFERROR(__xludf.dummyfunction("""COMPUTED_VALUE"""),"日本")</f>
        <v>日本</v>
      </c>
      <c r="K305" s="6" t="str">
        <f aca="false">IFERROR(__xludf.dummyfunction("""COMPUTED_VALUE"""),"13")</f>
        <v>13</v>
      </c>
      <c r="L305" s="6" t="str">
        <f aca="false">IFERROR(__xludf.dummyfunction("""COMPUTED_VALUE"""),"デスクトップPC、24インチモニタ1台、27インチモニタ1台")</f>
        <v>デスクトップPC、24インチモニタ1台、27インチモニタ1台</v>
      </c>
      <c r="M305" s="6" t="str">
        <f aca="false">IFERROR(__xludf.dummyfunction("""COMPUTED_VALUE"""),"机、ラック")</f>
        <v>机、ラック</v>
      </c>
      <c r="N305" s="6"/>
      <c r="O305" s="6" t="str">
        <f aca="false">IFERROR(__xludf.dummyfunction("""COMPUTED_VALUE"""),"不要")</f>
        <v>不要</v>
      </c>
      <c r="P305" s="6"/>
      <c r="Q305" s="6"/>
      <c r="R305" s="6"/>
      <c r="S305" s="6" t="str">
        <f aca="false">IFERROR(__xludf.dummyfunction("""COMPUTED_VALUE"""),"家具家電なし社宅")</f>
        <v>家具家電なし社宅</v>
      </c>
      <c r="T305" s="6" t="str">
        <f aca="false">IFERROR(__xludf.dummyfunction("""COMPUTED_VALUE"""),"利用する")</f>
        <v>利用する</v>
      </c>
      <c r="U305" s="6" t="str">
        <f aca="false">IFERROR(__xludf.dummyfunction("""COMPUTED_VALUE"""),"冷蔵庫(2ドア・80リットル)
電子レンジ
全自動洗濯機")</f>
        <v>冷蔵庫(2ドア・80リットル)
電子レンジ
全自動洗濯機</v>
      </c>
      <c r="V305" s="6" t="str">
        <f aca="false">IFERROR(__xludf.dummyfunction("""COMPUTED_VALUE"""),"徒歩")</f>
        <v>徒歩</v>
      </c>
      <c r="W305" s="6"/>
      <c r="X305" s="6" t="str">
        <f aca="false">IFERROR(__xludf.dummyfunction("""COMPUTED_VALUE"""),"株式会社ビーネックステクノロジーズの社宅")</f>
        <v>株式会社ビーネックステクノロジーズの社宅</v>
      </c>
      <c r="Y305" s="6" t="str">
        <f aca="false">IFERROR(__xludf.dummyfunction("""COMPUTED_VALUE"""),"引継ぎ希望")</f>
        <v>引継ぎ希望</v>
      </c>
      <c r="Z305" s="6" t="str">
        <f aca="false">IFERROR(__xludf.dummyfunction("""COMPUTED_VALUE"""),"希望する")</f>
        <v>希望する</v>
      </c>
      <c r="AA305" s="6" t="str">
        <f aca="false">IFERROR(__xludf.dummyfunction("""COMPUTED_VALUE"""),"単身")</f>
        <v>単身</v>
      </c>
      <c r="AB305" s="6"/>
      <c r="AC305" s="6"/>
      <c r="AD305" s="6"/>
      <c r="AE305" s="6" t="str">
        <f aca="false">IFERROR(__xludf.dummyfunction("""COMPUTED_VALUE"""),"確認しました。")</f>
        <v>確認しました。</v>
      </c>
      <c r="AF305" s="6" t="str">
        <f aca="false">IFERROR(__xludf.dummyfunction("""COMPUTED_VALUE"""),"社宅基準の内容について確認しました")</f>
        <v>社宅基準の内容について確認しました</v>
      </c>
      <c r="AG305" s="6" t="str">
        <f aca="false">IFERROR(__xludf.dummyfunction("""COMPUTED_VALUE"""),"入居のしおりの内容についてご確認しました")</f>
        <v>入居のしおりの内容についてご確認しました</v>
      </c>
      <c r="AH305" s="6" t="str">
        <f aca="false">IFERROR(__xludf.dummyfunction("""COMPUTED_VALUE"""),"確認しました")</f>
        <v>確認しました</v>
      </c>
      <c r="AI305" s="6"/>
      <c r="AJ305" s="6" t="str">
        <v/>
      </c>
      <c r="AK305" s="6" t="str">
        <v/>
      </c>
      <c r="AL305" s="6" t="str">
        <v/>
      </c>
      <c r="AM305" s="6" t="str">
        <v/>
      </c>
      <c r="AN305" s="6" t="n">
        <f aca="false">TRUE()</f>
        <v>1</v>
      </c>
    </row>
    <row r="306" customFormat="false" ht="52.5" hidden="false" customHeight="true" outlineLevel="0" collapsed="false">
      <c r="A306" s="6" t="str">
        <f aca="false">IFERROR(__xludf.dummyfunction("""COMPUTED_VALUE"""),"2026/03/09 18:48:36")</f>
        <v>2026/03/09 18:48:36</v>
      </c>
      <c r="B306" s="6"/>
      <c r="C306" s="6" t="str">
        <f aca="false">IFERROR(__xludf.dummyfunction("""COMPUTED_VALUE"""),"71117")</f>
        <v>71117</v>
      </c>
      <c r="D306" s="6"/>
      <c r="E306" s="6"/>
      <c r="F306" s="6"/>
      <c r="G306" s="6" t="str">
        <f aca="false">IFERROR(__xludf.dummyfunction("""COMPUTED_VALUE"""),"2026/04/05")</f>
        <v>2026/04/05</v>
      </c>
      <c r="H306" s="6" t="str">
        <f aca="false">IFERROR(__xludf.dummyfunction("""COMPUTED_VALUE"""),"不要")</f>
        <v>不要</v>
      </c>
      <c r="I306" s="6" t="str">
        <f aca="false">IFERROR(__xludf.dummyfunction("""COMPUTED_VALUE"""),"男性")</f>
        <v>男性</v>
      </c>
      <c r="J306" s="6" t="str">
        <f aca="false">IFERROR(__xludf.dummyfunction("""COMPUTED_VALUE"""),"日本")</f>
        <v>日本</v>
      </c>
      <c r="K306" s="6"/>
      <c r="L306" s="6"/>
      <c r="M306" s="6"/>
      <c r="N306" s="6"/>
      <c r="O306" s="6" t="str">
        <f aca="false">IFERROR(__xludf.dummyfunction("""COMPUTED_VALUE"""),"不要")</f>
        <v>不要</v>
      </c>
      <c r="P306" s="6"/>
      <c r="Q306" s="6"/>
      <c r="R306" s="6"/>
      <c r="S306" s="6" t="str">
        <f aca="false">IFERROR(__xludf.dummyfunction("""COMPUTED_VALUE"""),"家具家電付き社宅")</f>
        <v>家具家電付き社宅</v>
      </c>
      <c r="T306" s="6" t="str">
        <f aca="false">IFERROR(__xludf.dummyfunction("""COMPUTED_VALUE"""),"利用しない")</f>
        <v>利用しない</v>
      </c>
      <c r="U306" s="6"/>
      <c r="V306" s="6" t="str">
        <f aca="false">IFERROR(__xludf.dummyfunction("""COMPUTED_VALUE"""),"電車")</f>
        <v>電車</v>
      </c>
      <c r="W306" s="6"/>
      <c r="X306" s="6" t="str">
        <f aca="false">IFERROR(__xludf.dummyfunction("""COMPUTED_VALUE"""),"実家")</f>
        <v>実家</v>
      </c>
      <c r="Y306" s="6"/>
      <c r="Z306" s="6" t="str">
        <f aca="false">IFERROR(__xludf.dummyfunction("""COMPUTED_VALUE"""),"希望しない")</f>
        <v>希望しない</v>
      </c>
      <c r="AA306" s="6" t="str">
        <f aca="false">IFERROR(__xludf.dummyfunction("""COMPUTED_VALUE"""),"単身")</f>
        <v>単身</v>
      </c>
      <c r="AB306" s="6"/>
      <c r="AC306" s="6"/>
      <c r="AD306" s="6"/>
      <c r="AE306" s="6" t="str">
        <f aca="false">IFERROR(__xludf.dummyfunction("""COMPUTED_VALUE"""),"確認しました。")</f>
        <v>確認しました。</v>
      </c>
      <c r="AF306" s="6" t="str">
        <f aca="false">IFERROR(__xludf.dummyfunction("""COMPUTED_VALUE"""),"社宅基準の内容について確認しました")</f>
        <v>社宅基準の内容について確認しました</v>
      </c>
      <c r="AG306" s="6" t="str">
        <f aca="false">IFERROR(__xludf.dummyfunction("""COMPUTED_VALUE"""),"入居のしおりの内容についてご確認しました")</f>
        <v>入居のしおりの内容についてご確認しました</v>
      </c>
      <c r="AH306" s="6" t="str">
        <f aca="false">IFERROR(__xludf.dummyfunction("""COMPUTED_VALUE"""),"確認しました")</f>
        <v>確認しました</v>
      </c>
      <c r="AI306" s="6"/>
      <c r="AJ306" s="6" t="str">
        <v/>
      </c>
      <c r="AK306" s="6" t="str">
        <v/>
      </c>
      <c r="AL306" s="6" t="str">
        <v/>
      </c>
      <c r="AM306" s="6" t="str">
        <v/>
      </c>
      <c r="AN306" s="6" t="n">
        <f aca="false">TRUE()</f>
        <v>1</v>
      </c>
    </row>
    <row r="307" customFormat="false" ht="52.5" hidden="false" customHeight="true" outlineLevel="0" collapsed="false">
      <c r="A307" s="6" t="str">
        <f aca="false">IFERROR(__xludf.dummyfunction("""COMPUTED_VALUE"""),"2026/03/09 20:37:50")</f>
        <v>2026/03/09 20:37:50</v>
      </c>
      <c r="B307" s="6"/>
      <c r="C307" s="6" t="str">
        <f aca="false">IFERROR(__xludf.dummyfunction("""COMPUTED_VALUE"""),"71095")</f>
        <v>71095</v>
      </c>
      <c r="D307" s="6"/>
      <c r="E307" s="6"/>
      <c r="F307" s="6"/>
      <c r="G307" s="6" t="str">
        <f aca="false">IFERROR(__xludf.dummyfunction("""COMPUTED_VALUE"""),"2026/03/29")</f>
        <v>2026/03/29</v>
      </c>
      <c r="H307" s="6" t="str">
        <f aca="false">IFERROR(__xludf.dummyfunction("""COMPUTED_VALUE"""),"必要")</f>
        <v>必要</v>
      </c>
      <c r="I307" s="6" t="str">
        <f aca="false">IFERROR(__xludf.dummyfunction("""COMPUTED_VALUE"""),"男性")</f>
        <v>男性</v>
      </c>
      <c r="J307" s="6" t="str">
        <f aca="false">IFERROR(__xludf.dummyfunction("""COMPUTED_VALUE"""),"日本")</f>
        <v>日本</v>
      </c>
      <c r="K307" s="6" t="str">
        <f aca="false">IFERROR(__xludf.dummyfunction("""COMPUTED_VALUE"""),"25")</f>
        <v>25</v>
      </c>
      <c r="L307" s="6" t="str">
        <f aca="false">IFERROR(__xludf.dummyfunction("""COMPUTED_VALUE"""),"テレビ（70×50）　加湿器　冷蔵庫（50×55×120）「単身用」　電子レンジ　トースター　
洗濯機　ヒーター 液晶モニター")</f>
        <v>テレビ（70×50）　加湿器　冷蔵庫（50×55×120）「単身用」　電子レンジ　トースター　
洗濯機　ヒーター 液晶モニター</v>
      </c>
      <c r="M307" s="6" t="str">
        <f aca="false">IFERROR(__xludf.dummyfunction("""COMPUTED_VALUE"""),"机（120×60×70）ゲーミングチェア　座椅子　折りたたみ机×２　布団一式　
収納棚４つ[うち２つは分割式]　鍵付き棚（45×30×140）ワゴン　")</f>
        <v>机（120×60×70）ゲーミングチェア　座椅子　折りたたみ机×２　布団一式　
収納棚４つ[うち２つは分割式]　鍵付き棚（45×30×140）ワゴン　</v>
      </c>
      <c r="N307" s="6" t="str">
        <f aca="false">IFERROR(__xludf.dummyfunction("""COMPUTED_VALUE"""),"自転車")</f>
        <v>自転車</v>
      </c>
      <c r="O307" s="6" t="str">
        <f aca="false">IFERROR(__xludf.dummyfunction("""COMPUTED_VALUE"""),"不要")</f>
        <v>不要</v>
      </c>
      <c r="P307" s="6"/>
      <c r="Q307" s="6"/>
      <c r="R307" s="6"/>
      <c r="S307" s="6" t="str">
        <f aca="false">IFERROR(__xludf.dummyfunction("""COMPUTED_VALUE"""),"家具家電なし社宅")</f>
        <v>家具家電なし社宅</v>
      </c>
      <c r="T307" s="6" t="str">
        <f aca="false">IFERROR(__xludf.dummyfunction("""COMPUTED_VALUE"""),"利用しない")</f>
        <v>利用しない</v>
      </c>
      <c r="U307" s="6"/>
      <c r="V307" s="6" t="str">
        <f aca="false">IFERROR(__xludf.dummyfunction("""COMPUTED_VALUE"""),"徒歩, 自転車, 電車, バス")</f>
        <v>徒歩, 自転車, 電車, バス</v>
      </c>
      <c r="W307" s="6"/>
      <c r="X307" s="6" t="str">
        <f aca="false">IFERROR(__xludf.dummyfunction("""COMPUTED_VALUE"""),"株式会社ビーネックステクノロジーズの社宅")</f>
        <v>株式会社ビーネックステクノロジーズの社宅</v>
      </c>
      <c r="Y307" s="6" t="str">
        <f aca="false">IFERROR(__xludf.dummyfunction("""COMPUTED_VALUE"""),"利用なし")</f>
        <v>利用なし</v>
      </c>
      <c r="Z307" s="6" t="str">
        <f aca="false">IFERROR(__xludf.dummyfunction("""COMPUTED_VALUE"""),"希望する")</f>
        <v>希望する</v>
      </c>
      <c r="AA307" s="6" t="str">
        <f aca="false">IFERROR(__xludf.dummyfunction("""COMPUTED_VALUE"""),"単身")</f>
        <v>単身</v>
      </c>
      <c r="AB307" s="6"/>
      <c r="AC307" s="6"/>
      <c r="AD307" s="6"/>
      <c r="AE307" s="6" t="str">
        <f aca="false">IFERROR(__xludf.dummyfunction("""COMPUTED_VALUE"""),"確認しました。")</f>
        <v>確認しました。</v>
      </c>
      <c r="AF307" s="6" t="str">
        <f aca="false">IFERROR(__xludf.dummyfunction("""COMPUTED_VALUE"""),"社宅基準の内容について確認しました")</f>
        <v>社宅基準の内容について確認しました</v>
      </c>
      <c r="AG307" s="6" t="str">
        <f aca="false">IFERROR(__xludf.dummyfunction("""COMPUTED_VALUE"""),"入居のしおりの内容についてご確認しました")</f>
        <v>入居のしおりの内容についてご確認しました</v>
      </c>
      <c r="AH307" s="6" t="str">
        <f aca="false">IFERROR(__xludf.dummyfunction("""COMPUTED_VALUE"""),"確認しました")</f>
        <v>確認しました</v>
      </c>
      <c r="AI307" s="6"/>
      <c r="AJ307" s="6" t="str">
        <v/>
      </c>
      <c r="AK307" s="6" t="str">
        <v/>
      </c>
      <c r="AL307" s="6" t="str">
        <v/>
      </c>
      <c r="AM307" s="6" t="str">
        <v/>
      </c>
      <c r="AN307" s="6" t="n">
        <f aca="false">TRUE()</f>
        <v>1</v>
      </c>
    </row>
    <row r="308" customFormat="false" ht="52.5" hidden="false" customHeight="true" outlineLevel="0" collapsed="false">
      <c r="A308" s="6" t="str">
        <f aca="false">IFERROR(__xludf.dummyfunction("""COMPUTED_VALUE"""),"2026/03/09 23:49:37")</f>
        <v>2026/03/09 23:49:37</v>
      </c>
      <c r="B308" s="6"/>
      <c r="C308" s="6" t="str">
        <f aca="false">IFERROR(__xludf.dummyfunction("""COMPUTED_VALUE"""),"70929")</f>
        <v>70929</v>
      </c>
      <c r="D308" s="6"/>
      <c r="E308" s="6"/>
      <c r="F308" s="6"/>
      <c r="G308" s="6" t="str">
        <f aca="false">IFERROR(__xludf.dummyfunction("""COMPUTED_VALUE"""),"2026/03/31")</f>
        <v>2026/03/31</v>
      </c>
      <c r="H308" s="6" t="str">
        <f aca="false">IFERROR(__xludf.dummyfunction("""COMPUTED_VALUE"""),"必要")</f>
        <v>必要</v>
      </c>
      <c r="I308" s="6" t="str">
        <f aca="false">IFERROR(__xludf.dummyfunction("""COMPUTED_VALUE"""),"男性")</f>
        <v>男性</v>
      </c>
      <c r="J308" s="6" t="str">
        <f aca="false">IFERROR(__xludf.dummyfunction("""COMPUTED_VALUE"""),"日本")</f>
        <v>日本</v>
      </c>
      <c r="K308" s="6" t="str">
        <f aca="false">IFERROR(__xludf.dummyfunction("""COMPUTED_VALUE"""),"25")</f>
        <v>25</v>
      </c>
      <c r="L308" s="6" t="str">
        <f aca="false">IFERROR(__xludf.dummyfunction("""COMPUTED_VALUE"""),"冷蔵庫単身用
洗濯機
炊飯器")</f>
        <v>冷蔵庫単身用
洗濯機
炊飯器</v>
      </c>
      <c r="M308" s="6" t="str">
        <f aca="false">IFERROR(__xludf.dummyfunction("""COMPUTED_VALUE"""),"机
イス
棚
ベット")</f>
        <v>机
イス
棚
ベット</v>
      </c>
      <c r="N308" s="6"/>
      <c r="O308" s="6" t="str">
        <f aca="false">IFERROR(__xludf.dummyfunction("""COMPUTED_VALUE"""),"必要")</f>
        <v>必要</v>
      </c>
      <c r="P308" s="6" t="str">
        <f aca="false">IFERROR(__xludf.dummyfunction("""COMPUTED_VALUE"""),"nbox")</f>
        <v>nbox</v>
      </c>
      <c r="Q308" s="6" t="str">
        <f aca="false">IFERROR(__xludf.dummyfunction("""COMPUTED_VALUE"""),"う16-61")</f>
        <v>う16-61</v>
      </c>
      <c r="R308" s="6" t="str">
        <f aca="false">IFERROR(__xludf.dummyfunction("""COMPUTED_VALUE"""),"黒")</f>
        <v>黒</v>
      </c>
      <c r="S308" s="6" t="str">
        <f aca="false">IFERROR(__xludf.dummyfunction("""COMPUTED_VALUE"""),"家具家電なし社宅")</f>
        <v>家具家電なし社宅</v>
      </c>
      <c r="T308" s="6" t="str">
        <f aca="false">IFERROR(__xludf.dummyfunction("""COMPUTED_VALUE"""),"利用しない")</f>
        <v>利用しない</v>
      </c>
      <c r="U308" s="6"/>
      <c r="V308" s="6" t="str">
        <f aca="false">IFERROR(__xludf.dummyfunction("""COMPUTED_VALUE"""),"徒歩, 自転車")</f>
        <v>徒歩, 自転車</v>
      </c>
      <c r="W308" s="6"/>
      <c r="X308" s="6" t="str">
        <f aca="false">IFERROR(__xludf.dummyfunction("""COMPUTED_VALUE"""),"株式会社ビーネックステクノロジーズの社宅")</f>
        <v>株式会社ビーネックステクノロジーズの社宅</v>
      </c>
      <c r="Y308" s="6" t="str">
        <f aca="false">IFERROR(__xludf.dummyfunction("""COMPUTED_VALUE"""),"利用なし")</f>
        <v>利用なし</v>
      </c>
      <c r="Z308" s="6" t="str">
        <f aca="false">IFERROR(__xludf.dummyfunction("""COMPUTED_VALUE"""),"希望する")</f>
        <v>希望する</v>
      </c>
      <c r="AA308" s="6" t="str">
        <f aca="false">IFERROR(__xludf.dummyfunction("""COMPUTED_VALUE"""),"単身")</f>
        <v>単身</v>
      </c>
      <c r="AB308" s="6"/>
      <c r="AC308" s="6"/>
      <c r="AD308" s="6"/>
      <c r="AE308" s="6" t="str">
        <f aca="false">IFERROR(__xludf.dummyfunction("""COMPUTED_VALUE"""),"確認しました。")</f>
        <v>確認しました。</v>
      </c>
      <c r="AF308" s="6" t="str">
        <f aca="false">IFERROR(__xludf.dummyfunction("""COMPUTED_VALUE"""),"社宅基準の内容について確認しました")</f>
        <v>社宅基準の内容について確認しました</v>
      </c>
      <c r="AG308" s="6" t="str">
        <f aca="false">IFERROR(__xludf.dummyfunction("""COMPUTED_VALUE"""),"入居のしおりの内容についてご確認しました")</f>
        <v>入居のしおりの内容についてご確認しました</v>
      </c>
      <c r="AH308" s="6" t="str">
        <f aca="false">IFERROR(__xludf.dummyfunction("""COMPUTED_VALUE"""),"確認しました")</f>
        <v>確認しました</v>
      </c>
      <c r="AI308" s="6"/>
      <c r="AJ308" s="6" t="str">
        <v/>
      </c>
      <c r="AK308" s="6" t="str">
        <v/>
      </c>
      <c r="AL308" s="6" t="str">
        <v/>
      </c>
      <c r="AM308" s="6" t="str">
        <v/>
      </c>
      <c r="AN308" s="6" t="n">
        <f aca="false">TRUE()</f>
        <v>1</v>
      </c>
    </row>
    <row r="309" customFormat="false" ht="52.5" hidden="false" customHeight="true" outlineLevel="0" collapsed="false">
      <c r="A309" s="6" t="str">
        <f aca="false">IFERROR(__xludf.dummyfunction("""COMPUTED_VALUE"""),"2026/03/10 0:31:33")</f>
        <v>2026/03/10 0:31:33</v>
      </c>
      <c r="B309" s="6"/>
      <c r="C309" s="6" t="str">
        <f aca="false">IFERROR(__xludf.dummyfunction("""COMPUTED_VALUE"""),"71088")</f>
        <v>71088</v>
      </c>
      <c r="D309" s="6"/>
      <c r="E309" s="6"/>
      <c r="F309" s="6"/>
      <c r="G309" s="6" t="str">
        <f aca="false">IFERROR(__xludf.dummyfunction("""COMPUTED_VALUE"""),"2026/03/30")</f>
        <v>2026/03/30</v>
      </c>
      <c r="H309" s="6" t="str">
        <f aca="false">IFERROR(__xludf.dummyfunction("""COMPUTED_VALUE"""),"不要")</f>
        <v>不要</v>
      </c>
      <c r="I309" s="6" t="str">
        <f aca="false">IFERROR(__xludf.dummyfunction("""COMPUTED_VALUE"""),"男性")</f>
        <v>男性</v>
      </c>
      <c r="J309" s="6" t="str">
        <f aca="false">IFERROR(__xludf.dummyfunction("""COMPUTED_VALUE"""),"日本")</f>
        <v>日本</v>
      </c>
      <c r="K309" s="6"/>
      <c r="L309" s="6"/>
      <c r="M309" s="6"/>
      <c r="N309" s="6"/>
      <c r="O309" s="6" t="str">
        <f aca="false">IFERROR(__xludf.dummyfunction("""COMPUTED_VALUE"""),"必要")</f>
        <v>必要</v>
      </c>
      <c r="P309" s="6" t="str">
        <f aca="false">IFERROR(__xludf.dummyfunction("""COMPUTED_VALUE"""),"ホーネット250（バイク）")</f>
        <v>ホーネット250（バイク）</v>
      </c>
      <c r="Q309" s="6" t="str">
        <f aca="false">IFERROR(__xludf.dummyfunction("""COMPUTED_VALUE"""),"ち8627")</f>
        <v>ち8627</v>
      </c>
      <c r="R309" s="6" t="str">
        <f aca="false">IFERROR(__xludf.dummyfunction("""COMPUTED_VALUE"""),"白")</f>
        <v>白</v>
      </c>
      <c r="S309" s="6" t="str">
        <f aca="false">IFERROR(__xludf.dummyfunction("""COMPUTED_VALUE"""),"家具家電なし社宅")</f>
        <v>家具家電なし社宅</v>
      </c>
      <c r="T309" s="6" t="str">
        <f aca="false">IFERROR(__xludf.dummyfunction("""COMPUTED_VALUE"""),"利用しない")</f>
        <v>利用しない</v>
      </c>
      <c r="U309" s="6"/>
      <c r="V309" s="6" t="str">
        <f aca="false">IFERROR(__xludf.dummyfunction("""COMPUTED_VALUE"""),"徒歩, 電車, バス")</f>
        <v>徒歩, 電車, バス</v>
      </c>
      <c r="W309" s="6"/>
      <c r="X309" s="6" t="str">
        <f aca="false">IFERROR(__xludf.dummyfunction("""COMPUTED_VALUE"""),"実家")</f>
        <v>実家</v>
      </c>
      <c r="Y309" s="6"/>
      <c r="Z309" s="6" t="str">
        <f aca="false">IFERROR(__xludf.dummyfunction("""COMPUTED_VALUE"""),"希望する")</f>
        <v>希望する</v>
      </c>
      <c r="AA309" s="6" t="str">
        <f aca="false">IFERROR(__xludf.dummyfunction("""COMPUTED_VALUE"""),"単身")</f>
        <v>単身</v>
      </c>
      <c r="AB309" s="6"/>
      <c r="AC309" s="6"/>
      <c r="AD309" s="6" t="str">
        <f aca="false">IFERROR(__xludf.dummyfunction("""COMPUTED_VALUE"""),"バイク駐輪が出来れば駐車場じゃなくても大丈夫です 
あとは社内イベントでゲームをやるのでなるべく防音性の高い方がいいです 
なるべく綺麗な物件だとありがたいです
")</f>
        <v>バイク駐輪が出来れば駐車場じゃなくても大丈夫です 
あとは社内イベントでゲームをやるのでなるべく防音性の高い方がいいです 
なるべく綺麗な物件だとありがたいです
</v>
      </c>
      <c r="AE309" s="6" t="str">
        <f aca="false">IFERROR(__xludf.dummyfunction("""COMPUTED_VALUE"""),"確認しました。")</f>
        <v>確認しました。</v>
      </c>
      <c r="AF309" s="6" t="str">
        <f aca="false">IFERROR(__xludf.dummyfunction("""COMPUTED_VALUE"""),"社宅基準の内容について確認しました")</f>
        <v>社宅基準の内容について確認しました</v>
      </c>
      <c r="AG309" s="6" t="str">
        <f aca="false">IFERROR(__xludf.dummyfunction("""COMPUTED_VALUE"""),"入居のしおりの内容についてご確認しました")</f>
        <v>入居のしおりの内容についてご確認しました</v>
      </c>
      <c r="AH309" s="6" t="str">
        <f aca="false">IFERROR(__xludf.dummyfunction("""COMPUTED_VALUE"""),"確認しました")</f>
        <v>確認しました</v>
      </c>
      <c r="AI309" s="6"/>
      <c r="AJ309" s="6" t="str">
        <v/>
      </c>
      <c r="AK309" s="6" t="str">
        <v/>
      </c>
      <c r="AL309" s="6" t="str">
        <v/>
      </c>
      <c r="AM309" s="6" t="str">
        <v/>
      </c>
      <c r="AN309" s="6" t="n">
        <f aca="false">TRUE()</f>
        <v>1</v>
      </c>
    </row>
    <row r="310" customFormat="false" ht="52.5" hidden="false" customHeight="true" outlineLevel="0" collapsed="false">
      <c r="A310" s="6" t="str">
        <f aca="false">IFERROR(__xludf.dummyfunction("""COMPUTED_VALUE"""),"2026/03/10 3:04:35")</f>
        <v>2026/03/10 3:04:35</v>
      </c>
      <c r="B310" s="6"/>
      <c r="C310" s="6" t="str">
        <f aca="false">IFERROR(__xludf.dummyfunction("""COMPUTED_VALUE"""),"71079")</f>
        <v>71079</v>
      </c>
      <c r="D310" s="6"/>
      <c r="E310" s="6"/>
      <c r="F310" s="6"/>
      <c r="G310" s="6" t="str">
        <f aca="false">IFERROR(__xludf.dummyfunction("""COMPUTED_VALUE"""),"2026/04/04")</f>
        <v>2026/04/04</v>
      </c>
      <c r="H310" s="6" t="str">
        <f aca="false">IFERROR(__xludf.dummyfunction("""COMPUTED_VALUE"""),"必要")</f>
        <v>必要</v>
      </c>
      <c r="I310" s="6" t="str">
        <f aca="false">IFERROR(__xludf.dummyfunction("""COMPUTED_VALUE"""),"男性")</f>
        <v>男性</v>
      </c>
      <c r="J310" s="6" t="str">
        <f aca="false">IFERROR(__xludf.dummyfunction("""COMPUTED_VALUE"""),"日本")</f>
        <v>日本</v>
      </c>
      <c r="K310" s="6" t="str">
        <f aca="false">IFERROR(__xludf.dummyfunction("""COMPUTED_VALUE"""),"10")</f>
        <v>10</v>
      </c>
      <c r="L310" s="6" t="str">
        <f aca="false">IFERROR(__xludf.dummyfunction("""COMPUTED_VALUE"""),"デスクトップPC、モニター")</f>
        <v>デスクトップPC、モニター</v>
      </c>
      <c r="M310" s="6" t="str">
        <f aca="false">IFERROR(__xludf.dummyfunction("""COMPUTED_VALUE"""),"机(120・80・70)・イス、収納ケース(50・40・80)・収納ケース(60・20・20)")</f>
        <v>机(120・80・70)・イス、収納ケース(50・40・80)・収納ケース(60・20・20)</v>
      </c>
      <c r="N310" s="6"/>
      <c r="O310" s="6" t="str">
        <f aca="false">IFERROR(__xludf.dummyfunction("""COMPUTED_VALUE"""),"不要")</f>
        <v>不要</v>
      </c>
      <c r="P310" s="6"/>
      <c r="Q310" s="6"/>
      <c r="R310" s="6"/>
      <c r="S310" s="6" t="str">
        <f aca="false">IFERROR(__xludf.dummyfunction("""COMPUTED_VALUE"""),"家具家電付き社宅")</f>
        <v>家具家電付き社宅</v>
      </c>
      <c r="T310" s="6" t="str">
        <f aca="false">IFERROR(__xludf.dummyfunction("""COMPUTED_VALUE"""),"利用しない")</f>
        <v>利用しない</v>
      </c>
      <c r="U310" s="6"/>
      <c r="V310" s="6" t="str">
        <f aca="false">IFERROR(__xludf.dummyfunction("""COMPUTED_VALUE"""),"徒歩, 電車")</f>
        <v>徒歩, 電車</v>
      </c>
      <c r="W310" s="6"/>
      <c r="X310" s="6" t="str">
        <f aca="false">IFERROR(__xludf.dummyfunction("""COMPUTED_VALUE"""),"株式会社ビーネックステクノロジーズの社宅")</f>
        <v>株式会社ビーネックステクノロジーズの社宅</v>
      </c>
      <c r="Y310" s="6" t="str">
        <f aca="false">IFERROR(__xludf.dummyfunction("""COMPUTED_VALUE"""),"利用なし")</f>
        <v>利用なし</v>
      </c>
      <c r="Z310" s="6" t="str">
        <f aca="false">IFERROR(__xludf.dummyfunction("""COMPUTED_VALUE"""),"希望する")</f>
        <v>希望する</v>
      </c>
      <c r="AA310" s="6" t="str">
        <f aca="false">IFERROR(__xludf.dummyfunction("""COMPUTED_VALUE"""),"単身")</f>
        <v>単身</v>
      </c>
      <c r="AB310" s="6"/>
      <c r="AC310" s="6"/>
      <c r="AD310" s="6"/>
      <c r="AE310" s="6" t="str">
        <f aca="false">IFERROR(__xludf.dummyfunction("""COMPUTED_VALUE"""),"確認しました。")</f>
        <v>確認しました。</v>
      </c>
      <c r="AF310" s="6" t="str">
        <f aca="false">IFERROR(__xludf.dummyfunction("""COMPUTED_VALUE"""),"社宅基準の内容について確認しました")</f>
        <v>社宅基準の内容について確認しました</v>
      </c>
      <c r="AG310" s="6" t="str">
        <f aca="false">IFERROR(__xludf.dummyfunction("""COMPUTED_VALUE"""),"入居のしおりの内容についてご確認しました")</f>
        <v>入居のしおりの内容についてご確認しました</v>
      </c>
      <c r="AH310" s="6" t="str">
        <f aca="false">IFERROR(__xludf.dummyfunction("""COMPUTED_VALUE"""),"確認しました")</f>
        <v>確認しました</v>
      </c>
      <c r="AI310" s="6"/>
      <c r="AJ310" s="6" t="str">
        <v/>
      </c>
      <c r="AK310" s="6" t="str">
        <v/>
      </c>
      <c r="AL310" s="6" t="str">
        <v/>
      </c>
      <c r="AM310" s="6" t="str">
        <v/>
      </c>
      <c r="AN310" s="6" t="n">
        <f aca="false">FALSE()</f>
        <v>0</v>
      </c>
    </row>
    <row r="311" customFormat="false" ht="52.5" hidden="false" customHeight="true" outlineLevel="0" collapsed="false">
      <c r="A311" s="6" t="str">
        <f aca="false">IFERROR(__xludf.dummyfunction("""COMPUTED_VALUE"""),"2026/03/10 10:25:34")</f>
        <v>2026/03/10 10:25:34</v>
      </c>
      <c r="B311" s="6"/>
      <c r="C311" s="6" t="str">
        <f aca="false">IFERROR(__xludf.dummyfunction("""COMPUTED_VALUE"""),"70931")</f>
        <v>70931</v>
      </c>
      <c r="D311" s="6"/>
      <c r="E311" s="6"/>
      <c r="F311" s="6"/>
      <c r="G311" s="6" t="str">
        <f aca="false">IFERROR(__xludf.dummyfunction("""COMPUTED_VALUE"""),"2026/03/29")</f>
        <v>2026/03/29</v>
      </c>
      <c r="H311" s="6" t="str">
        <f aca="false">IFERROR(__xludf.dummyfunction("""COMPUTED_VALUE"""),"必要")</f>
        <v>必要</v>
      </c>
      <c r="I311" s="6" t="str">
        <f aca="false">IFERROR(__xludf.dummyfunction("""COMPUTED_VALUE"""),"男性")</f>
        <v>男性</v>
      </c>
      <c r="J311" s="6" t="str">
        <f aca="false">IFERROR(__xludf.dummyfunction("""COMPUTED_VALUE"""),"日本")</f>
        <v>日本</v>
      </c>
      <c r="K311" s="6" t="str">
        <f aca="false">IFERROR(__xludf.dummyfunction("""COMPUTED_VALUE"""),"20")</f>
        <v>20</v>
      </c>
      <c r="L311" s="6" t="str">
        <f aca="false">IFERROR(__xludf.dummyfunction("""COMPUTED_VALUE"""),"洗濯機　冷蔵庫(２ドア)")</f>
        <v>洗濯機　冷蔵庫(２ドア)</v>
      </c>
      <c r="M311" s="6" t="str">
        <f aca="false">IFERROR(__xludf.dummyfunction("""COMPUTED_VALUE"""),"座椅子1つ
折り畳み式机
折りたた式ベッドマットレス(シングル)")</f>
        <v>座椅子1つ
折り畳み式机
折りたた式ベッドマットレス(シングル)</v>
      </c>
      <c r="N311" s="6" t="str">
        <f aca="false">IFERROR(__xludf.dummyfunction("""COMPUTED_VALUE"""),"自転車1台")</f>
        <v>自転車1台</v>
      </c>
      <c r="O311" s="6" t="str">
        <f aca="false">IFERROR(__xludf.dummyfunction("""COMPUTED_VALUE"""),"不要")</f>
        <v>不要</v>
      </c>
      <c r="P311" s="6"/>
      <c r="Q311" s="6"/>
      <c r="R311" s="6"/>
      <c r="S311" s="6" t="str">
        <f aca="false">IFERROR(__xludf.dummyfunction("""COMPUTED_VALUE"""),"家具家電なし社宅")</f>
        <v>家具家電なし社宅</v>
      </c>
      <c r="T311" s="6"/>
      <c r="U311" s="6" t="str">
        <f aca="false">IFERROR(__xludf.dummyfunction("""COMPUTED_VALUE"""),"なし")</f>
        <v>なし</v>
      </c>
      <c r="V311" s="6" t="str">
        <f aca="false">IFERROR(__xludf.dummyfunction("""COMPUTED_VALUE"""),"徒歩, 自転車")</f>
        <v>徒歩, 自転車</v>
      </c>
      <c r="W311" s="6"/>
      <c r="X311" s="6" t="str">
        <f aca="false">IFERROR(__xludf.dummyfunction("""COMPUTED_VALUE"""),"株式会社ビーネックステクノロジーズの社宅")</f>
        <v>株式会社ビーネックステクノロジーズの社宅</v>
      </c>
      <c r="Y311" s="6" t="str">
        <f aca="false">IFERROR(__xludf.dummyfunction("""COMPUTED_VALUE"""),"利用なし")</f>
        <v>利用なし</v>
      </c>
      <c r="Z311" s="6" t="str">
        <f aca="false">IFERROR(__xludf.dummyfunction("""COMPUTED_VALUE"""),"希望する")</f>
        <v>希望する</v>
      </c>
      <c r="AA311" s="6" t="str">
        <f aca="false">IFERROR(__xludf.dummyfunction("""COMPUTED_VALUE"""),"単身")</f>
        <v>単身</v>
      </c>
      <c r="AB311" s="6"/>
      <c r="AC311" s="6"/>
      <c r="AD311" s="6" t="str">
        <f aca="false">IFERROR(__xludf.dummyfunction("""COMPUTED_VALUE"""),"物件の希望条件
・会社からの徒歩30分以内
・駐輪場付きOr自転車が止められる物件
仲介業者担当者様へお願い
・物件の候補5~10件ほどピックアップお願いいたします
　(引っ越までの期間がかなり短いため、物件選びから契約手続きまでをスムーズに進めたいと考えています。)
")</f>
        <v>物件の希望条件
・会社からの徒歩30分以内
・駐輪場付きOr自転車が止められる物件
仲介業者担当者様へお願い
・物件の候補5~10件ほどピックアップお願いいたします
　(引っ越までの期間がかなり短いため、物件選びから契約手続きまでをスムーズに進めたいと考えています。)
</v>
      </c>
      <c r="AE311" s="6" t="str">
        <f aca="false">IFERROR(__xludf.dummyfunction("""COMPUTED_VALUE"""),"確認しました。")</f>
        <v>確認しました。</v>
      </c>
      <c r="AF311" s="6" t="str">
        <f aca="false">IFERROR(__xludf.dummyfunction("""COMPUTED_VALUE"""),"社宅基準の内容について確認しました")</f>
        <v>社宅基準の内容について確認しました</v>
      </c>
      <c r="AG311" s="6" t="str">
        <f aca="false">IFERROR(__xludf.dummyfunction("""COMPUTED_VALUE"""),"入居のしおりの内容についてご確認しました")</f>
        <v>入居のしおりの内容についてご確認しました</v>
      </c>
      <c r="AH311" s="6" t="str">
        <f aca="false">IFERROR(__xludf.dummyfunction("""COMPUTED_VALUE"""),"確認しました")</f>
        <v>確認しました</v>
      </c>
      <c r="AI311" s="6"/>
      <c r="AJ311" s="6" t="str">
        <v/>
      </c>
      <c r="AK311" s="6" t="str">
        <v/>
      </c>
      <c r="AL311" s="6" t="str">
        <v/>
      </c>
      <c r="AM311" s="6" t="str">
        <v/>
      </c>
      <c r="AN311" s="6" t="n">
        <f aca="false">FALSE()</f>
        <v>0</v>
      </c>
    </row>
    <row r="312" customFormat="false" ht="52.5" hidden="false" customHeight="true" outlineLevel="0" collapsed="false">
      <c r="A312" s="6" t="str">
        <f aca="false">IFERROR(__xludf.dummyfunction("""COMPUTED_VALUE"""),"2026/03/10 16:46:14")</f>
        <v>2026/03/10 16:46:14</v>
      </c>
      <c r="B312" s="6"/>
      <c r="C312" s="6" t="str">
        <f aca="false">IFERROR(__xludf.dummyfunction("""COMPUTED_VALUE"""),"71149")</f>
        <v>71149</v>
      </c>
      <c r="D312" s="6"/>
      <c r="E312" s="6"/>
      <c r="F312" s="6"/>
      <c r="G312" s="6" t="str">
        <f aca="false">IFERROR(__xludf.dummyfunction("""COMPUTED_VALUE"""),"2026/03/19")</f>
        <v>2026/03/19</v>
      </c>
      <c r="H312" s="6" t="str">
        <f aca="false">IFERROR(__xludf.dummyfunction("""COMPUTED_VALUE"""),"必要")</f>
        <v>必要</v>
      </c>
      <c r="I312" s="6" t="str">
        <f aca="false">IFERROR(__xludf.dummyfunction("""COMPUTED_VALUE"""),"女性")</f>
        <v>女性</v>
      </c>
      <c r="J312" s="6" t="str">
        <f aca="false">IFERROR(__xludf.dummyfunction("""COMPUTED_VALUE"""),"日本")</f>
        <v>日本</v>
      </c>
      <c r="K312" s="6" t="str">
        <f aca="false">IFERROR(__xludf.dummyfunction("""COMPUTED_VALUE"""),"30")</f>
        <v>30</v>
      </c>
      <c r="L312" s="6" t="str">
        <f aca="false">IFERROR(__xludf.dummyfunction("""COMPUTED_VALUE"""),"無し")</f>
        <v>無し</v>
      </c>
      <c r="M312" s="6" t="str">
        <f aca="false">IFERROR(__xludf.dummyfunction("""COMPUTED_VALUE"""),"衣装ケース(約W 330mm D 420mm H 820mm)3個
イーゼル(約W590mm D50mm H1400)1個")</f>
        <v>衣装ケース(約W 330mm D 420mm H 820mm)3個
イーゼル(約W590mm D50mm H1400)1個</v>
      </c>
      <c r="N312" s="6" t="str">
        <f aca="false">IFERROR(__xludf.dummyfunction("""COMPUTED_VALUE"""),"無し")</f>
        <v>無し</v>
      </c>
      <c r="O312" s="6" t="str">
        <f aca="false">IFERROR(__xludf.dummyfunction("""COMPUTED_VALUE"""),"不要")</f>
        <v>不要</v>
      </c>
      <c r="P312" s="6"/>
      <c r="Q312" s="6"/>
      <c r="R312" s="6"/>
      <c r="S312" s="6" t="str">
        <f aca="false">IFERROR(__xludf.dummyfunction("""COMPUTED_VALUE"""),"家具家電なし社宅")</f>
        <v>家具家電なし社宅</v>
      </c>
      <c r="T312" s="6" t="str">
        <f aca="false">IFERROR(__xludf.dummyfunction("""COMPUTED_VALUE"""),"利用しない")</f>
        <v>利用しない</v>
      </c>
      <c r="U312" s="6"/>
      <c r="V312" s="6" t="str">
        <f aca="false">IFERROR(__xludf.dummyfunction("""COMPUTED_VALUE"""),"徒歩, 電車, バス")</f>
        <v>徒歩, 電車, バス</v>
      </c>
      <c r="W312" s="6"/>
      <c r="X312" s="6" t="str">
        <f aca="false">IFERROR(__xludf.dummyfunction("""COMPUTED_VALUE"""),"実家")</f>
        <v>実家</v>
      </c>
      <c r="Y312" s="6"/>
      <c r="Z312" s="6" t="str">
        <f aca="false">IFERROR(__xludf.dummyfunction("""COMPUTED_VALUE"""),"希望する")</f>
        <v>希望する</v>
      </c>
      <c r="AA312" s="6" t="str">
        <f aca="false">IFERROR(__xludf.dummyfunction("""COMPUTED_VALUE"""),"単身")</f>
        <v>単身</v>
      </c>
      <c r="AB312" s="6"/>
      <c r="AC312" s="6"/>
      <c r="AD312" s="6"/>
      <c r="AE312" s="6" t="str">
        <f aca="false">IFERROR(__xludf.dummyfunction("""COMPUTED_VALUE"""),"確認しました。")</f>
        <v>確認しました。</v>
      </c>
      <c r="AF312" s="6" t="str">
        <f aca="false">IFERROR(__xludf.dummyfunction("""COMPUTED_VALUE"""),"社宅基準の内容について確認しました")</f>
        <v>社宅基準の内容について確認しました</v>
      </c>
      <c r="AG312" s="6" t="str">
        <f aca="false">IFERROR(__xludf.dummyfunction("""COMPUTED_VALUE"""),"入居のしおりの内容についてご確認しました")</f>
        <v>入居のしおりの内容についてご確認しました</v>
      </c>
      <c r="AH312" s="6" t="str">
        <f aca="false">IFERROR(__xludf.dummyfunction("""COMPUTED_VALUE"""),"確認しました")</f>
        <v>確認しました</v>
      </c>
      <c r="AI312" s="6"/>
      <c r="AJ312" s="6" t="str">
        <v/>
      </c>
      <c r="AK312" s="6" t="str">
        <v/>
      </c>
      <c r="AL312" s="6" t="str">
        <v/>
      </c>
      <c r="AM312" s="6" t="str">
        <v/>
      </c>
      <c r="AN312" s="6" t="n">
        <f aca="false">TRUE()</f>
        <v>1</v>
      </c>
    </row>
    <row r="313" customFormat="false" ht="52.5" hidden="false" customHeight="true" outlineLevel="0" collapsed="false">
      <c r="A313" s="6" t="str">
        <f aca="false">IFERROR(__xludf.dummyfunction("""COMPUTED_VALUE"""),"2026/03/10 17:10:33")</f>
        <v>2026/03/10 17:10:33</v>
      </c>
      <c r="B313" s="6"/>
      <c r="C313" s="6" t="str">
        <f aca="false">IFERROR(__xludf.dummyfunction("""COMPUTED_VALUE"""),"71119")</f>
        <v>71119</v>
      </c>
      <c r="D313" s="6"/>
      <c r="E313" s="6"/>
      <c r="F313" s="6"/>
      <c r="G313" s="6" t="str">
        <f aca="false">IFERROR(__xludf.dummyfunction("""COMPUTED_VALUE"""),"2026/03/30")</f>
        <v>2026/03/30</v>
      </c>
      <c r="H313" s="6" t="str">
        <f aca="false">IFERROR(__xludf.dummyfunction("""COMPUTED_VALUE"""),"必要")</f>
        <v>必要</v>
      </c>
      <c r="I313" s="6" t="str">
        <f aca="false">IFERROR(__xludf.dummyfunction("""COMPUTED_VALUE"""),"男性")</f>
        <v>男性</v>
      </c>
      <c r="J313" s="6" t="str">
        <f aca="false">IFERROR(__xludf.dummyfunction("""COMPUTED_VALUE"""),"日本")</f>
        <v>日本</v>
      </c>
      <c r="K313" s="6" t="str">
        <f aca="false">IFERROR(__xludf.dummyfunction("""COMPUTED_VALUE"""),"10")</f>
        <v>10</v>
      </c>
      <c r="L313" s="6" t="str">
        <f aca="false">IFERROR(__xludf.dummyfunction("""COMPUTED_VALUE"""),"なし")</f>
        <v>なし</v>
      </c>
      <c r="M313" s="6" t="str">
        <f aca="false">IFERROR(__xludf.dummyfunction("""COMPUTED_VALUE"""),"なし")</f>
        <v>なし</v>
      </c>
      <c r="N313" s="6"/>
      <c r="O313" s="6" t="str">
        <f aca="false">IFERROR(__xludf.dummyfunction("""COMPUTED_VALUE"""),"不要")</f>
        <v>不要</v>
      </c>
      <c r="P313" s="6"/>
      <c r="Q313" s="6"/>
      <c r="R313" s="6"/>
      <c r="S313" s="6" t="str">
        <f aca="false">IFERROR(__xludf.dummyfunction("""COMPUTED_VALUE"""),"家具家電付き社宅")</f>
        <v>家具家電付き社宅</v>
      </c>
      <c r="T313" s="6" t="str">
        <f aca="false">IFERROR(__xludf.dummyfunction("""COMPUTED_VALUE"""),"利用しない")</f>
        <v>利用しない</v>
      </c>
      <c r="U313" s="6"/>
      <c r="V313" s="6" t="str">
        <f aca="false">IFERROR(__xludf.dummyfunction("""COMPUTED_VALUE"""),"徒歩, 電車, バス, 社用バス")</f>
        <v>徒歩, 電車, バス, 社用バス</v>
      </c>
      <c r="W313" s="6"/>
      <c r="X313" s="6" t="str">
        <f aca="false">IFERROR(__xludf.dummyfunction("""COMPUTED_VALUE"""),"実家")</f>
        <v>実家</v>
      </c>
      <c r="Y313" s="6"/>
      <c r="Z313" s="6" t="str">
        <f aca="false">IFERROR(__xludf.dummyfunction("""COMPUTED_VALUE"""),"希望する")</f>
        <v>希望する</v>
      </c>
      <c r="AA313" s="6" t="str">
        <f aca="false">IFERROR(__xludf.dummyfunction("""COMPUTED_VALUE"""),"単身")</f>
        <v>単身</v>
      </c>
      <c r="AB313" s="6"/>
      <c r="AC313" s="6"/>
      <c r="AD313" s="6"/>
      <c r="AE313" s="6" t="str">
        <f aca="false">IFERROR(__xludf.dummyfunction("""COMPUTED_VALUE"""),"確認しました。")</f>
        <v>確認しました。</v>
      </c>
      <c r="AF313" s="6" t="str">
        <f aca="false">IFERROR(__xludf.dummyfunction("""COMPUTED_VALUE"""),"社宅基準の内容について確認しました")</f>
        <v>社宅基準の内容について確認しました</v>
      </c>
      <c r="AG313" s="6" t="str">
        <f aca="false">IFERROR(__xludf.dummyfunction("""COMPUTED_VALUE"""),"入居のしおりの内容についてご確認しました")</f>
        <v>入居のしおりの内容についてご確認しました</v>
      </c>
      <c r="AH313" s="6" t="str">
        <f aca="false">IFERROR(__xludf.dummyfunction("""COMPUTED_VALUE"""),"確認しました")</f>
        <v>確認しました</v>
      </c>
      <c r="AI313" s="6"/>
      <c r="AJ313" s="6" t="str">
        <v/>
      </c>
      <c r="AK313" s="6" t="str">
        <v/>
      </c>
      <c r="AL313" s="6" t="str">
        <v/>
      </c>
      <c r="AM313" s="6" t="str">
        <v/>
      </c>
      <c r="AN313" s="6" t="n">
        <f aca="false">FALSE()</f>
        <v>0</v>
      </c>
    </row>
    <row r="314" customFormat="false" ht="52.5" hidden="false" customHeight="true" outlineLevel="0" collapsed="false">
      <c r="A314" s="6" t="str">
        <f aca="false">IFERROR(__xludf.dummyfunction("""COMPUTED_VALUE"""),"2026/03/10 17:54:49")</f>
        <v>2026/03/10 17:54:49</v>
      </c>
      <c r="B314" s="6"/>
      <c r="C314" s="6" t="str">
        <f aca="false">IFERROR(__xludf.dummyfunction("""COMPUTED_VALUE"""),"71074")</f>
        <v>71074</v>
      </c>
      <c r="D314" s="6"/>
      <c r="E314" s="6"/>
      <c r="F314" s="6"/>
      <c r="G314" s="6" t="str">
        <f aca="false">IFERROR(__xludf.dummyfunction("""COMPUTED_VALUE"""),"2026/03/28")</f>
        <v>2026/03/28</v>
      </c>
      <c r="H314" s="6" t="str">
        <f aca="false">IFERROR(__xludf.dummyfunction("""COMPUTED_VALUE"""),"必要")</f>
        <v>必要</v>
      </c>
      <c r="I314" s="6" t="str">
        <f aca="false">IFERROR(__xludf.dummyfunction("""COMPUTED_VALUE"""),"男性")</f>
        <v>男性</v>
      </c>
      <c r="J314" s="6" t="str">
        <f aca="false">IFERROR(__xludf.dummyfunction("""COMPUTED_VALUE"""),"日本")</f>
        <v>日本</v>
      </c>
      <c r="K314" s="6" t="str">
        <f aca="false">IFERROR(__xludf.dummyfunction("""COMPUTED_VALUE"""),"5")</f>
        <v>5</v>
      </c>
      <c r="L314" s="6" t="str">
        <f aca="false">IFERROR(__xludf.dummyfunction("""COMPUTED_VALUE"""),"電子レンジ、炊飯器、電気ケトル、ドライヤー、オーブントースター")</f>
        <v>電子レンジ、炊飯器、電気ケトル、ドライヤー、オーブントースター</v>
      </c>
      <c r="M314" s="6" t="str">
        <f aca="false">IFERROR(__xludf.dummyfunction("""COMPUTED_VALUE"""),"棚1(幅264mm・奥行349mm・高さ550mm)、棚2(幅60cm・奥行45cm、高さ93cmcm)、棚3(幅54cm、奥行40cm、高さ85.5cm)")</f>
        <v>棚1(幅264mm・奥行349mm・高さ550mm)、棚2(幅60cm・奥行45cm、高さ93cmcm)、棚3(幅54cm、奥行40cm、高さ85.5cm)</v>
      </c>
      <c r="N314" s="6"/>
      <c r="O314" s="6" t="str">
        <f aca="false">IFERROR(__xludf.dummyfunction("""COMPUTED_VALUE"""),"必要")</f>
        <v>必要</v>
      </c>
      <c r="P314" s="6" t="str">
        <f aca="false">IFERROR(__xludf.dummyfunction("""COMPUTED_VALUE"""),"ヤリスクロス")</f>
        <v>ヤリスクロス</v>
      </c>
      <c r="Q314" s="6" t="str">
        <f aca="false">IFERROR(__xludf.dummyfunction("""COMPUTED_VALUE"""),"す16-74")</f>
        <v>す16-74</v>
      </c>
      <c r="R314" s="6" t="str">
        <f aca="false">IFERROR(__xludf.dummyfunction("""COMPUTED_VALUE"""),"白")</f>
        <v>白</v>
      </c>
      <c r="S314" s="6" t="str">
        <f aca="false">IFERROR(__xludf.dummyfunction("""COMPUTED_VALUE"""),"家具家電付き社宅")</f>
        <v>家具家電付き社宅</v>
      </c>
      <c r="T314" s="6" t="str">
        <f aca="false">IFERROR(__xludf.dummyfunction("""COMPUTED_VALUE"""),"利用しない")</f>
        <v>利用しない</v>
      </c>
      <c r="U314" s="6"/>
      <c r="V314" s="6" t="str">
        <f aca="false">IFERROR(__xludf.dummyfunction("""COMPUTED_VALUE"""),"徒歩, 自動車, 電車")</f>
        <v>徒歩, 自動車, 電車</v>
      </c>
      <c r="W314" s="6"/>
      <c r="X314" s="6" t="str">
        <f aca="false">IFERROR(__xludf.dummyfunction("""COMPUTED_VALUE"""),"株式会社ビーネックステクノロジーズの社宅")</f>
        <v>株式会社ビーネックステクノロジーズの社宅</v>
      </c>
      <c r="Y314" s="6" t="str">
        <f aca="false">IFERROR(__xludf.dummyfunction("""COMPUTED_VALUE"""),"冷蔵庫、洗濯機")</f>
        <v>冷蔵庫、洗濯機</v>
      </c>
      <c r="Z314" s="6" t="str">
        <f aca="false">IFERROR(__xludf.dummyfunction("""COMPUTED_VALUE"""),"希望する")</f>
        <v>希望する</v>
      </c>
      <c r="AA314" s="6" t="str">
        <f aca="false">IFERROR(__xludf.dummyfunction("""COMPUTED_VALUE"""),"単身")</f>
        <v>単身</v>
      </c>
      <c r="AB314" s="6"/>
      <c r="AC314" s="6"/>
      <c r="AD314" s="6"/>
      <c r="AE314" s="6" t="str">
        <f aca="false">IFERROR(__xludf.dummyfunction("""COMPUTED_VALUE"""),"確認しました。")</f>
        <v>確認しました。</v>
      </c>
      <c r="AF314" s="6" t="str">
        <f aca="false">IFERROR(__xludf.dummyfunction("""COMPUTED_VALUE"""),"社宅基準の内容について確認しました")</f>
        <v>社宅基準の内容について確認しました</v>
      </c>
      <c r="AG314" s="6" t="str">
        <f aca="false">IFERROR(__xludf.dummyfunction("""COMPUTED_VALUE"""),"入居のしおりの内容についてご確認しました")</f>
        <v>入居のしおりの内容についてご確認しました</v>
      </c>
      <c r="AH314" s="6" t="str">
        <f aca="false">IFERROR(__xludf.dummyfunction("""COMPUTED_VALUE"""),"確認しました")</f>
        <v>確認しました</v>
      </c>
      <c r="AI314" s="6"/>
      <c r="AJ314" s="6" t="str">
        <v/>
      </c>
      <c r="AK314" s="6" t="str">
        <v/>
      </c>
      <c r="AL314" s="6" t="str">
        <v/>
      </c>
      <c r="AM314" s="6" t="str">
        <v/>
      </c>
      <c r="AN314" s="6" t="n">
        <f aca="false">FALSE()</f>
        <v>0</v>
      </c>
    </row>
    <row r="315" customFormat="false" ht="52.5" hidden="false" customHeight="true" outlineLevel="0" collapsed="false">
      <c r="A315" s="6" t="str">
        <f aca="false">IFERROR(__xludf.dummyfunction("""COMPUTED_VALUE"""),"2026/03/10 18:21:30")</f>
        <v>2026/03/10 18:21:30</v>
      </c>
      <c r="B315" s="6"/>
      <c r="C315" s="6" t="str">
        <f aca="false">IFERROR(__xludf.dummyfunction("""COMPUTED_VALUE"""),"71033")</f>
        <v>71033</v>
      </c>
      <c r="D315" s="6"/>
      <c r="E315" s="6"/>
      <c r="F315" s="6"/>
      <c r="G315" s="6" t="str">
        <f aca="false">IFERROR(__xludf.dummyfunction("""COMPUTED_VALUE"""),"2026/03/27")</f>
        <v>2026/03/27</v>
      </c>
      <c r="H315" s="6" t="str">
        <f aca="false">IFERROR(__xludf.dummyfunction("""COMPUTED_VALUE"""),"必要")</f>
        <v>必要</v>
      </c>
      <c r="I315" s="6" t="str">
        <f aca="false">IFERROR(__xludf.dummyfunction("""COMPUTED_VALUE"""),"男性")</f>
        <v>男性</v>
      </c>
      <c r="J315" s="6" t="str">
        <f aca="false">IFERROR(__xludf.dummyfunction("""COMPUTED_VALUE"""),"日本")</f>
        <v>日本</v>
      </c>
      <c r="K315" s="6" t="str">
        <f aca="false">IFERROR(__xludf.dummyfunction("""COMPUTED_VALUE"""),"20")</f>
        <v>20</v>
      </c>
      <c r="L315" s="6" t="str">
        <f aca="false">IFERROR(__xludf.dummyfunction("""COMPUTED_VALUE"""),"洗濯機　冷蔵庫単身用　電子レンジ　炊飯器　エアコン")</f>
        <v>洗濯機　冷蔵庫単身用　電子レンジ　炊飯器　エアコン</v>
      </c>
      <c r="M315" s="6" t="str">
        <f aca="false">IFERROR(__xludf.dummyfunction("""COMPUTED_VALUE"""),"ゲーミングデスク高さ0.5m横1m奥行き0.5m　ゲーミングpc 小さい棚")</f>
        <v>ゲーミングデスク高さ0.5m横1m奥行き0.5m　ゲーミングpc 小さい棚</v>
      </c>
      <c r="N315" s="6" t="str">
        <f aca="false">IFERROR(__xludf.dummyfunction("""COMPUTED_VALUE"""),"自転車　服　プラモデル　Wi-Fi 日用品")</f>
        <v>自転車　服　プラモデル　Wi-Fi 日用品</v>
      </c>
      <c r="O315" s="6" t="str">
        <f aca="false">IFERROR(__xludf.dummyfunction("""COMPUTED_VALUE"""),"必要")</f>
        <v>必要</v>
      </c>
      <c r="P315" s="6" t="str">
        <f aca="false">IFERROR(__xludf.dummyfunction("""COMPUTED_VALUE"""),"アクア")</f>
        <v>アクア</v>
      </c>
      <c r="Q315" s="6" t="str">
        <f aca="false">IFERROR(__xludf.dummyfunction("""COMPUTED_VALUE"""),"ゆ61-11")</f>
        <v>ゆ61-11</v>
      </c>
      <c r="R315" s="6" t="str">
        <f aca="false">IFERROR(__xludf.dummyfunction("""COMPUTED_VALUE"""),"黒青")</f>
        <v>黒青</v>
      </c>
      <c r="S315" s="6" t="str">
        <f aca="false">IFERROR(__xludf.dummyfunction("""COMPUTED_VALUE"""),"家具家電なし社宅")</f>
        <v>家具家電なし社宅</v>
      </c>
      <c r="T315" s="6" t="str">
        <f aca="false">IFERROR(__xludf.dummyfunction("""COMPUTED_VALUE"""),"利用しない")</f>
        <v>利用しない</v>
      </c>
      <c r="U315" s="6"/>
      <c r="V315" s="6" t="str">
        <f aca="false">IFERROR(__xludf.dummyfunction("""COMPUTED_VALUE"""),"自動車")</f>
        <v>自動車</v>
      </c>
      <c r="W315" s="6"/>
      <c r="X315" s="6" t="str">
        <f aca="false">IFERROR(__xludf.dummyfunction("""COMPUTED_VALUE"""),"株式会社ビーネックステクノロジーズの社宅")</f>
        <v>株式会社ビーネックステクノロジーズの社宅</v>
      </c>
      <c r="Y315" s="6" t="str">
        <f aca="false">IFERROR(__xludf.dummyfunction("""COMPUTED_VALUE"""),"利用なし")</f>
        <v>利用なし</v>
      </c>
      <c r="Z315" s="6" t="str">
        <f aca="false">IFERROR(__xludf.dummyfunction("""COMPUTED_VALUE"""),"希望する")</f>
        <v>希望する</v>
      </c>
      <c r="AA315" s="6" t="str">
        <f aca="false">IFERROR(__xludf.dummyfunction("""COMPUTED_VALUE"""),"単身")</f>
        <v>単身</v>
      </c>
      <c r="AB315" s="6"/>
      <c r="AC315" s="6"/>
      <c r="AD315" s="6"/>
      <c r="AE315" s="6" t="str">
        <f aca="false">IFERROR(__xludf.dummyfunction("""COMPUTED_VALUE"""),"確認しました。")</f>
        <v>確認しました。</v>
      </c>
      <c r="AF315" s="6" t="str">
        <f aca="false">IFERROR(__xludf.dummyfunction("""COMPUTED_VALUE"""),"社宅基準の内容について確認しました")</f>
        <v>社宅基準の内容について確認しました</v>
      </c>
      <c r="AG315" s="6" t="str">
        <f aca="false">IFERROR(__xludf.dummyfunction("""COMPUTED_VALUE"""),"入居のしおりの内容についてご確認しました")</f>
        <v>入居のしおりの内容についてご確認しました</v>
      </c>
      <c r="AH315" s="6" t="str">
        <f aca="false">IFERROR(__xludf.dummyfunction("""COMPUTED_VALUE"""),"確認しました")</f>
        <v>確認しました</v>
      </c>
      <c r="AI315" s="6"/>
      <c r="AJ315" s="6" t="str">
        <v/>
      </c>
      <c r="AK315" s="6" t="str">
        <v/>
      </c>
      <c r="AL315" s="6" t="str">
        <v/>
      </c>
      <c r="AM315" s="6" t="str">
        <v/>
      </c>
      <c r="AN315" s="6" t="n">
        <f aca="false">FALSE()</f>
        <v>0</v>
      </c>
    </row>
    <row r="316" customFormat="false" ht="52.5" hidden="false" customHeight="true" outlineLevel="0" collapsed="false">
      <c r="A316" s="6" t="str">
        <f aca="false">IFERROR(__xludf.dummyfunction("""COMPUTED_VALUE"""),"2026/03/10 18:43:22")</f>
        <v>2026/03/10 18:43:22</v>
      </c>
      <c r="B316" s="6"/>
      <c r="C316" s="6" t="str">
        <f aca="false">IFERROR(__xludf.dummyfunction("""COMPUTED_VALUE"""),"71159")</f>
        <v>71159</v>
      </c>
      <c r="D316" s="6"/>
      <c r="E316" s="6"/>
      <c r="F316" s="6"/>
      <c r="G316" s="6" t="str">
        <f aca="false">IFERROR(__xludf.dummyfunction("""COMPUTED_VALUE"""),"2026/03/28")</f>
        <v>2026/03/28</v>
      </c>
      <c r="H316" s="6" t="str">
        <f aca="false">IFERROR(__xludf.dummyfunction("""COMPUTED_VALUE"""),"必要")</f>
        <v>必要</v>
      </c>
      <c r="I316" s="6" t="str">
        <f aca="false">IFERROR(__xludf.dummyfunction("""COMPUTED_VALUE"""),"男性")</f>
        <v>男性</v>
      </c>
      <c r="J316" s="6" t="str">
        <f aca="false">IFERROR(__xludf.dummyfunction("""COMPUTED_VALUE"""),"中国")</f>
        <v>中国</v>
      </c>
      <c r="K316" s="6" t="str">
        <f aca="false">IFERROR(__xludf.dummyfunction("""COMPUTED_VALUE"""),"12")</f>
        <v>12</v>
      </c>
      <c r="L316" s="6" t="str">
        <f aca="false">IFERROR(__xludf.dummyfunction("""COMPUTED_VALUE"""),"冷蔵庫(145L)、テレビ(32インチ)、電車レンジ、洗濯機、扇風機、加湿器")</f>
        <v>冷蔵庫(145L)、テレビ(32インチ)、電車レンジ、洗濯機、扇風機、加湿器</v>
      </c>
      <c r="M316" s="6" t="str">
        <f aca="false">IFERROR(__xludf.dummyfunction("""COMPUTED_VALUE"""),"本棚1.8m*0.6m*0.3m（分解可能） テレビラック（分解可能）鏡（1.8m）ダイニングテーブル（分解可能）スタンドライト（1.5m) マットレス(200*90*30) サイトテーブル(40*35*35)")</f>
        <v>本棚1.8m*0.6m*0.3m（分解可能） テレビラック（分解可能）鏡（1.8m）ダイニングテーブル（分解可能）スタンドライト（1.5m) マットレス(200*90*30) サイトテーブル(40*35*35)</v>
      </c>
      <c r="N316" s="6" t="str">
        <f aca="false">IFERROR(__xludf.dummyfunction("""COMPUTED_VALUE"""),"自転車")</f>
        <v>自転車</v>
      </c>
      <c r="O316" s="6" t="str">
        <f aca="false">IFERROR(__xludf.dummyfunction("""COMPUTED_VALUE"""),"必要")</f>
        <v>必要</v>
      </c>
      <c r="P316" s="6" t="str">
        <f aca="false">IFERROR(__xludf.dummyfunction("""COMPUTED_VALUE"""),"トヨタ　ヤリス(コンパクトカー)")</f>
        <v>トヨタ　ヤリス(コンパクトカー)</v>
      </c>
      <c r="Q316" s="6" t="str">
        <f aca="false">IFERROR(__xludf.dummyfunction("""COMPUTED_VALUE"""),"タ09-83")</f>
        <v>タ09-83</v>
      </c>
      <c r="R316" s="6" t="str">
        <f aca="false">IFERROR(__xludf.dummyfunction("""COMPUTED_VALUE"""),"青(ディープブルー)")</f>
        <v>青(ディープブルー)</v>
      </c>
      <c r="S316" s="6" t="str">
        <f aca="false">IFERROR(__xludf.dummyfunction("""COMPUTED_VALUE"""),"家具家電なし社宅")</f>
        <v>家具家電なし社宅</v>
      </c>
      <c r="T316" s="6" t="str">
        <f aca="false">IFERROR(__xludf.dummyfunction("""COMPUTED_VALUE"""),"利用しない")</f>
        <v>利用しない</v>
      </c>
      <c r="U316" s="6"/>
      <c r="V316" s="6" t="str">
        <f aca="false">IFERROR(__xludf.dummyfunction("""COMPUTED_VALUE"""),"電車, バス")</f>
        <v>電車, バス</v>
      </c>
      <c r="W316" s="6"/>
      <c r="X316" s="6" t="str">
        <f aca="false">IFERROR(__xludf.dummyfunction("""COMPUTED_VALUE"""),"株式会社ビーネックステクノロジーズの社宅")</f>
        <v>株式会社ビーネックステクノロジーズの社宅</v>
      </c>
      <c r="Y316" s="6" t="str">
        <f aca="false">IFERROR(__xludf.dummyfunction("""COMPUTED_VALUE"""),"利用なし")</f>
        <v>利用なし</v>
      </c>
      <c r="Z316" s="6" t="str">
        <f aca="false">IFERROR(__xludf.dummyfunction("""COMPUTED_VALUE"""),"希望する")</f>
        <v>希望する</v>
      </c>
      <c r="AA316" s="6" t="str">
        <f aca="false">IFERROR(__xludf.dummyfunction("""COMPUTED_VALUE"""),"単身")</f>
        <v>単身</v>
      </c>
      <c r="AB316" s="6"/>
      <c r="AC316" s="6"/>
      <c r="AD316" s="6"/>
      <c r="AE316" s="6" t="str">
        <f aca="false">IFERROR(__xludf.dummyfunction("""COMPUTED_VALUE"""),"確認しました。")</f>
        <v>確認しました。</v>
      </c>
      <c r="AF316" s="6" t="str">
        <f aca="false">IFERROR(__xludf.dummyfunction("""COMPUTED_VALUE"""),"社宅基準の内容について確認しました")</f>
        <v>社宅基準の内容について確認しました</v>
      </c>
      <c r="AG316" s="6" t="str">
        <f aca="false">IFERROR(__xludf.dummyfunction("""COMPUTED_VALUE"""),"入居のしおりの内容についてご確認しました")</f>
        <v>入居のしおりの内容についてご確認しました</v>
      </c>
      <c r="AH316" s="6" t="str">
        <f aca="false">IFERROR(__xludf.dummyfunction("""COMPUTED_VALUE"""),"確認しました")</f>
        <v>確認しました</v>
      </c>
      <c r="AI316" s="6"/>
      <c r="AJ316" s="6" t="str">
        <v/>
      </c>
      <c r="AK316" s="6" t="str">
        <v/>
      </c>
      <c r="AL316" s="6" t="str">
        <v/>
      </c>
      <c r="AM316" s="6" t="str">
        <v/>
      </c>
      <c r="AN316" s="6" t="n">
        <f aca="false">TRUE()</f>
        <v>1</v>
      </c>
    </row>
    <row r="317" customFormat="false" ht="52.5" hidden="false" customHeight="true" outlineLevel="0" collapsed="false">
      <c r="A317" s="6" t="str">
        <f aca="false">IFERROR(__xludf.dummyfunction("""COMPUTED_VALUE"""),"2026/03/10 19:23:14")</f>
        <v>2026/03/10 19:23:14</v>
      </c>
      <c r="B317" s="6"/>
      <c r="C317" s="6" t="str">
        <f aca="false">IFERROR(__xludf.dummyfunction("""COMPUTED_VALUE"""),"71129")</f>
        <v>71129</v>
      </c>
      <c r="D317" s="6"/>
      <c r="E317" s="6"/>
      <c r="F317" s="6"/>
      <c r="G317" s="6" t="str">
        <f aca="false">IFERROR(__xludf.dummyfunction("""COMPUTED_VALUE"""),"2026/03/21")</f>
        <v>2026/03/21</v>
      </c>
      <c r="H317" s="6" t="str">
        <f aca="false">IFERROR(__xludf.dummyfunction("""COMPUTED_VALUE"""),"不要")</f>
        <v>不要</v>
      </c>
      <c r="I317" s="6" t="str">
        <f aca="false">IFERROR(__xludf.dummyfunction("""COMPUTED_VALUE"""),"女性")</f>
        <v>女性</v>
      </c>
      <c r="J317" s="6" t="str">
        <f aca="false">IFERROR(__xludf.dummyfunction("""COMPUTED_VALUE"""),"日本")</f>
        <v>日本</v>
      </c>
      <c r="K317" s="6"/>
      <c r="L317" s="6"/>
      <c r="M317" s="6"/>
      <c r="N317" s="6"/>
      <c r="O317" s="6" t="str">
        <f aca="false">IFERROR(__xludf.dummyfunction("""COMPUTED_VALUE"""),"必要")</f>
        <v>必要</v>
      </c>
      <c r="P317" s="6" t="str">
        <f aca="false">IFERROR(__xludf.dummyfunction("""COMPUTED_VALUE"""),"キャンバス")</f>
        <v>キャンバス</v>
      </c>
      <c r="Q317" s="6" t="str">
        <f aca="false">IFERROR(__xludf.dummyfunction("""COMPUTED_VALUE"""),"う11-01")</f>
        <v>う11-01</v>
      </c>
      <c r="R317" s="6" t="str">
        <f aca="false">IFERROR(__xludf.dummyfunction("""COMPUTED_VALUE"""),"ベージュ")</f>
        <v>ベージュ</v>
      </c>
      <c r="S317" s="6" t="str">
        <f aca="false">IFERROR(__xludf.dummyfunction("""COMPUTED_VALUE"""),"家具家電なし社宅")</f>
        <v>家具家電なし社宅</v>
      </c>
      <c r="T317" s="6" t="str">
        <f aca="false">IFERROR(__xludf.dummyfunction("""COMPUTED_VALUE"""),"利用しない")</f>
        <v>利用しない</v>
      </c>
      <c r="U317" s="6"/>
      <c r="V317" s="6" t="str">
        <f aca="false">IFERROR(__xludf.dummyfunction("""COMPUTED_VALUE"""),"自動車")</f>
        <v>自動車</v>
      </c>
      <c r="W317" s="6"/>
      <c r="X317" s="6" t="str">
        <f aca="false">IFERROR(__xludf.dummyfunction("""COMPUTED_VALUE"""),"実家")</f>
        <v>実家</v>
      </c>
      <c r="Y317" s="6"/>
      <c r="Z317" s="6" t="str">
        <f aca="false">IFERROR(__xludf.dummyfunction("""COMPUTED_VALUE"""),"希望する")</f>
        <v>希望する</v>
      </c>
      <c r="AA317" s="6" t="str">
        <f aca="false">IFERROR(__xludf.dummyfunction("""COMPUTED_VALUE"""),"単身")</f>
        <v>単身</v>
      </c>
      <c r="AB317" s="6"/>
      <c r="AC317" s="6"/>
      <c r="AD317" s="6" t="str">
        <f aca="false">IFERROR(__xludf.dummyfunction("""COMPUTED_VALUE"""),"トイレとお風呂は別
レオパレス以外で最初からエアコン付きがあればありがたいです
コンロができれば２つ")</f>
        <v>トイレとお風呂は別
レオパレス以外で最初からエアコン付きがあればありがたいです
コンロができれば２つ</v>
      </c>
      <c r="AE317" s="6" t="str">
        <f aca="false">IFERROR(__xludf.dummyfunction("""COMPUTED_VALUE"""),"確認しました。")</f>
        <v>確認しました。</v>
      </c>
      <c r="AF317" s="6" t="str">
        <f aca="false">IFERROR(__xludf.dummyfunction("""COMPUTED_VALUE"""),"社宅基準の内容について確認しました")</f>
        <v>社宅基準の内容について確認しました</v>
      </c>
      <c r="AG317" s="6" t="str">
        <f aca="false">IFERROR(__xludf.dummyfunction("""COMPUTED_VALUE"""),"入居のしおりの内容についてご確認しました")</f>
        <v>入居のしおりの内容についてご確認しました</v>
      </c>
      <c r="AH317" s="6" t="str">
        <f aca="false">IFERROR(__xludf.dummyfunction("""COMPUTED_VALUE"""),"確認しました")</f>
        <v>確認しました</v>
      </c>
      <c r="AI317" s="6"/>
      <c r="AJ317" s="6" t="str">
        <v/>
      </c>
      <c r="AK317" s="6" t="str">
        <v/>
      </c>
      <c r="AL317" s="6" t="str">
        <v/>
      </c>
      <c r="AM317" s="6" t="str">
        <v/>
      </c>
      <c r="AN317" s="6" t="n">
        <f aca="false">FALSE()</f>
        <v>0</v>
      </c>
    </row>
    <row r="318" customFormat="false" ht="52.5" hidden="false" customHeight="true" outlineLevel="0" collapsed="false">
      <c r="A318" s="6" t="str">
        <f aca="false">IFERROR(__xludf.dummyfunction("""COMPUTED_VALUE"""),"2026/03/10 21:08:55")</f>
        <v>2026/03/10 21:08:55</v>
      </c>
      <c r="B318" s="6"/>
      <c r="C318" s="6" t="str">
        <f aca="false">IFERROR(__xludf.dummyfunction("""COMPUTED_VALUE"""),"71147")</f>
        <v>71147</v>
      </c>
      <c r="D318" s="6"/>
      <c r="E318" s="6"/>
      <c r="F318" s="6"/>
      <c r="G318" s="6" t="str">
        <f aca="false">IFERROR(__xludf.dummyfunction("""COMPUTED_VALUE"""),"2026/03/29")</f>
        <v>2026/03/29</v>
      </c>
      <c r="H318" s="6" t="str">
        <f aca="false">IFERROR(__xludf.dummyfunction("""COMPUTED_VALUE"""),"必要")</f>
        <v>必要</v>
      </c>
      <c r="I318" s="6" t="str">
        <f aca="false">IFERROR(__xludf.dummyfunction("""COMPUTED_VALUE"""),"男性")</f>
        <v>男性</v>
      </c>
      <c r="J318" s="6" t="str">
        <f aca="false">IFERROR(__xludf.dummyfunction("""COMPUTED_VALUE"""),"日本")</f>
        <v>日本</v>
      </c>
      <c r="K318" s="6" t="str">
        <f aca="false">IFERROR(__xludf.dummyfunction("""COMPUTED_VALUE"""),"6")</f>
        <v>6</v>
      </c>
      <c r="L318" s="6" t="str">
        <f aca="false">IFERROR(__xludf.dummyfunction("""COMPUTED_VALUE"""),"単身用冷蔵庫、洗濯機、トースター、炊飯器")</f>
        <v>単身用冷蔵庫、洗濯機、トースター、炊飯器</v>
      </c>
      <c r="M318" s="6" t="str">
        <f aca="false">IFERROR(__xludf.dummyfunction("""COMPUTED_VALUE"""),"机70cmx70cmx69cm、机80cmx50cmx70cm、ソファーベッド203cmx98.5cmx60cm、棚60cmx40cmx89cm、椅子x3")</f>
        <v>机70cmx70cmx69cm、机80cmx50cmx70cm、ソファーベッド203cmx98.5cmx60cm、棚60cmx40cmx89cm、椅子x3</v>
      </c>
      <c r="N318" s="6" t="str">
        <f aca="false">IFERROR(__xludf.dummyfunction("""COMPUTED_VALUE"""),"デスクトップPCx2")</f>
        <v>デスクトップPCx2</v>
      </c>
      <c r="O318" s="6" t="str">
        <f aca="false">IFERROR(__xludf.dummyfunction("""COMPUTED_VALUE"""),"不要")</f>
        <v>不要</v>
      </c>
      <c r="P318" s="6"/>
      <c r="Q318" s="6"/>
      <c r="R318" s="6"/>
      <c r="S318" s="6" t="str">
        <f aca="false">IFERROR(__xludf.dummyfunction("""COMPUTED_VALUE"""),"家具家電なし社宅")</f>
        <v>家具家電なし社宅</v>
      </c>
      <c r="T318" s="6" t="str">
        <f aca="false">IFERROR(__xludf.dummyfunction("""COMPUTED_VALUE"""),"利用しない")</f>
        <v>利用しない</v>
      </c>
      <c r="U318" s="6"/>
      <c r="V318" s="6" t="str">
        <f aca="false">IFERROR(__xludf.dummyfunction("""COMPUTED_VALUE"""),"電車, バス")</f>
        <v>電車, バス</v>
      </c>
      <c r="W318" s="6"/>
      <c r="X318" s="6" t="str">
        <f aca="false">IFERROR(__xludf.dummyfunction("""COMPUTED_VALUE"""),"株式会社ビーネックステクノロジーズの社宅")</f>
        <v>株式会社ビーネックステクノロジーズの社宅</v>
      </c>
      <c r="Y318" s="6" t="str">
        <f aca="false">IFERROR(__xludf.dummyfunction("""COMPUTED_VALUE"""),"利用なし")</f>
        <v>利用なし</v>
      </c>
      <c r="Z318" s="6" t="str">
        <f aca="false">IFERROR(__xludf.dummyfunction("""COMPUTED_VALUE"""),"希望しない")</f>
        <v>希望しない</v>
      </c>
      <c r="AA318" s="6" t="str">
        <f aca="false">IFERROR(__xludf.dummyfunction("""COMPUTED_VALUE"""),"単身")</f>
        <v>単身</v>
      </c>
      <c r="AB318" s="6"/>
      <c r="AC318" s="6"/>
      <c r="AD318" s="6" t="str">
        <f aca="false">IFERROR(__xludf.dummyfunction("""COMPUTED_VALUE"""),"姪浜駅付近を希望")</f>
        <v>姪浜駅付近を希望</v>
      </c>
      <c r="AE318" s="6" t="str">
        <f aca="false">IFERROR(__xludf.dummyfunction("""COMPUTED_VALUE"""),"確認しました。")</f>
        <v>確認しました。</v>
      </c>
      <c r="AF318" s="6" t="str">
        <f aca="false">IFERROR(__xludf.dummyfunction("""COMPUTED_VALUE"""),"社宅基準の内容について確認しました")</f>
        <v>社宅基準の内容について確認しました</v>
      </c>
      <c r="AG318" s="6" t="str">
        <f aca="false">IFERROR(__xludf.dummyfunction("""COMPUTED_VALUE"""),"入居のしおりの内容についてご確認しました")</f>
        <v>入居のしおりの内容についてご確認しました</v>
      </c>
      <c r="AH318" s="6" t="str">
        <f aca="false">IFERROR(__xludf.dummyfunction("""COMPUTED_VALUE"""),"確認しました")</f>
        <v>確認しました</v>
      </c>
      <c r="AI318" s="6"/>
      <c r="AJ318" s="6" t="str">
        <v/>
      </c>
      <c r="AK318" s="6" t="str">
        <v/>
      </c>
      <c r="AL318" s="6" t="str">
        <v/>
      </c>
      <c r="AM318" s="6" t="str">
        <v/>
      </c>
      <c r="AN318" s="6" t="n">
        <f aca="false">TRUE()</f>
        <v>1</v>
      </c>
    </row>
    <row r="319" customFormat="false" ht="52.5" hidden="false" customHeight="true" outlineLevel="0" collapsed="false">
      <c r="A319" s="6" t="str">
        <f aca="false">IFERROR(__xludf.dummyfunction("""COMPUTED_VALUE"""),"2026/03/10 21:12:55")</f>
        <v>2026/03/10 21:12:55</v>
      </c>
      <c r="B319" s="6"/>
      <c r="C319" s="6" t="str">
        <f aca="false">IFERROR(__xludf.dummyfunction("""COMPUTED_VALUE"""),"71102")</f>
        <v>71102</v>
      </c>
      <c r="D319" s="6"/>
      <c r="E319" s="6"/>
      <c r="F319" s="6"/>
      <c r="G319" s="6" t="str">
        <f aca="false">IFERROR(__xludf.dummyfunction("""COMPUTED_VALUE"""),"2026/03/31")</f>
        <v>2026/03/31</v>
      </c>
      <c r="H319" s="6" t="str">
        <f aca="false">IFERROR(__xludf.dummyfunction("""COMPUTED_VALUE"""),"必要")</f>
        <v>必要</v>
      </c>
      <c r="I319" s="6" t="str">
        <f aca="false">IFERROR(__xludf.dummyfunction("""COMPUTED_VALUE"""),"男性")</f>
        <v>男性</v>
      </c>
      <c r="J319" s="6" t="str">
        <f aca="false">IFERROR(__xludf.dummyfunction("""COMPUTED_VALUE"""),"日本")</f>
        <v>日本</v>
      </c>
      <c r="K319" s="6" t="str">
        <f aca="false">IFERROR(__xludf.dummyfunction("""COMPUTED_VALUE"""),"7")</f>
        <v>7</v>
      </c>
      <c r="L319" s="6" t="str">
        <f aca="false">IFERROR(__xludf.dummyfunction("""COMPUTED_VALUE"""),"冷蔵庫(単身用)、炊飯器、電子レンジ、トースター、ポット")</f>
        <v>冷蔵庫(単身用)、炊飯器、電子レンジ、トースター、ポット</v>
      </c>
      <c r="M319" s="6" t="str">
        <f aca="false">IFERROR(__xludf.dummyfunction("""COMPUTED_VALUE"""),"机、椅子、")</f>
        <v>机、椅子、</v>
      </c>
      <c r="N319" s="6" t="str">
        <f aca="false">IFERROR(__xludf.dummyfunction("""COMPUTED_VALUE"""),"自転車")</f>
        <v>自転車</v>
      </c>
      <c r="O319" s="6" t="str">
        <f aca="false">IFERROR(__xludf.dummyfunction("""COMPUTED_VALUE"""),"不要")</f>
        <v>不要</v>
      </c>
      <c r="P319" s="6"/>
      <c r="Q319" s="6"/>
      <c r="R319" s="6"/>
      <c r="S319" s="6" t="str">
        <f aca="false">IFERROR(__xludf.dummyfunction("""COMPUTED_VALUE"""),"家具家電なし社宅")</f>
        <v>家具家電なし社宅</v>
      </c>
      <c r="T319" s="6" t="str">
        <f aca="false">IFERROR(__xludf.dummyfunction("""COMPUTED_VALUE"""),"利用する")</f>
        <v>利用する</v>
      </c>
      <c r="U319" s="6" t="str">
        <f aca="false">IFERROR(__xludf.dummyfunction("""COMPUTED_VALUE"""),"全自動洗濯機、エアコン、照明器具")</f>
        <v>全自動洗濯機、エアコン、照明器具</v>
      </c>
      <c r="V319" s="6" t="str">
        <f aca="false">IFERROR(__xludf.dummyfunction("""COMPUTED_VALUE"""),"電車")</f>
        <v>電車</v>
      </c>
      <c r="W319" s="6"/>
      <c r="X319" s="6" t="str">
        <f aca="false">IFERROR(__xludf.dummyfunction("""COMPUTED_VALUE"""),"実家")</f>
        <v>実家</v>
      </c>
      <c r="Y319" s="6"/>
      <c r="Z319" s="6" t="str">
        <f aca="false">IFERROR(__xludf.dummyfunction("""COMPUTED_VALUE"""),"希望する")</f>
        <v>希望する</v>
      </c>
      <c r="AA319" s="6" t="str">
        <f aca="false">IFERROR(__xludf.dummyfunction("""COMPUTED_VALUE"""),"単身")</f>
        <v>単身</v>
      </c>
      <c r="AB319" s="6"/>
      <c r="AC319" s="6"/>
      <c r="AD319" s="6"/>
      <c r="AE319" s="6" t="str">
        <f aca="false">IFERROR(__xludf.dummyfunction("""COMPUTED_VALUE"""),"確認しました。")</f>
        <v>確認しました。</v>
      </c>
      <c r="AF319" s="6" t="str">
        <f aca="false">IFERROR(__xludf.dummyfunction("""COMPUTED_VALUE"""),"社宅基準の内容について確認しました")</f>
        <v>社宅基準の内容について確認しました</v>
      </c>
      <c r="AG319" s="6" t="str">
        <f aca="false">IFERROR(__xludf.dummyfunction("""COMPUTED_VALUE"""),"入居のしおりの内容についてご確認しました")</f>
        <v>入居のしおりの内容についてご確認しました</v>
      </c>
      <c r="AH319" s="6" t="str">
        <f aca="false">IFERROR(__xludf.dummyfunction("""COMPUTED_VALUE"""),"確認しました")</f>
        <v>確認しました</v>
      </c>
      <c r="AI319" s="6"/>
      <c r="AJ319" s="6" t="str">
        <v/>
      </c>
      <c r="AK319" s="6" t="str">
        <v/>
      </c>
      <c r="AL319" s="6" t="str">
        <v/>
      </c>
      <c r="AM319" s="6" t="str">
        <v/>
      </c>
      <c r="AN319" s="6" t="n">
        <f aca="false">FALSE()</f>
        <v>0</v>
      </c>
    </row>
    <row r="320" customFormat="false" ht="52.5" hidden="false" customHeight="true" outlineLevel="0" collapsed="false">
      <c r="A320" s="6" t="str">
        <f aca="false">IFERROR(__xludf.dummyfunction("""COMPUTED_VALUE"""),"2026/03/11 2:11:29")</f>
        <v>2026/03/11 2:11:29</v>
      </c>
      <c r="B320" s="6"/>
      <c r="C320" s="6" t="str">
        <f aca="false">IFERROR(__xludf.dummyfunction("""COMPUTED_VALUE"""),"71075")</f>
        <v>71075</v>
      </c>
      <c r="D320" s="6"/>
      <c r="E320" s="6"/>
      <c r="F320" s="6"/>
      <c r="G320" s="6" t="str">
        <f aca="false">IFERROR(__xludf.dummyfunction("""COMPUTED_VALUE"""),"2026/03/22")</f>
        <v>2026/03/22</v>
      </c>
      <c r="H320" s="6" t="str">
        <f aca="false">IFERROR(__xludf.dummyfunction("""COMPUTED_VALUE"""),"必要")</f>
        <v>必要</v>
      </c>
      <c r="I320" s="6" t="str">
        <f aca="false">IFERROR(__xludf.dummyfunction("""COMPUTED_VALUE"""),"男性")</f>
        <v>男性</v>
      </c>
      <c r="J320" s="6" t="str">
        <f aca="false">IFERROR(__xludf.dummyfunction("""COMPUTED_VALUE"""),"日本")</f>
        <v>日本</v>
      </c>
      <c r="K320" s="6" t="str">
        <f aca="false">IFERROR(__xludf.dummyfunction("""COMPUTED_VALUE"""),"4")</f>
        <v>4</v>
      </c>
      <c r="L320" s="6" t="str">
        <f aca="false">IFERROR(__xludf.dummyfunction("""COMPUTED_VALUE"""),"無し")</f>
        <v>無し</v>
      </c>
      <c r="M320" s="6" t="str">
        <f aca="false">IFERROR(__xludf.dummyfunction("""COMPUTED_VALUE"""),"折りたたみ椅子/60cm×60cm×70の机/90cm×60cm×120cmの机/折りたたみ式シングルベット")</f>
        <v>折りたたみ椅子/60cm×60cm×70の机/90cm×60cm×120cmの机/折りたたみ式シングルベット</v>
      </c>
      <c r="N320" s="6"/>
      <c r="O320" s="6" t="str">
        <f aca="false">IFERROR(__xludf.dummyfunction("""COMPUTED_VALUE"""),"必要")</f>
        <v>必要</v>
      </c>
      <c r="P320" s="6" t="str">
        <f aca="false">IFERROR(__xludf.dummyfunction("""COMPUTED_VALUE"""),"MOVE")</f>
        <v>MOVE</v>
      </c>
      <c r="Q320" s="6" t="str">
        <f aca="false">IFERROR(__xludf.dummyfunction("""COMPUTED_VALUE"""),"ぬ11-06")</f>
        <v>ぬ11-06</v>
      </c>
      <c r="R320" s="6" t="str">
        <f aca="false">IFERROR(__xludf.dummyfunction("""COMPUTED_VALUE"""),"ピンク")</f>
        <v>ピンク</v>
      </c>
      <c r="S320" s="6" t="str">
        <f aca="false">IFERROR(__xludf.dummyfunction("""COMPUTED_VALUE"""),"家具家電付き社宅")</f>
        <v>家具家電付き社宅</v>
      </c>
      <c r="T320" s="6" t="str">
        <f aca="false">IFERROR(__xludf.dummyfunction("""COMPUTED_VALUE"""),"利用しない")</f>
        <v>利用しない</v>
      </c>
      <c r="U320" s="6"/>
      <c r="V320" s="6" t="str">
        <f aca="false">IFERROR(__xludf.dummyfunction("""COMPUTED_VALUE"""),"電車, バス")</f>
        <v>電車, バス</v>
      </c>
      <c r="W320" s="6"/>
      <c r="X320" s="6" t="str">
        <f aca="false">IFERROR(__xludf.dummyfunction("""COMPUTED_VALUE"""),"実家")</f>
        <v>実家</v>
      </c>
      <c r="Y320" s="6"/>
      <c r="Z320" s="6" t="str">
        <f aca="false">IFERROR(__xludf.dummyfunction("""COMPUTED_VALUE"""),"希望する")</f>
        <v>希望する</v>
      </c>
      <c r="AA320" s="6" t="str">
        <f aca="false">IFERROR(__xludf.dummyfunction("""COMPUTED_VALUE"""),"単身")</f>
        <v>単身</v>
      </c>
      <c r="AB320" s="6"/>
      <c r="AC320" s="6"/>
      <c r="AD320" s="6"/>
      <c r="AE320" s="6" t="str">
        <f aca="false">IFERROR(__xludf.dummyfunction("""COMPUTED_VALUE"""),"確認しました。")</f>
        <v>確認しました。</v>
      </c>
      <c r="AF320" s="6" t="str">
        <f aca="false">IFERROR(__xludf.dummyfunction("""COMPUTED_VALUE"""),"社宅基準の内容について確認しました")</f>
        <v>社宅基準の内容について確認しました</v>
      </c>
      <c r="AG320" s="6" t="str">
        <f aca="false">IFERROR(__xludf.dummyfunction("""COMPUTED_VALUE"""),"入居のしおりの内容についてご確認しました")</f>
        <v>入居のしおりの内容についてご確認しました</v>
      </c>
      <c r="AH320" s="6" t="str">
        <f aca="false">IFERROR(__xludf.dummyfunction("""COMPUTED_VALUE"""),"確認しました")</f>
        <v>確認しました</v>
      </c>
      <c r="AI320" s="6"/>
      <c r="AJ320" s="6" t="str">
        <v/>
      </c>
      <c r="AK320" s="6" t="str">
        <v/>
      </c>
      <c r="AL320" s="6" t="str">
        <v/>
      </c>
      <c r="AM320" s="6" t="str">
        <v/>
      </c>
      <c r="AN320" s="6" t="n">
        <f aca="false">FALSE()</f>
        <v>0</v>
      </c>
    </row>
    <row r="321" customFormat="false" ht="52.5" hidden="false" customHeight="true" outlineLevel="0" collapsed="false">
      <c r="A321" s="6" t="str">
        <f aca="false">IFERROR(__xludf.dummyfunction("""COMPUTED_VALUE"""),"2026/03/11 10:38:25")</f>
        <v>2026/03/11 10:38:25</v>
      </c>
      <c r="B321" s="6"/>
      <c r="C321" s="6" t="str">
        <f aca="false">IFERROR(__xludf.dummyfunction("""COMPUTED_VALUE"""),"71161")</f>
        <v>71161</v>
      </c>
      <c r="D321" s="6"/>
      <c r="E321" s="6"/>
      <c r="F321" s="6"/>
      <c r="G321" s="6" t="str">
        <f aca="false">IFERROR(__xludf.dummyfunction("""COMPUTED_VALUE"""),"2026/03/19")</f>
        <v>2026/03/19</v>
      </c>
      <c r="H321" s="6" t="str">
        <f aca="false">IFERROR(__xludf.dummyfunction("""COMPUTED_VALUE"""),"必要")</f>
        <v>必要</v>
      </c>
      <c r="I321" s="6" t="str">
        <f aca="false">IFERROR(__xludf.dummyfunction("""COMPUTED_VALUE"""),"男性")</f>
        <v>男性</v>
      </c>
      <c r="J321" s="6" t="str">
        <f aca="false">IFERROR(__xludf.dummyfunction("""COMPUTED_VALUE"""),"日本")</f>
        <v>日本</v>
      </c>
      <c r="K321" s="6" t="str">
        <f aca="false">IFERROR(__xludf.dummyfunction("""COMPUTED_VALUE"""),"6")</f>
        <v>6</v>
      </c>
      <c r="L321" s="6" t="str">
        <f aca="false">IFERROR(__xludf.dummyfunction("""COMPUTED_VALUE"""),"なし")</f>
        <v>なし</v>
      </c>
      <c r="M321" s="6" t="str">
        <f aca="false">IFERROR(__xludf.dummyfunction("""COMPUTED_VALUE"""),"L字デスク(125x125x75) チェア(70x50x125)")</f>
        <v>L字デスク(125x125x75) チェア(70x50x125)</v>
      </c>
      <c r="N321" s="6"/>
      <c r="O321" s="6" t="str">
        <f aca="false">IFERROR(__xludf.dummyfunction("""COMPUTED_VALUE"""),"不要")</f>
        <v>不要</v>
      </c>
      <c r="P321" s="6"/>
      <c r="Q321" s="6"/>
      <c r="R321" s="6"/>
      <c r="S321" s="6" t="str">
        <f aca="false">IFERROR(__xludf.dummyfunction("""COMPUTED_VALUE"""),"家具家電付き社宅")</f>
        <v>家具家電付き社宅</v>
      </c>
      <c r="T321" s="6" t="str">
        <f aca="false">IFERROR(__xludf.dummyfunction("""COMPUTED_VALUE"""),"利用しない")</f>
        <v>利用しない</v>
      </c>
      <c r="U321" s="6"/>
      <c r="V321" s="6" t="str">
        <f aca="false">IFERROR(__xludf.dummyfunction("""COMPUTED_VALUE"""),"バス")</f>
        <v>バス</v>
      </c>
      <c r="W321" s="6"/>
      <c r="X321" s="6" t="str">
        <f aca="false">IFERROR(__xludf.dummyfunction("""COMPUTED_VALUE"""),"実家")</f>
        <v>実家</v>
      </c>
      <c r="Y321" s="6"/>
      <c r="Z321" s="6" t="str">
        <f aca="false">IFERROR(__xludf.dummyfunction("""COMPUTED_VALUE"""),"希望する")</f>
        <v>希望する</v>
      </c>
      <c r="AA321" s="6" t="str">
        <f aca="false">IFERROR(__xludf.dummyfunction("""COMPUTED_VALUE"""),"単身")</f>
        <v>単身</v>
      </c>
      <c r="AB321" s="6"/>
      <c r="AC321" s="6"/>
      <c r="AD321" s="6"/>
      <c r="AE321" s="6" t="str">
        <f aca="false">IFERROR(__xludf.dummyfunction("""COMPUTED_VALUE"""),"確認しました。")</f>
        <v>確認しました。</v>
      </c>
      <c r="AF321" s="6" t="str">
        <f aca="false">IFERROR(__xludf.dummyfunction("""COMPUTED_VALUE"""),"社宅基準の内容について確認しました")</f>
        <v>社宅基準の内容について確認しました</v>
      </c>
      <c r="AG321" s="6" t="str">
        <f aca="false">IFERROR(__xludf.dummyfunction("""COMPUTED_VALUE"""),"入居のしおりの内容についてご確認しました")</f>
        <v>入居のしおりの内容についてご確認しました</v>
      </c>
      <c r="AH321" s="6" t="str">
        <f aca="false">IFERROR(__xludf.dummyfunction("""COMPUTED_VALUE"""),"確認しました")</f>
        <v>確認しました</v>
      </c>
      <c r="AI321" s="6"/>
      <c r="AJ321" s="6" t="str">
        <v/>
      </c>
      <c r="AK321" s="6" t="str">
        <v/>
      </c>
      <c r="AL321" s="6" t="str">
        <v/>
      </c>
      <c r="AM321" s="6" t="str">
        <v/>
      </c>
      <c r="AN321" s="6" t="n">
        <f aca="false">FALSE()</f>
        <v>0</v>
      </c>
    </row>
    <row r="322" customFormat="false" ht="52.5" hidden="false" customHeight="true" outlineLevel="0" collapsed="false">
      <c r="A322" s="6" t="str">
        <f aca="false">IFERROR(__xludf.dummyfunction("""COMPUTED_VALUE"""),"2026/03/11 10:42:56")</f>
        <v>2026/03/11 10:42:56</v>
      </c>
      <c r="B322" s="6"/>
      <c r="C322" s="6" t="str">
        <f aca="false">IFERROR(__xludf.dummyfunction("""COMPUTED_VALUE"""),"71030")</f>
        <v>71030</v>
      </c>
      <c r="D322" s="6"/>
      <c r="E322" s="6"/>
      <c r="F322" s="6"/>
      <c r="G322" s="6" t="str">
        <f aca="false">IFERROR(__xludf.dummyfunction("""COMPUTED_VALUE"""),"2026/03/25")</f>
        <v>2026/03/25</v>
      </c>
      <c r="H322" s="6" t="str">
        <f aca="false">IFERROR(__xludf.dummyfunction("""COMPUTED_VALUE"""),"必要")</f>
        <v>必要</v>
      </c>
      <c r="I322" s="6" t="str">
        <f aca="false">IFERROR(__xludf.dummyfunction("""COMPUTED_VALUE"""),"男性")</f>
        <v>男性</v>
      </c>
      <c r="J322" s="6" t="str">
        <f aca="false">IFERROR(__xludf.dummyfunction("""COMPUTED_VALUE"""),"日本")</f>
        <v>日本</v>
      </c>
      <c r="K322" s="6" t="str">
        <f aca="false">IFERROR(__xludf.dummyfunction("""COMPUTED_VALUE"""),"6")</f>
        <v>6</v>
      </c>
      <c r="L322" s="6" t="str">
        <f aca="false">IFERROR(__xludf.dummyfunction("""COMPUTED_VALUE"""),"テレビ、パソコン")</f>
        <v>テレビ、パソコン</v>
      </c>
      <c r="M322" s="6" t="str">
        <f aca="false">IFERROR(__xludf.dummyfunction("""COMPUTED_VALUE"""),"ゲーミングデスク（奥行56cm×横幅120cm×高さ70cm）ゲーミングチェア、テレビ棚（奥行40cm×横幅100cm×高さ41cm）シングルベッド")</f>
        <v>ゲーミングデスク（奥行56cm×横幅120cm×高さ70cm）ゲーミングチェア、テレビ棚（奥行40cm×横幅100cm×高さ41cm）シングルベッド</v>
      </c>
      <c r="N322" s="6"/>
      <c r="O322" s="6" t="str">
        <f aca="false">IFERROR(__xludf.dummyfunction("""COMPUTED_VALUE"""),"必要")</f>
        <v>必要</v>
      </c>
      <c r="P322" s="6" t="str">
        <f aca="false">IFERROR(__xludf.dummyfunction("""COMPUTED_VALUE"""),"ハリアー")</f>
        <v>ハリアー</v>
      </c>
      <c r="Q322" s="6" t="str">
        <f aca="false">IFERROR(__xludf.dummyfunction("""COMPUTED_VALUE"""),"と50-29")</f>
        <v>と50-29</v>
      </c>
      <c r="R322" s="6" t="str">
        <f aca="false">IFERROR(__xludf.dummyfunction("""COMPUTED_VALUE"""),"黒")</f>
        <v>黒</v>
      </c>
      <c r="S322" s="6" t="str">
        <f aca="false">IFERROR(__xludf.dummyfunction("""COMPUTED_VALUE"""),"家具家電なし社宅")</f>
        <v>家具家電なし社宅</v>
      </c>
      <c r="T322" s="6" t="str">
        <f aca="false">IFERROR(__xludf.dummyfunction("""COMPUTED_VALUE"""),"利用する")</f>
        <v>利用する</v>
      </c>
      <c r="U322" s="6" t="str">
        <f aca="false">IFERROR(__xludf.dummyfunction("""COMPUTED_VALUE"""),"炊飯器、洗濯機、掃除機、冷凍冷蔵庫")</f>
        <v>炊飯器、洗濯機、掃除機、冷凍冷蔵庫</v>
      </c>
      <c r="V322" s="6" t="str">
        <f aca="false">IFERROR(__xludf.dummyfunction("""COMPUTED_VALUE"""),"自転車")</f>
        <v>自転車</v>
      </c>
      <c r="W322" s="6"/>
      <c r="X322" s="6" t="str">
        <f aca="false">IFERROR(__xludf.dummyfunction("""COMPUTED_VALUE"""),"実家")</f>
        <v>実家</v>
      </c>
      <c r="Y322" s="6"/>
      <c r="Z322" s="6" t="str">
        <f aca="false">IFERROR(__xludf.dummyfunction("""COMPUTED_VALUE"""),"希望する")</f>
        <v>希望する</v>
      </c>
      <c r="AA322" s="6" t="str">
        <f aca="false">IFERROR(__xludf.dummyfunction("""COMPUTED_VALUE"""),"単身")</f>
        <v>単身</v>
      </c>
      <c r="AB322" s="6"/>
      <c r="AC322" s="6"/>
      <c r="AD322" s="6" t="str">
        <f aca="false">IFERROR(__xludf.dummyfunction("""COMPUTED_VALUE"""),"〒023-0132 岩手県奥州市水沢羽田町荒川１０ アビタ荒川　を希望したいです。")</f>
        <v>〒023-0132 岩手県奥州市水沢羽田町荒川１０ アビタ荒川　を希望したいです。</v>
      </c>
      <c r="AE322" s="6" t="str">
        <f aca="false">IFERROR(__xludf.dummyfunction("""COMPUTED_VALUE"""),"確認しました。")</f>
        <v>確認しました。</v>
      </c>
      <c r="AF322" s="6" t="str">
        <f aca="false">IFERROR(__xludf.dummyfunction("""COMPUTED_VALUE"""),"社宅基準の内容について確認しました")</f>
        <v>社宅基準の内容について確認しました</v>
      </c>
      <c r="AG322" s="6" t="str">
        <f aca="false">IFERROR(__xludf.dummyfunction("""COMPUTED_VALUE"""),"入居のしおりの内容についてご確認しました")</f>
        <v>入居のしおりの内容についてご確認しました</v>
      </c>
      <c r="AH322" s="6" t="str">
        <f aca="false">IFERROR(__xludf.dummyfunction("""COMPUTED_VALUE"""),"確認しました")</f>
        <v>確認しました</v>
      </c>
      <c r="AI322" s="6"/>
      <c r="AJ322" s="6" t="str">
        <v/>
      </c>
      <c r="AK322" s="6" t="str">
        <v/>
      </c>
      <c r="AL322" s="6" t="str">
        <v/>
      </c>
      <c r="AM322" s="6" t="str">
        <v/>
      </c>
      <c r="AN322" s="6" t="n">
        <f aca="false">FALSE()</f>
        <v>0</v>
      </c>
    </row>
    <row r="323" customFormat="false" ht="52.5" hidden="false" customHeight="true" outlineLevel="0" collapsed="false">
      <c r="A323" s="6" t="str">
        <f aca="false">IFERROR(__xludf.dummyfunction("""COMPUTED_VALUE"""),"2026/03/11 11:39:13")</f>
        <v>2026/03/11 11:39:13</v>
      </c>
      <c r="B323" s="6"/>
      <c r="C323" s="6" t="str">
        <f aca="false">IFERROR(__xludf.dummyfunction("""COMPUTED_VALUE"""),"70928")</f>
        <v>70928</v>
      </c>
      <c r="D323" s="6"/>
      <c r="E323" s="6"/>
      <c r="F323" s="6"/>
      <c r="G323" s="6" t="str">
        <f aca="false">IFERROR(__xludf.dummyfunction("""COMPUTED_VALUE"""),"2026/03/21")</f>
        <v>2026/03/21</v>
      </c>
      <c r="H323" s="6" t="str">
        <f aca="false">IFERROR(__xludf.dummyfunction("""COMPUTED_VALUE"""),"必要")</f>
        <v>必要</v>
      </c>
      <c r="I323" s="6" t="str">
        <f aca="false">IFERROR(__xludf.dummyfunction("""COMPUTED_VALUE"""),"男性")</f>
        <v>男性</v>
      </c>
      <c r="J323" s="6" t="str">
        <f aca="false">IFERROR(__xludf.dummyfunction("""COMPUTED_VALUE"""),"日本")</f>
        <v>日本</v>
      </c>
      <c r="K323" s="6" t="str">
        <f aca="false">IFERROR(__xludf.dummyfunction("""COMPUTED_VALUE"""),"15")</f>
        <v>15</v>
      </c>
      <c r="L323" s="6" t="str">
        <f aca="false">IFERROR(__xludf.dummyfunction("""COMPUTED_VALUE"""),"なし")</f>
        <v>なし</v>
      </c>
      <c r="M323" s="6" t="str">
        <f aca="false">IFERROR(__xludf.dummyfunction("""COMPUTED_VALUE"""),"机 120cm 奥行 60cm 高さ 70cm")</f>
        <v>机 120cm 奥行 60cm 高さ 70cm</v>
      </c>
      <c r="N323" s="6" t="str">
        <f aca="false">IFERROR(__xludf.dummyfunction("""COMPUTED_VALUE"""),"自転車1台")</f>
        <v>自転車1台</v>
      </c>
      <c r="O323" s="6" t="str">
        <f aca="false">IFERROR(__xludf.dummyfunction("""COMPUTED_VALUE"""),"不要")</f>
        <v>不要</v>
      </c>
      <c r="P323" s="6"/>
      <c r="Q323" s="6"/>
      <c r="R323" s="6"/>
      <c r="S323" s="6" t="str">
        <f aca="false">IFERROR(__xludf.dummyfunction("""COMPUTED_VALUE"""),"家具家電なし社宅")</f>
        <v>家具家電なし社宅</v>
      </c>
      <c r="T323" s="6" t="str">
        <f aca="false">IFERROR(__xludf.dummyfunction("""COMPUTED_VALUE"""),"利用しない")</f>
        <v>利用しない</v>
      </c>
      <c r="U323" s="6"/>
      <c r="V323" s="6" t="str">
        <f aca="false">IFERROR(__xludf.dummyfunction("""COMPUTED_VALUE"""),"徒歩, 電車")</f>
        <v>徒歩, 電車</v>
      </c>
      <c r="W323" s="6"/>
      <c r="X323" s="6" t="str">
        <f aca="false">IFERROR(__xludf.dummyfunction("""COMPUTED_VALUE"""),"実家")</f>
        <v>実家</v>
      </c>
      <c r="Y323" s="6"/>
      <c r="Z323" s="6" t="str">
        <f aca="false">IFERROR(__xludf.dummyfunction("""COMPUTED_VALUE"""),"希望する")</f>
        <v>希望する</v>
      </c>
      <c r="AA323" s="6" t="str">
        <f aca="false">IFERROR(__xludf.dummyfunction("""COMPUTED_VALUE"""),"単身")</f>
        <v>単身</v>
      </c>
      <c r="AB323" s="6"/>
      <c r="AC323" s="6"/>
      <c r="AD323" s="6" t="str">
        <f aca="false">IFERROR(__xludf.dummyfunction("""COMPUTED_VALUE"""),"駅からまたは会社からのアクセスが良いところがいいです。
バス・トイレ別を希望します。
また、浴室乾燥機、収納などあると嬉しいです。")</f>
        <v>駅からまたは会社からのアクセスが良いところがいいです。
バス・トイレ別を希望します。
また、浴室乾燥機、収納などあると嬉しいです。</v>
      </c>
      <c r="AE323" s="6" t="str">
        <f aca="false">IFERROR(__xludf.dummyfunction("""COMPUTED_VALUE"""),"確認しました。")</f>
        <v>確認しました。</v>
      </c>
      <c r="AF323" s="6" t="str">
        <f aca="false">IFERROR(__xludf.dummyfunction("""COMPUTED_VALUE"""),"社宅基準の内容について確認しました")</f>
        <v>社宅基準の内容について確認しました</v>
      </c>
      <c r="AG323" s="6" t="str">
        <f aca="false">IFERROR(__xludf.dummyfunction("""COMPUTED_VALUE"""),"入居のしおりの内容についてご確認しました")</f>
        <v>入居のしおりの内容についてご確認しました</v>
      </c>
      <c r="AH323" s="6" t="str">
        <f aca="false">IFERROR(__xludf.dummyfunction("""COMPUTED_VALUE"""),"確認しました")</f>
        <v>確認しました</v>
      </c>
      <c r="AI323" s="6"/>
      <c r="AJ323" s="6" t="str">
        <v/>
      </c>
      <c r="AK323" s="6" t="str">
        <v/>
      </c>
      <c r="AL323" s="6" t="str">
        <v/>
      </c>
      <c r="AM323" s="6" t="str">
        <v/>
      </c>
      <c r="AN323" s="6" t="n">
        <f aca="false">FALSE()</f>
        <v>0</v>
      </c>
    </row>
    <row r="324" customFormat="false" ht="52.5" hidden="false" customHeight="true" outlineLevel="0" collapsed="false">
      <c r="A324" s="6" t="str">
        <f aca="false">IFERROR(__xludf.dummyfunction("""COMPUTED_VALUE"""),"2026/03/11 11:55:23")</f>
        <v>2026/03/11 11:55:23</v>
      </c>
      <c r="B324" s="6"/>
      <c r="C324" s="6" t="str">
        <f aca="false">IFERROR(__xludf.dummyfunction("""COMPUTED_VALUE"""),"71136")</f>
        <v>71136</v>
      </c>
      <c r="D324" s="6"/>
      <c r="E324" s="6"/>
      <c r="F324" s="6"/>
      <c r="G324" s="6" t="str">
        <f aca="false">IFERROR(__xludf.dummyfunction("""COMPUTED_VALUE"""),"2026/03/27")</f>
        <v>2026/03/27</v>
      </c>
      <c r="H324" s="6" t="str">
        <f aca="false">IFERROR(__xludf.dummyfunction("""COMPUTED_VALUE"""),"必要")</f>
        <v>必要</v>
      </c>
      <c r="I324" s="6" t="str">
        <f aca="false">IFERROR(__xludf.dummyfunction("""COMPUTED_VALUE"""),"男性")</f>
        <v>男性</v>
      </c>
      <c r="J324" s="6" t="str">
        <f aca="false">IFERROR(__xludf.dummyfunction("""COMPUTED_VALUE"""),"日本")</f>
        <v>日本</v>
      </c>
      <c r="K324" s="6" t="str">
        <f aca="false">IFERROR(__xludf.dummyfunction("""COMPUTED_VALUE"""),"10")</f>
        <v>10</v>
      </c>
      <c r="L324" s="6" t="str">
        <f aca="false">IFERROR(__xludf.dummyfunction("""COMPUTED_VALUE"""),"テレビ、冷蔵庫(単身用)、洗濯機、電子レンジ、炊飯器、ドライヤー、掃除機、パソコン、印刷機")</f>
        <v>テレビ、冷蔵庫(単身用)、洗濯機、電子レンジ、炊飯器、ドライヤー、掃除機、パソコン、印刷機</v>
      </c>
      <c r="M324" s="6" t="str">
        <f aca="false">IFERROR(__xludf.dummyfunction("""COMPUTED_VALUE"""),"デスク、椅子、ローテーブル、カーテン、テレビ台、レンジ台、収納棚、収容ケース、寝具、マットレス、物干しスタンド")</f>
        <v>デスク、椅子、ローテーブル、カーテン、テレビ台、レンジ台、収納棚、収容ケース、寝具、マットレス、物干しスタンド</v>
      </c>
      <c r="N324" s="6" t="str">
        <f aca="false">IFERROR(__xludf.dummyfunction("""COMPUTED_VALUE"""),"自転車")</f>
        <v>自転車</v>
      </c>
      <c r="O324" s="6" t="str">
        <f aca="false">IFERROR(__xludf.dummyfunction("""COMPUTED_VALUE"""),"不要")</f>
        <v>不要</v>
      </c>
      <c r="P324" s="6"/>
      <c r="Q324" s="6"/>
      <c r="R324" s="6"/>
      <c r="S324" s="6" t="str">
        <f aca="false">IFERROR(__xludf.dummyfunction("""COMPUTED_VALUE"""),"家具家電なし社宅")</f>
        <v>家具家電なし社宅</v>
      </c>
      <c r="T324" s="6" t="str">
        <f aca="false">IFERROR(__xludf.dummyfunction("""COMPUTED_VALUE"""),"利用しない")</f>
        <v>利用しない</v>
      </c>
      <c r="U324" s="6"/>
      <c r="V324" s="6" t="str">
        <f aca="false">IFERROR(__xludf.dummyfunction("""COMPUTED_VALUE"""),"徒歩, 自転車")</f>
        <v>徒歩, 自転車</v>
      </c>
      <c r="W324" s="6"/>
      <c r="X324" s="6" t="str">
        <f aca="false">IFERROR(__xludf.dummyfunction("""COMPUTED_VALUE"""),"ご自身で契約中の物件")</f>
        <v>ご自身で契約中の物件</v>
      </c>
      <c r="Y324" s="6"/>
      <c r="Z324" s="6" t="str">
        <f aca="false">IFERROR(__xludf.dummyfunction("""COMPUTED_VALUE"""),"希望する")</f>
        <v>希望する</v>
      </c>
      <c r="AA324" s="6" t="str">
        <f aca="false">IFERROR(__xludf.dummyfunction("""COMPUTED_VALUE"""),"単身")</f>
        <v>単身</v>
      </c>
      <c r="AB324" s="6"/>
      <c r="AC324" s="6"/>
      <c r="AD324" s="6"/>
      <c r="AE324" s="6" t="str">
        <f aca="false">IFERROR(__xludf.dummyfunction("""COMPUTED_VALUE"""),"確認しました。")</f>
        <v>確認しました。</v>
      </c>
      <c r="AF324" s="6" t="str">
        <f aca="false">IFERROR(__xludf.dummyfunction("""COMPUTED_VALUE"""),"社宅基準の内容について確認しました")</f>
        <v>社宅基準の内容について確認しました</v>
      </c>
      <c r="AG324" s="6" t="str">
        <f aca="false">IFERROR(__xludf.dummyfunction("""COMPUTED_VALUE"""),"入居のしおりの内容についてご確認しました")</f>
        <v>入居のしおりの内容についてご確認しました</v>
      </c>
      <c r="AH324" s="6" t="str">
        <f aca="false">IFERROR(__xludf.dummyfunction("""COMPUTED_VALUE"""),"確認しました")</f>
        <v>確認しました</v>
      </c>
      <c r="AI324" s="6"/>
      <c r="AJ324" s="6" t="str">
        <v/>
      </c>
      <c r="AK324" s="6" t="str">
        <v/>
      </c>
      <c r="AL324" s="6" t="str">
        <v/>
      </c>
      <c r="AM324" s="6" t="str">
        <v/>
      </c>
      <c r="AN324" s="6" t="n">
        <f aca="false">FALSE()</f>
        <v>0</v>
      </c>
    </row>
    <row r="325" customFormat="false" ht="52.5" hidden="false" customHeight="true" outlineLevel="0" collapsed="false">
      <c r="A325" s="6" t="str">
        <f aca="false">IFERROR(__xludf.dummyfunction("""COMPUTED_VALUE"""),"2026/03/11 12:21:37")</f>
        <v>2026/03/11 12:21:37</v>
      </c>
      <c r="B325" s="6"/>
      <c r="C325" s="6" t="str">
        <f aca="false">IFERROR(__xludf.dummyfunction("""COMPUTED_VALUE"""),"71168")</f>
        <v>71168</v>
      </c>
      <c r="D325" s="6"/>
      <c r="E325" s="6"/>
      <c r="F325" s="6"/>
      <c r="G325" s="6" t="str">
        <f aca="false">IFERROR(__xludf.dummyfunction("""COMPUTED_VALUE"""),"2026/03/25")</f>
        <v>2026/03/25</v>
      </c>
      <c r="H325" s="6" t="str">
        <f aca="false">IFERROR(__xludf.dummyfunction("""COMPUTED_VALUE"""),"必要")</f>
        <v>必要</v>
      </c>
      <c r="I325" s="6" t="str">
        <f aca="false">IFERROR(__xludf.dummyfunction("""COMPUTED_VALUE"""),"男性")</f>
        <v>男性</v>
      </c>
      <c r="J325" s="6" t="str">
        <f aca="false">IFERROR(__xludf.dummyfunction("""COMPUTED_VALUE"""),"ベトナム")</f>
        <v>ベトナム</v>
      </c>
      <c r="K325" s="6" t="str">
        <f aca="false">IFERROR(__xludf.dummyfunction("""COMPUTED_VALUE"""),"0")</f>
        <v>0</v>
      </c>
      <c r="L325" s="6" t="str">
        <f aca="false">IFERROR(__xludf.dummyfunction("""COMPUTED_VALUE"""),"なし")</f>
        <v>なし</v>
      </c>
      <c r="M325" s="6" t="str">
        <f aca="false">IFERROR(__xludf.dummyfunction("""COMPUTED_VALUE"""),"なし")</f>
        <v>なし</v>
      </c>
      <c r="N325" s="6" t="str">
        <f aca="false">IFERROR(__xludf.dummyfunction("""COMPUTED_VALUE"""),"なし")</f>
        <v>なし</v>
      </c>
      <c r="O325" s="6" t="str">
        <f aca="false">IFERROR(__xludf.dummyfunction("""COMPUTED_VALUE"""),"不要")</f>
        <v>不要</v>
      </c>
      <c r="P325" s="6"/>
      <c r="Q325" s="6"/>
      <c r="R325" s="6"/>
      <c r="S325" s="6" t="str">
        <f aca="false">IFERROR(__xludf.dummyfunction("""COMPUTED_VALUE"""),"家具家電付き社宅")</f>
        <v>家具家電付き社宅</v>
      </c>
      <c r="T325" s="6" t="str">
        <f aca="false">IFERROR(__xludf.dummyfunction("""COMPUTED_VALUE"""),"利用しない")</f>
        <v>利用しない</v>
      </c>
      <c r="U325" s="6"/>
      <c r="V325" s="6" t="str">
        <f aca="false">IFERROR(__xludf.dummyfunction("""COMPUTED_VALUE"""),"徒歩")</f>
        <v>徒歩</v>
      </c>
      <c r="W325" s="6"/>
      <c r="X325" s="6" t="str">
        <f aca="false">IFERROR(__xludf.dummyfunction("""COMPUTED_VALUE"""),"株式会社ビーネックステクノロジーズの社宅")</f>
        <v>株式会社ビーネックステクノロジーズの社宅</v>
      </c>
      <c r="Y325" s="6" t="str">
        <f aca="false">IFERROR(__xludf.dummyfunction("""COMPUTED_VALUE"""),"利用なし")</f>
        <v>利用なし</v>
      </c>
      <c r="Z325" s="6" t="str">
        <f aca="false">IFERROR(__xludf.dummyfunction("""COMPUTED_VALUE"""),"希望する")</f>
        <v>希望する</v>
      </c>
      <c r="AA325" s="6" t="str">
        <f aca="false">IFERROR(__xludf.dummyfunction("""COMPUTED_VALUE"""),"単身")</f>
        <v>単身</v>
      </c>
      <c r="AB325" s="6"/>
      <c r="AC325" s="6"/>
      <c r="AD325" s="6" t="str">
        <f aca="false">IFERROR(__xludf.dummyfunction("""COMPUTED_VALUE"""),"なし")</f>
        <v>なし</v>
      </c>
      <c r="AE325" s="6" t="str">
        <f aca="false">IFERROR(__xludf.dummyfunction("""COMPUTED_VALUE"""),"確認しました。")</f>
        <v>確認しました。</v>
      </c>
      <c r="AF325" s="6" t="str">
        <f aca="false">IFERROR(__xludf.dummyfunction("""COMPUTED_VALUE"""),"社宅基準の内容について確認しました")</f>
        <v>社宅基準の内容について確認しました</v>
      </c>
      <c r="AG325" s="6" t="str">
        <f aca="false">IFERROR(__xludf.dummyfunction("""COMPUTED_VALUE"""),"入居のしおりの内容についてご確認しました")</f>
        <v>入居のしおりの内容についてご確認しました</v>
      </c>
      <c r="AH325" s="6" t="str">
        <f aca="false">IFERROR(__xludf.dummyfunction("""COMPUTED_VALUE"""),"確認しました")</f>
        <v>確認しました</v>
      </c>
      <c r="AI325" s="6"/>
      <c r="AJ325" s="6" t="str">
        <v/>
      </c>
      <c r="AK325" s="6" t="str">
        <v/>
      </c>
      <c r="AL325" s="6" t="str">
        <v/>
      </c>
      <c r="AM325" s="6" t="str">
        <v/>
      </c>
      <c r="AN325" s="6" t="n">
        <f aca="false">TRUE()</f>
        <v>1</v>
      </c>
    </row>
    <row r="326" customFormat="false" ht="52.5" hidden="false" customHeight="true" outlineLevel="0" collapsed="false">
      <c r="A326" s="6" t="str">
        <f aca="false">IFERROR(__xludf.dummyfunction("""COMPUTED_VALUE"""),"2026/03/11 12:47:36")</f>
        <v>2026/03/11 12:47:36</v>
      </c>
      <c r="B326" s="6"/>
      <c r="C326" s="6" t="str">
        <f aca="false">IFERROR(__xludf.dummyfunction("""COMPUTED_VALUE"""),"71182")</f>
        <v>71182</v>
      </c>
      <c r="D326" s="6"/>
      <c r="E326" s="6"/>
      <c r="F326" s="6"/>
      <c r="G326" s="6" t="str">
        <f aca="false">IFERROR(__xludf.dummyfunction("""COMPUTED_VALUE"""),"2026/03/19")</f>
        <v>2026/03/19</v>
      </c>
      <c r="H326" s="6" t="str">
        <f aca="false">IFERROR(__xludf.dummyfunction("""COMPUTED_VALUE"""),"必要")</f>
        <v>必要</v>
      </c>
      <c r="I326" s="6" t="str">
        <f aca="false">IFERROR(__xludf.dummyfunction("""COMPUTED_VALUE"""),"男性")</f>
        <v>男性</v>
      </c>
      <c r="J326" s="6" t="str">
        <f aca="false">IFERROR(__xludf.dummyfunction("""COMPUTED_VALUE"""),"日本")</f>
        <v>日本</v>
      </c>
      <c r="K326" s="6" t="str">
        <f aca="false">IFERROR(__xludf.dummyfunction("""COMPUTED_VALUE"""),"20")</f>
        <v>20</v>
      </c>
      <c r="L326" s="6" t="str">
        <f aca="false">IFERROR(__xludf.dummyfunction("""COMPUTED_VALUE"""),"なし")</f>
        <v>なし</v>
      </c>
      <c r="M326" s="6" t="str">
        <f aca="false">IFERROR(__xludf.dummyfunction("""COMPUTED_VALUE"""),"横幅140奥行.60.高さ70がひとつ 小さめの机がひとつ
ひとりがけの大きめの椅子がひとつ
サイズ 高さ140 横幅、奥行 70")</f>
        <v>横幅140奥行.60.高さ70がひとつ 小さめの机がひとつ
ひとりがけの大きめの椅子がひとつ
サイズ 高さ140 横幅、奥行 70</v>
      </c>
      <c r="N326" s="6" t="str">
        <f aca="false">IFERROR(__xludf.dummyfunction("""COMPUTED_VALUE"""),"デスクトップパソコン、モニターなどの精密機器がありましてそれの運搬もお願いしたいです。
そのため緩衝材などがあればありがたいです。
大きめのパソコンです。")</f>
        <v>デスクトップパソコン、モニターなどの精密機器がありましてそれの運搬もお願いしたいです。
そのため緩衝材などがあればありがたいです。
大きめのパソコンです。</v>
      </c>
      <c r="O326" s="6" t="str">
        <f aca="false">IFERROR(__xludf.dummyfunction("""COMPUTED_VALUE"""),"不要")</f>
        <v>不要</v>
      </c>
      <c r="P326" s="6"/>
      <c r="Q326" s="6"/>
      <c r="R326" s="6"/>
      <c r="S326" s="6" t="str">
        <f aca="false">IFERROR(__xludf.dummyfunction("""COMPUTED_VALUE"""),"家具家電付き社宅")</f>
        <v>家具家電付き社宅</v>
      </c>
      <c r="T326" s="6" t="str">
        <f aca="false">IFERROR(__xludf.dummyfunction("""COMPUTED_VALUE"""),"利用しない")</f>
        <v>利用しない</v>
      </c>
      <c r="U326" s="6"/>
      <c r="V326" s="6" t="str">
        <f aca="false">IFERROR(__xludf.dummyfunction("""COMPUTED_VALUE"""),"徒歩, 自動車, 自転車, バス")</f>
        <v>徒歩, 自動車, 自転車, バス</v>
      </c>
      <c r="W326" s="6"/>
      <c r="X326" s="6" t="str">
        <f aca="false">IFERROR(__xludf.dummyfunction("""COMPUTED_VALUE"""),"実家")</f>
        <v>実家</v>
      </c>
      <c r="Y326" s="6"/>
      <c r="Z326" s="6" t="str">
        <f aca="false">IFERROR(__xludf.dummyfunction("""COMPUTED_VALUE"""),"希望する")</f>
        <v>希望する</v>
      </c>
      <c r="AA326" s="6" t="str">
        <f aca="false">IFERROR(__xludf.dummyfunction("""COMPUTED_VALUE"""),"単身")</f>
        <v>単身</v>
      </c>
      <c r="AB326" s="6"/>
      <c r="AC326" s="6"/>
      <c r="AD326" s="6"/>
      <c r="AE326" s="6" t="str">
        <f aca="false">IFERROR(__xludf.dummyfunction("""COMPUTED_VALUE"""),"確認しました。")</f>
        <v>確認しました。</v>
      </c>
      <c r="AF326" s="6" t="str">
        <f aca="false">IFERROR(__xludf.dummyfunction("""COMPUTED_VALUE"""),"社宅基準の内容について確認しました")</f>
        <v>社宅基準の内容について確認しました</v>
      </c>
      <c r="AG326" s="6" t="str">
        <f aca="false">IFERROR(__xludf.dummyfunction("""COMPUTED_VALUE"""),"入居のしおりの内容についてご確認しました")</f>
        <v>入居のしおりの内容についてご確認しました</v>
      </c>
      <c r="AH326" s="6" t="str">
        <f aca="false">IFERROR(__xludf.dummyfunction("""COMPUTED_VALUE"""),"確認しました")</f>
        <v>確認しました</v>
      </c>
      <c r="AI326" s="6"/>
      <c r="AJ326" s="6" t="str">
        <v/>
      </c>
      <c r="AK326" s="6" t="str">
        <v/>
      </c>
      <c r="AL326" s="6" t="str">
        <v/>
      </c>
      <c r="AM326" s="6" t="str">
        <v/>
      </c>
      <c r="AN326" s="6" t="n">
        <f aca="false">TRUE()</f>
        <v>1</v>
      </c>
    </row>
    <row r="327" customFormat="false" ht="52.5" hidden="false" customHeight="true" outlineLevel="0" collapsed="false">
      <c r="A327" s="6" t="str">
        <f aca="false">IFERROR(__xludf.dummyfunction("""COMPUTED_VALUE"""),"2026/03/11 12:51:37")</f>
        <v>2026/03/11 12:51:37</v>
      </c>
      <c r="B327" s="6"/>
      <c r="C327" s="6" t="str">
        <f aca="false">IFERROR(__xludf.dummyfunction("""COMPUTED_VALUE"""),"71186")</f>
        <v>71186</v>
      </c>
      <c r="D327" s="6"/>
      <c r="E327" s="6"/>
      <c r="F327" s="6"/>
      <c r="G327" s="6" t="str">
        <f aca="false">IFERROR(__xludf.dummyfunction("""COMPUTED_VALUE"""),"2026/04/11")</f>
        <v>2026/04/11</v>
      </c>
      <c r="H327" s="6" t="str">
        <f aca="false">IFERROR(__xludf.dummyfunction("""COMPUTED_VALUE"""),"必要")</f>
        <v>必要</v>
      </c>
      <c r="I327" s="6" t="str">
        <f aca="false">IFERROR(__xludf.dummyfunction("""COMPUTED_VALUE"""),"男性")</f>
        <v>男性</v>
      </c>
      <c r="J327" s="6" t="str">
        <f aca="false">IFERROR(__xludf.dummyfunction("""COMPUTED_VALUE"""),"日本")</f>
        <v>日本</v>
      </c>
      <c r="K327" s="6" t="str">
        <f aca="false">IFERROR(__xludf.dummyfunction("""COMPUTED_VALUE"""),"20")</f>
        <v>20</v>
      </c>
      <c r="L327" s="6" t="str">
        <f aca="false">IFERROR(__xludf.dummyfunction("""COMPUTED_VALUE"""),"デスクトップPC1台")</f>
        <v>デスクトップPC1台</v>
      </c>
      <c r="M327" s="6" t="str">
        <f aca="false">IFERROR(__xludf.dummyfunction("""COMPUTED_VALUE"""),"PCデスク1台(幅90×奥行67×高さ※50～70cm ※調整可能)")</f>
        <v>PCデスク1台(幅90×奥行67×高さ※50～70cm ※調整可能)</v>
      </c>
      <c r="N327" s="6" t="str">
        <f aca="false">IFERROR(__xludf.dummyfunction("""COMPUTED_VALUE"""),"PC周辺機器(小型スピーカー、コード、HDDなどの精密機器あり)
スーツ、ワイシャツ、下着、部屋着、私服
本等")</f>
        <v>PC周辺機器(小型スピーカー、コード、HDDなどの精密機器あり)
スーツ、ワイシャツ、下着、部屋着、私服
本等</v>
      </c>
      <c r="O327" s="6" t="str">
        <f aca="false">IFERROR(__xludf.dummyfunction("""COMPUTED_VALUE"""),"不要")</f>
        <v>不要</v>
      </c>
      <c r="P327" s="6"/>
      <c r="Q327" s="6"/>
      <c r="R327" s="6"/>
      <c r="S327" s="6" t="str">
        <f aca="false">IFERROR(__xludf.dummyfunction("""COMPUTED_VALUE"""),"家具家電なし社宅")</f>
        <v>家具家電なし社宅</v>
      </c>
      <c r="T327" s="6" t="str">
        <f aca="false">IFERROR(__xludf.dummyfunction("""COMPUTED_VALUE"""),"利用する")</f>
        <v>利用する</v>
      </c>
      <c r="U327" s="6" t="str">
        <f aca="false">IFERROR(__xludf.dummyfunction("""COMPUTED_VALUE"""),"寝具一式、冷凍冷蔵庫(80ℓ)、全自動洗濯機、ガスコンロ2口(設置不可の物件だった場合1口)、電子レンジ、炊飯器、照明器具、掃除機、ベッド")</f>
        <v>寝具一式、冷凍冷蔵庫(80ℓ)、全自動洗濯機、ガスコンロ2口(設置不可の物件だった場合1口)、電子レンジ、炊飯器、照明器具、掃除機、ベッド</v>
      </c>
      <c r="V327" s="6" t="str">
        <f aca="false">IFERROR(__xludf.dummyfunction("""COMPUTED_VALUE"""),"電車, バス")</f>
        <v>電車, バス</v>
      </c>
      <c r="W327" s="6"/>
      <c r="X327" s="6" t="str">
        <f aca="false">IFERROR(__xludf.dummyfunction("""COMPUTED_VALUE"""),"実家")</f>
        <v>実家</v>
      </c>
      <c r="Y327" s="6"/>
      <c r="Z327" s="6" t="str">
        <f aca="false">IFERROR(__xludf.dummyfunction("""COMPUTED_VALUE"""),"希望する")</f>
        <v>希望する</v>
      </c>
      <c r="AA327" s="6" t="str">
        <f aca="false">IFERROR(__xludf.dummyfunction("""COMPUTED_VALUE"""),"単身")</f>
        <v>単身</v>
      </c>
      <c r="AB327" s="6"/>
      <c r="AC327" s="6"/>
      <c r="AD327" s="6" t="str">
        <f aca="false">IFERROR(__xludf.dummyfunction("""COMPUTED_VALUE"""),"最寄りが本厚木駅、駅から徒歩10分以内")</f>
        <v>最寄りが本厚木駅、駅から徒歩10分以内</v>
      </c>
      <c r="AE327" s="6" t="str">
        <f aca="false">IFERROR(__xludf.dummyfunction("""COMPUTED_VALUE"""),"確認しました。")</f>
        <v>確認しました。</v>
      </c>
      <c r="AF327" s="6" t="str">
        <f aca="false">IFERROR(__xludf.dummyfunction("""COMPUTED_VALUE"""),"社宅基準の内容について確認しました")</f>
        <v>社宅基準の内容について確認しました</v>
      </c>
      <c r="AG327" s="6" t="str">
        <f aca="false">IFERROR(__xludf.dummyfunction("""COMPUTED_VALUE"""),"入居のしおりの内容についてご確認しました")</f>
        <v>入居のしおりの内容についてご確認しました</v>
      </c>
      <c r="AH327" s="6" t="str">
        <f aca="false">IFERROR(__xludf.dummyfunction("""COMPUTED_VALUE"""),"確認しました")</f>
        <v>確認しました</v>
      </c>
      <c r="AI327" s="6"/>
      <c r="AJ327" s="6" t="str">
        <v/>
      </c>
      <c r="AK327" s="6" t="str">
        <v/>
      </c>
      <c r="AL327" s="6" t="str">
        <v/>
      </c>
      <c r="AM327" s="6" t="str">
        <v/>
      </c>
      <c r="AN327" s="6" t="n">
        <f aca="false">TRUE()</f>
        <v>1</v>
      </c>
    </row>
    <row r="328" customFormat="false" ht="52.5" hidden="false" customHeight="true" outlineLevel="0" collapsed="false">
      <c r="A328" s="6" t="str">
        <f aca="false">IFERROR(__xludf.dummyfunction("""COMPUTED_VALUE"""),"2026/03/11 13:20:00")</f>
        <v>2026/03/11 13:20:00</v>
      </c>
      <c r="B328" s="6"/>
      <c r="C328" s="6" t="str">
        <f aca="false">IFERROR(__xludf.dummyfunction("""COMPUTED_VALUE"""),"71125")</f>
        <v>71125</v>
      </c>
      <c r="D328" s="6"/>
      <c r="E328" s="6"/>
      <c r="F328" s="6"/>
      <c r="G328" s="6" t="str">
        <f aca="false">IFERROR(__xludf.dummyfunction("""COMPUTED_VALUE"""),"2026/03/28")</f>
        <v>2026/03/28</v>
      </c>
      <c r="H328" s="6" t="str">
        <f aca="false">IFERROR(__xludf.dummyfunction("""COMPUTED_VALUE"""),"必要")</f>
        <v>必要</v>
      </c>
      <c r="I328" s="6" t="str">
        <f aca="false">IFERROR(__xludf.dummyfunction("""COMPUTED_VALUE"""),"男性")</f>
        <v>男性</v>
      </c>
      <c r="J328" s="6" t="str">
        <f aca="false">IFERROR(__xludf.dummyfunction("""COMPUTED_VALUE"""),"日本")</f>
        <v>日本</v>
      </c>
      <c r="K328" s="6" t="str">
        <f aca="false">IFERROR(__xludf.dummyfunction("""COMPUTED_VALUE"""),"15")</f>
        <v>15</v>
      </c>
      <c r="L328" s="6" t="str">
        <f aca="false">IFERROR(__xludf.dummyfunction("""COMPUTED_VALUE"""),"単身用冷蔵庫、洗濯機、ポット、電子レンジ")</f>
        <v>単身用冷蔵庫、洗濯機、ポット、電子レンジ</v>
      </c>
      <c r="M328" s="6" t="str">
        <f aca="false">IFERROR(__xludf.dummyfunction("""COMPUTED_VALUE"""),"机(横幅120cm、奥行44cm、高さ100cm)椅子(横幅43cm、奥行50cm、高さ90cm)、物干しラック")</f>
        <v>机(横幅120cm、奥行44cm、高さ100cm)椅子(横幅43cm、奥行50cm、高さ90cm)、物干しラック</v>
      </c>
      <c r="N328" s="6" t="str">
        <f aca="false">IFERROR(__xludf.dummyfunction("""COMPUTED_VALUE"""),"折りたたみ自転車、布団")</f>
        <v>折りたたみ自転車、布団</v>
      </c>
      <c r="O328" s="6" t="str">
        <f aca="false">IFERROR(__xludf.dummyfunction("""COMPUTED_VALUE"""),"不要")</f>
        <v>不要</v>
      </c>
      <c r="P328" s="6"/>
      <c r="Q328" s="6"/>
      <c r="R328" s="6"/>
      <c r="S328" s="6" t="str">
        <f aca="false">IFERROR(__xludf.dummyfunction("""COMPUTED_VALUE"""),"家具家電なし社宅")</f>
        <v>家具家電なし社宅</v>
      </c>
      <c r="T328" s="6" t="str">
        <f aca="false">IFERROR(__xludf.dummyfunction("""COMPUTED_VALUE"""),"利用しない")</f>
        <v>利用しない</v>
      </c>
      <c r="U328" s="6"/>
      <c r="V328" s="6" t="str">
        <f aca="false">IFERROR(__xludf.dummyfunction("""COMPUTED_VALUE"""),"社用バス")</f>
        <v>社用バス</v>
      </c>
      <c r="W328" s="6"/>
      <c r="X328" s="6" t="str">
        <f aca="false">IFERROR(__xludf.dummyfunction("""COMPUTED_VALUE"""),"株式会社ビーネックステクノロジーズの社宅")</f>
        <v>株式会社ビーネックステクノロジーズの社宅</v>
      </c>
      <c r="Y328" s="6" t="str">
        <f aca="false">IFERROR(__xludf.dummyfunction("""COMPUTED_VALUE"""),"利用なし")</f>
        <v>利用なし</v>
      </c>
      <c r="Z328" s="6" t="str">
        <f aca="false">IFERROR(__xludf.dummyfunction("""COMPUTED_VALUE"""),"希望しない")</f>
        <v>希望しない</v>
      </c>
      <c r="AA328" s="6" t="str">
        <f aca="false">IFERROR(__xludf.dummyfunction("""COMPUTED_VALUE"""),"単身")</f>
        <v>単身</v>
      </c>
      <c r="AB328" s="6"/>
      <c r="AC328" s="6"/>
      <c r="AD328" s="6"/>
      <c r="AE328" s="6" t="str">
        <f aca="false">IFERROR(__xludf.dummyfunction("""COMPUTED_VALUE"""),"確認しました。")</f>
        <v>確認しました。</v>
      </c>
      <c r="AF328" s="6" t="str">
        <f aca="false">IFERROR(__xludf.dummyfunction("""COMPUTED_VALUE"""),"社宅基準の内容について確認しました")</f>
        <v>社宅基準の内容について確認しました</v>
      </c>
      <c r="AG328" s="6" t="str">
        <f aca="false">IFERROR(__xludf.dummyfunction("""COMPUTED_VALUE"""),"入居のしおりの内容についてご確認しました")</f>
        <v>入居のしおりの内容についてご確認しました</v>
      </c>
      <c r="AH328" s="6" t="str">
        <f aca="false">IFERROR(__xludf.dummyfunction("""COMPUTED_VALUE"""),"確認しました")</f>
        <v>確認しました</v>
      </c>
      <c r="AI328" s="6"/>
      <c r="AJ328" s="6" t="str">
        <v/>
      </c>
      <c r="AK328" s="6" t="str">
        <v/>
      </c>
      <c r="AL328" s="6" t="str">
        <v/>
      </c>
      <c r="AM328" s="6" t="str">
        <v/>
      </c>
      <c r="AN328" s="6" t="n">
        <f aca="false">FALSE()</f>
        <v>0</v>
      </c>
    </row>
    <row r="329" customFormat="false" ht="52.5" hidden="false" customHeight="true" outlineLevel="0" collapsed="false">
      <c r="A329" s="6" t="str">
        <f aca="false">IFERROR(__xludf.dummyfunction("""COMPUTED_VALUE"""),"2026/03/11 15:52:33")</f>
        <v>2026/03/11 15:52:33</v>
      </c>
      <c r="B329" s="6"/>
      <c r="C329" s="6" t="str">
        <f aca="false">IFERROR(__xludf.dummyfunction("""COMPUTED_VALUE"""),"71202")</f>
        <v>71202</v>
      </c>
      <c r="D329" s="6"/>
      <c r="E329" s="6"/>
      <c r="F329" s="6"/>
      <c r="G329" s="6" t="str">
        <f aca="false">IFERROR(__xludf.dummyfunction("""COMPUTED_VALUE"""),"2026/07/19")</f>
        <v>2026/07/19</v>
      </c>
      <c r="H329" s="6" t="str">
        <f aca="false">IFERROR(__xludf.dummyfunction("""COMPUTED_VALUE"""),"必要")</f>
        <v>必要</v>
      </c>
      <c r="I329" s="6" t="str">
        <f aca="false">IFERROR(__xludf.dummyfunction("""COMPUTED_VALUE"""),"男性")</f>
        <v>男性</v>
      </c>
      <c r="J329" s="6" t="str">
        <f aca="false">IFERROR(__xludf.dummyfunction("""COMPUTED_VALUE"""),"日本")</f>
        <v>日本</v>
      </c>
      <c r="K329" s="6" t="str">
        <f aca="false">IFERROR(__xludf.dummyfunction("""COMPUTED_VALUE"""),"10")</f>
        <v>10</v>
      </c>
      <c r="L329" s="6" t="str">
        <f aca="false">IFERROR(__xludf.dummyfunction("""COMPUTED_VALUE"""),"液晶画面2台、パソコン1台、炊飯器１つ")</f>
        <v>液晶画面2台、パソコン1台、炊飯器１つ</v>
      </c>
      <c r="M329" s="6" t="str">
        <f aca="false">IFERROR(__xludf.dummyfunction("""COMPUTED_VALUE"""),"棚高さ170cm.横縦20cm")</f>
        <v>棚高さ170cm.横縦20cm</v>
      </c>
      <c r="N329" s="6"/>
      <c r="O329" s="6" t="str">
        <f aca="false">IFERROR(__xludf.dummyfunction("""COMPUTED_VALUE"""),"不要")</f>
        <v>不要</v>
      </c>
      <c r="P329" s="6"/>
      <c r="Q329" s="6"/>
      <c r="R329" s="6"/>
      <c r="S329" s="6" t="str">
        <f aca="false">IFERROR(__xludf.dummyfunction("""COMPUTED_VALUE"""),"家具家電付き社宅")</f>
        <v>家具家電付き社宅</v>
      </c>
      <c r="T329" s="6" t="str">
        <f aca="false">IFERROR(__xludf.dummyfunction("""COMPUTED_VALUE"""),"利用しない")</f>
        <v>利用しない</v>
      </c>
      <c r="U329" s="6"/>
      <c r="V329" s="6" t="str">
        <f aca="false">IFERROR(__xludf.dummyfunction("""COMPUTED_VALUE"""),"電車")</f>
        <v>電車</v>
      </c>
      <c r="W329" s="6"/>
      <c r="X329" s="6" t="str">
        <f aca="false">IFERROR(__xludf.dummyfunction("""COMPUTED_VALUE"""),"株式会社ビーネックステクノロジーズの社宅")</f>
        <v>株式会社ビーネックステクノロジーズの社宅</v>
      </c>
      <c r="Y329" s="6" t="str">
        <f aca="false">IFERROR(__xludf.dummyfunction("""COMPUTED_VALUE"""),"利用なし")</f>
        <v>利用なし</v>
      </c>
      <c r="Z329" s="6" t="str">
        <f aca="false">IFERROR(__xludf.dummyfunction("""COMPUTED_VALUE"""),"希望しない")</f>
        <v>希望しない</v>
      </c>
      <c r="AA329" s="6" t="str">
        <f aca="false">IFERROR(__xludf.dummyfunction("""COMPUTED_VALUE"""),"単身")</f>
        <v>単身</v>
      </c>
      <c r="AB329" s="6"/>
      <c r="AC329" s="6"/>
      <c r="AD329" s="6" t="str">
        <f aca="false">IFERROR(__xludf.dummyfunction("""COMPUTED_VALUE"""),"6万円以下の賃貸を希望します。
通勤50分以内であれば問題ないです。
")</f>
        <v>6万円以下の賃貸を希望します。
通勤50分以内であれば問題ないです。
</v>
      </c>
      <c r="AE329" s="6" t="str">
        <f aca="false">IFERROR(__xludf.dummyfunction("""COMPUTED_VALUE"""),"確認しました。")</f>
        <v>確認しました。</v>
      </c>
      <c r="AF329" s="6" t="str">
        <f aca="false">IFERROR(__xludf.dummyfunction("""COMPUTED_VALUE"""),"社宅基準の内容について確認しました")</f>
        <v>社宅基準の内容について確認しました</v>
      </c>
      <c r="AG329" s="6" t="str">
        <f aca="false">IFERROR(__xludf.dummyfunction("""COMPUTED_VALUE"""),"入居のしおりの内容についてご確認しました")</f>
        <v>入居のしおりの内容についてご確認しました</v>
      </c>
      <c r="AH329" s="6" t="str">
        <f aca="false">IFERROR(__xludf.dummyfunction("""COMPUTED_VALUE"""),"確認しました")</f>
        <v>確認しました</v>
      </c>
      <c r="AI329" s="6"/>
      <c r="AJ329" s="6" t="str">
        <v/>
      </c>
      <c r="AK329" s="6" t="str">
        <v/>
      </c>
      <c r="AL329" s="6" t="str">
        <v/>
      </c>
      <c r="AM329" s="6" t="str">
        <v/>
      </c>
      <c r="AN329" s="6" t="n">
        <f aca="false">FALSE()</f>
        <v>0</v>
      </c>
    </row>
    <row r="330" customFormat="false" ht="52.5" hidden="false" customHeight="true" outlineLevel="0" collapsed="false">
      <c r="A330" s="6" t="str">
        <f aca="false">IFERROR(__xludf.dummyfunction("""COMPUTED_VALUE"""),"2026/03/11 16:13:26")</f>
        <v>2026/03/11 16:13:26</v>
      </c>
      <c r="B330" s="6"/>
      <c r="C330" s="6" t="str">
        <f aca="false">IFERROR(__xludf.dummyfunction("""COMPUTED_VALUE"""),"71184")</f>
        <v>71184</v>
      </c>
      <c r="D330" s="6"/>
      <c r="E330" s="6"/>
      <c r="F330" s="6"/>
      <c r="G330" s="6" t="str">
        <f aca="false">IFERROR(__xludf.dummyfunction("""COMPUTED_VALUE"""),"2026/03/28")</f>
        <v>2026/03/28</v>
      </c>
      <c r="H330" s="6" t="str">
        <f aca="false">IFERROR(__xludf.dummyfunction("""COMPUTED_VALUE"""),"必要")</f>
        <v>必要</v>
      </c>
      <c r="I330" s="6" t="str">
        <f aca="false">IFERROR(__xludf.dummyfunction("""COMPUTED_VALUE"""),"男性")</f>
        <v>男性</v>
      </c>
      <c r="J330" s="6" t="str">
        <f aca="false">IFERROR(__xludf.dummyfunction("""COMPUTED_VALUE"""),"日本")</f>
        <v>日本</v>
      </c>
      <c r="K330" s="6" t="str">
        <f aca="false">IFERROR(__xludf.dummyfunction("""COMPUTED_VALUE"""),"7")</f>
        <v>7</v>
      </c>
      <c r="L330" s="6" t="str">
        <f aca="false">IFERROR(__xludf.dummyfunction("""COMPUTED_VALUE"""),"冷蔵庫（2ドア）、洗濯機、電子レンジ、炊飯器")</f>
        <v>冷蔵庫（2ドア）、洗濯機、電子レンジ、炊飯器</v>
      </c>
      <c r="M330" s="6" t="str">
        <f aca="false">IFERROR(__xludf.dummyfunction("""COMPUTED_VALUE"""),"セミダブル布団、机（120.48.90）")</f>
        <v>セミダブル布団、机（120.48.90）</v>
      </c>
      <c r="N330" s="6" t="str">
        <f aca="false">IFERROR(__xludf.dummyfunction("""COMPUTED_VALUE"""),"モニター×2、PC本体")</f>
        <v>モニター×2、PC本体</v>
      </c>
      <c r="O330" s="6" t="str">
        <f aca="false">IFERROR(__xludf.dummyfunction("""COMPUTED_VALUE"""),"不要")</f>
        <v>不要</v>
      </c>
      <c r="P330" s="6"/>
      <c r="Q330" s="6"/>
      <c r="R330" s="6"/>
      <c r="S330" s="6" t="str">
        <f aca="false">IFERROR(__xludf.dummyfunction("""COMPUTED_VALUE"""),"家具家電なし社宅")</f>
        <v>家具家電なし社宅</v>
      </c>
      <c r="T330" s="6" t="str">
        <f aca="false">IFERROR(__xludf.dummyfunction("""COMPUTED_VALUE"""),"利用しない")</f>
        <v>利用しない</v>
      </c>
      <c r="U330" s="6"/>
      <c r="V330" s="6" t="str">
        <f aca="false">IFERROR(__xludf.dummyfunction("""COMPUTED_VALUE"""),"徒歩, 自転車, バイク")</f>
        <v>徒歩, 自転車, バイク</v>
      </c>
      <c r="W330" s="6"/>
      <c r="X330" s="6" t="str">
        <f aca="false">IFERROR(__xludf.dummyfunction("""COMPUTED_VALUE"""),"実家")</f>
        <v>実家</v>
      </c>
      <c r="Y330" s="6"/>
      <c r="Z330" s="6" t="str">
        <f aca="false">IFERROR(__xludf.dummyfunction("""COMPUTED_VALUE"""),"希望する")</f>
        <v>希望する</v>
      </c>
      <c r="AA330" s="6" t="str">
        <f aca="false">IFERROR(__xludf.dummyfunction("""COMPUTED_VALUE"""),"単身")</f>
        <v>単身</v>
      </c>
      <c r="AB330" s="6"/>
      <c r="AC330" s="6"/>
      <c r="AD330" s="6" t="str">
        <f aca="false">IFERROR(__xludf.dummyfunction("""COMPUTED_VALUE"""),"バイクを使用したいので駐輪場が欲しいです")</f>
        <v>バイクを使用したいので駐輪場が欲しいです</v>
      </c>
      <c r="AE330" s="6" t="str">
        <f aca="false">IFERROR(__xludf.dummyfunction("""COMPUTED_VALUE"""),"確認しました。")</f>
        <v>確認しました。</v>
      </c>
      <c r="AF330" s="6" t="str">
        <f aca="false">IFERROR(__xludf.dummyfunction("""COMPUTED_VALUE"""),"社宅基準の内容について確認しました")</f>
        <v>社宅基準の内容について確認しました</v>
      </c>
      <c r="AG330" s="6" t="str">
        <f aca="false">IFERROR(__xludf.dummyfunction("""COMPUTED_VALUE"""),"入居のしおりの内容についてご確認しました")</f>
        <v>入居のしおりの内容についてご確認しました</v>
      </c>
      <c r="AH330" s="6" t="str">
        <f aca="false">IFERROR(__xludf.dummyfunction("""COMPUTED_VALUE"""),"確認しました")</f>
        <v>確認しました</v>
      </c>
      <c r="AI330" s="6"/>
      <c r="AJ330" s="6" t="str">
        <v/>
      </c>
      <c r="AK330" s="6" t="str">
        <v/>
      </c>
      <c r="AL330" s="6" t="str">
        <v/>
      </c>
      <c r="AM330" s="6" t="str">
        <v/>
      </c>
      <c r="AN330" s="6" t="n">
        <f aca="false">TRUE()</f>
        <v>1</v>
      </c>
    </row>
    <row r="331" customFormat="false" ht="52.5" hidden="false" customHeight="true" outlineLevel="0" collapsed="false">
      <c r="A331" s="6" t="str">
        <f aca="false">IFERROR(__xludf.dummyfunction("""COMPUTED_VALUE"""),"2026/03/11 16:34:13")</f>
        <v>2026/03/11 16:34:13</v>
      </c>
      <c r="B331" s="6"/>
      <c r="C331" s="6" t="str">
        <f aca="false">IFERROR(__xludf.dummyfunction("""COMPUTED_VALUE"""),"71180")</f>
        <v>71180</v>
      </c>
      <c r="D331" s="6"/>
      <c r="E331" s="6"/>
      <c r="F331" s="6"/>
      <c r="G331" s="6" t="str">
        <f aca="false">IFERROR(__xludf.dummyfunction("""COMPUTED_VALUE"""),"2026/04/07")</f>
        <v>2026/04/07</v>
      </c>
      <c r="H331" s="6" t="str">
        <f aca="false">IFERROR(__xludf.dummyfunction("""COMPUTED_VALUE"""),"必要")</f>
        <v>必要</v>
      </c>
      <c r="I331" s="6" t="str">
        <f aca="false">IFERROR(__xludf.dummyfunction("""COMPUTED_VALUE"""),"男性")</f>
        <v>男性</v>
      </c>
      <c r="J331" s="6" t="str">
        <f aca="false">IFERROR(__xludf.dummyfunction("""COMPUTED_VALUE"""),"日本")</f>
        <v>日本</v>
      </c>
      <c r="K331" s="6" t="str">
        <f aca="false">IFERROR(__xludf.dummyfunction("""COMPUTED_VALUE"""),"30")</f>
        <v>30</v>
      </c>
      <c r="L331" s="6" t="str">
        <f aca="false">IFERROR(__xludf.dummyfunction("""COMPUTED_VALUE"""),"冷蔵庫（2ドア）、洗濯機、炊飯器、テレビ（液晶55インチ，液晶32インチ）、BDレコーダー（2台）、ビデオデッキ、ウォーターサーバー、扇風機、空気清浄機、加湿器（2台）、冷風機、電子レンジ、プリンター、デスクトップPC、ディスプレイ、オーディオアンプ、カセットデッキ、CDプレーヤー、スピーカ")</f>
        <v>冷蔵庫（2ドア）、洗濯機、炊飯器、テレビ（液晶55インチ，液晶32インチ）、BDレコーダー（2台）、ビデオデッキ、ウォーターサーバー、扇風機、空気清浄機、加湿器（2台）、冷風機、電子レンジ、プリンター、デスクトップPC、ディスプレイ、オーディオアンプ、カセットデッキ、CDプレーヤー、スピーカ</v>
      </c>
      <c r="M331" s="6" t="str">
        <f aca="false">IFERROR(__xludf.dummyfunction("""COMPUTED_VALUE"""),"ベッド（シングル）、ソファ（２人掛け）、ソファ（１人掛け）、オットマン、食器棚（590×320×1800 mm）、本棚（880×300×1800 mm）、棚（670×240×1900 mm）、ラック（660×360×1200 mm)、ラック（740×360×1540 mm)、衣装ケース（930×460×1780 mm)、
CDラック3個（830×270×2050 mm)、テーブル（1070×500×460 mm)、カラーボックス2個（860×330×900 mm)")</f>
        <v>ベッド（シングル）、ソファ（２人掛け）、ソファ（１人掛け）、オットマン、食器棚（590×320×1800 mm）、本棚（880×300×1800 mm）、棚（670×240×1900 mm）、ラック（660×360×1200 mm)、ラック（740×360×1540 mm)、衣装ケース（930×460×1780 mm)、
CDラック3個（830×270×2050 mm)、テーブル（1070×500×460 mm)、カラーボックス2個（860×330×900 mm)</v>
      </c>
      <c r="N331" s="6" t="str">
        <f aca="false">IFERROR(__xludf.dummyfunction("""COMPUTED_VALUE"""),"ボウリングバック（3個入り×１，2個入り×２，1個入り×３）")</f>
        <v>ボウリングバック（3個入り×１，2個入り×２，1個入り×３）</v>
      </c>
      <c r="O331" s="6" t="str">
        <f aca="false">IFERROR(__xludf.dummyfunction("""COMPUTED_VALUE"""),"必要")</f>
        <v>必要</v>
      </c>
      <c r="P331" s="6" t="str">
        <f aca="false">IFERROR(__xludf.dummyfunction("""COMPUTED_VALUE"""),"パサートヴァリアント")</f>
        <v>パサートヴァリアント</v>
      </c>
      <c r="Q331" s="6" t="str">
        <f aca="false">IFERROR(__xludf.dummyfunction("""COMPUTED_VALUE"""),"ひ17-71")</f>
        <v>ひ17-71</v>
      </c>
      <c r="R331" s="6" t="str">
        <f aca="false">IFERROR(__xludf.dummyfunction("""COMPUTED_VALUE"""),"シルバー")</f>
        <v>シルバー</v>
      </c>
      <c r="S331" s="6" t="str">
        <f aca="false">IFERROR(__xludf.dummyfunction("""COMPUTED_VALUE"""),"家具家電なし社宅")</f>
        <v>家具家電なし社宅</v>
      </c>
      <c r="T331" s="6" t="str">
        <f aca="false">IFERROR(__xludf.dummyfunction("""COMPUTED_VALUE"""),"利用しない")</f>
        <v>利用しない</v>
      </c>
      <c r="U331" s="6"/>
      <c r="V331" s="6" t="str">
        <f aca="false">IFERROR(__xludf.dummyfunction("""COMPUTED_VALUE"""),"徒歩, バス")</f>
        <v>徒歩, バス</v>
      </c>
      <c r="W331" s="6"/>
      <c r="X331" s="6" t="str">
        <f aca="false">IFERROR(__xludf.dummyfunction("""COMPUTED_VALUE"""),"ご自身で契約中の物件")</f>
        <v>ご自身で契約中の物件</v>
      </c>
      <c r="Y331" s="6"/>
      <c r="Z331" s="6" t="str">
        <f aca="false">IFERROR(__xludf.dummyfunction("""COMPUTED_VALUE"""),"希望する")</f>
        <v>希望する</v>
      </c>
      <c r="AA331" s="6" t="str">
        <f aca="false">IFERROR(__xludf.dummyfunction("""COMPUTED_VALUE"""),"単身")</f>
        <v>単身</v>
      </c>
      <c r="AB331" s="6"/>
      <c r="AC331" s="6"/>
      <c r="AD331" s="6"/>
      <c r="AE331" s="6" t="str">
        <f aca="false">IFERROR(__xludf.dummyfunction("""COMPUTED_VALUE"""),"確認しました。")</f>
        <v>確認しました。</v>
      </c>
      <c r="AF331" s="6" t="str">
        <f aca="false">IFERROR(__xludf.dummyfunction("""COMPUTED_VALUE"""),"社宅基準の内容について確認しました")</f>
        <v>社宅基準の内容について確認しました</v>
      </c>
      <c r="AG331" s="6" t="str">
        <f aca="false">IFERROR(__xludf.dummyfunction("""COMPUTED_VALUE"""),"入居のしおりの内容についてご確認しました")</f>
        <v>入居のしおりの内容についてご確認しました</v>
      </c>
      <c r="AH331" s="6" t="str">
        <f aca="false">IFERROR(__xludf.dummyfunction("""COMPUTED_VALUE"""),"確認しました")</f>
        <v>確認しました</v>
      </c>
      <c r="AI331" s="6"/>
      <c r="AJ331" s="6" t="str">
        <v/>
      </c>
      <c r="AK331" s="6" t="str">
        <v/>
      </c>
      <c r="AL331" s="6" t="str">
        <v/>
      </c>
      <c r="AM331" s="6" t="str">
        <v/>
      </c>
      <c r="AN331" s="6" t="n">
        <f aca="false">TRUE()</f>
        <v>1</v>
      </c>
    </row>
    <row r="332" customFormat="false" ht="52.5" hidden="false" customHeight="true" outlineLevel="0" collapsed="false">
      <c r="A332" s="6" t="str">
        <f aca="false">IFERROR(__xludf.dummyfunction("""COMPUTED_VALUE"""),"2026/03/11 17:30:07")</f>
        <v>2026/03/11 17:30:07</v>
      </c>
      <c r="B332" s="6"/>
      <c r="C332" s="6" t="str">
        <f aca="false">IFERROR(__xludf.dummyfunction("""COMPUTED_VALUE"""),"71101")</f>
        <v>71101</v>
      </c>
      <c r="D332" s="6"/>
      <c r="E332" s="6"/>
      <c r="F332" s="6"/>
      <c r="G332" s="6" t="str">
        <f aca="false">IFERROR(__xludf.dummyfunction("""COMPUTED_VALUE"""),"2026/05/23")</f>
        <v>2026/05/23</v>
      </c>
      <c r="H332" s="6" t="str">
        <f aca="false">IFERROR(__xludf.dummyfunction("""COMPUTED_VALUE"""),"必要")</f>
        <v>必要</v>
      </c>
      <c r="I332" s="6" t="str">
        <f aca="false">IFERROR(__xludf.dummyfunction("""COMPUTED_VALUE"""),"男性")</f>
        <v>男性</v>
      </c>
      <c r="J332" s="6" t="str">
        <f aca="false">IFERROR(__xludf.dummyfunction("""COMPUTED_VALUE"""),"日本")</f>
        <v>日本</v>
      </c>
      <c r="K332" s="6" t="str">
        <f aca="false">IFERROR(__xludf.dummyfunction("""COMPUTED_VALUE"""),"10")</f>
        <v>10</v>
      </c>
      <c r="L332" s="6" t="str">
        <f aca="false">IFERROR(__xludf.dummyfunction("""COMPUTED_VALUE"""),"冷蔵庫(単身用2ドア) 洗濯機、電子レンジ、掃除機")</f>
        <v>冷蔵庫(単身用2ドア) 洗濯機、電子レンジ、掃除機</v>
      </c>
      <c r="M332" s="6" t="str">
        <f aca="false">IFERROR(__xludf.dummyfunction("""COMPUTED_VALUE"""),"机(幅60cm、奥行40cm、高さ29.5cm) 2個")</f>
        <v>机(幅60cm、奥行40cm、高さ29.5cm) 2個</v>
      </c>
      <c r="N332" s="6"/>
      <c r="O332" s="6" t="str">
        <f aca="false">IFERROR(__xludf.dummyfunction("""COMPUTED_VALUE"""),"不要")</f>
        <v>不要</v>
      </c>
      <c r="P332" s="6"/>
      <c r="Q332" s="6"/>
      <c r="R332" s="6"/>
      <c r="S332" s="6" t="str">
        <f aca="false">IFERROR(__xludf.dummyfunction("""COMPUTED_VALUE"""),"家具家電なし社宅")</f>
        <v>家具家電なし社宅</v>
      </c>
      <c r="T332" s="6" t="str">
        <f aca="false">IFERROR(__xludf.dummyfunction("""COMPUTED_VALUE"""),"利用しない")</f>
        <v>利用しない</v>
      </c>
      <c r="U332" s="6"/>
      <c r="V332" s="6" t="str">
        <f aca="false">IFERROR(__xludf.dummyfunction("""COMPUTED_VALUE"""),"徒歩, 電車, バス")</f>
        <v>徒歩, 電車, バス</v>
      </c>
      <c r="W332" s="6"/>
      <c r="X332" s="6" t="str">
        <f aca="false">IFERROR(__xludf.dummyfunction("""COMPUTED_VALUE"""),"ご自身で契約中の物件")</f>
        <v>ご自身で契約中の物件</v>
      </c>
      <c r="Y332" s="6"/>
      <c r="Z332" s="6" t="str">
        <f aca="false">IFERROR(__xludf.dummyfunction("""COMPUTED_VALUE"""),"希望する")</f>
        <v>希望する</v>
      </c>
      <c r="AA332" s="6" t="str">
        <f aca="false">IFERROR(__xludf.dummyfunction("""COMPUTED_VALUE"""),"単身")</f>
        <v>単身</v>
      </c>
      <c r="AB332" s="6"/>
      <c r="AC332" s="6"/>
      <c r="AD332" s="6"/>
      <c r="AE332" s="6" t="str">
        <f aca="false">IFERROR(__xludf.dummyfunction("""COMPUTED_VALUE"""),"確認しました。")</f>
        <v>確認しました。</v>
      </c>
      <c r="AF332" s="6" t="str">
        <f aca="false">IFERROR(__xludf.dummyfunction("""COMPUTED_VALUE"""),"社宅基準の内容について確認しました")</f>
        <v>社宅基準の内容について確認しました</v>
      </c>
      <c r="AG332" s="6" t="str">
        <f aca="false">IFERROR(__xludf.dummyfunction("""COMPUTED_VALUE"""),"入居のしおりの内容についてご確認しました")</f>
        <v>入居のしおりの内容についてご確認しました</v>
      </c>
      <c r="AH332" s="6" t="str">
        <f aca="false">IFERROR(__xludf.dummyfunction("""COMPUTED_VALUE"""),"確認しました")</f>
        <v>確認しました</v>
      </c>
      <c r="AI332" s="6"/>
      <c r="AJ332" s="6" t="str">
        <v/>
      </c>
      <c r="AK332" s="6" t="str">
        <v/>
      </c>
      <c r="AL332" s="6" t="str">
        <v/>
      </c>
      <c r="AM332" s="6" t="str">
        <v/>
      </c>
      <c r="AN332" s="6" t="n">
        <f aca="false">FALSE()</f>
        <v>0</v>
      </c>
    </row>
    <row r="333" customFormat="false" ht="52.5" hidden="false" customHeight="true" outlineLevel="0" collapsed="false">
      <c r="A333" s="6" t="str">
        <f aca="false">IFERROR(__xludf.dummyfunction("""COMPUTED_VALUE"""),"2026/03/11 17:44:18")</f>
        <v>2026/03/11 17:44:18</v>
      </c>
      <c r="B333" s="6"/>
      <c r="C333" s="6" t="str">
        <f aca="false">IFERROR(__xludf.dummyfunction("""COMPUTED_VALUE"""),"71214")</f>
        <v>71214</v>
      </c>
      <c r="D333" s="6"/>
      <c r="E333" s="6"/>
      <c r="F333" s="6"/>
      <c r="G333" s="6" t="str">
        <f aca="false">IFERROR(__xludf.dummyfunction("""COMPUTED_VALUE"""),"2026/03/29")</f>
        <v>2026/03/29</v>
      </c>
      <c r="H333" s="6" t="str">
        <f aca="false">IFERROR(__xludf.dummyfunction("""COMPUTED_VALUE"""),"必要")</f>
        <v>必要</v>
      </c>
      <c r="I333" s="6" t="str">
        <f aca="false">IFERROR(__xludf.dummyfunction("""COMPUTED_VALUE"""),"男性")</f>
        <v>男性</v>
      </c>
      <c r="J333" s="6" t="str">
        <f aca="false">IFERROR(__xludf.dummyfunction("""COMPUTED_VALUE"""),"日本")</f>
        <v>日本</v>
      </c>
      <c r="K333" s="6" t="str">
        <f aca="false">IFERROR(__xludf.dummyfunction("""COMPUTED_VALUE"""),"20")</f>
        <v>20</v>
      </c>
      <c r="L333" s="6" t="str">
        <f aca="false">IFERROR(__xludf.dummyfunction("""COMPUTED_VALUE"""),"洗濯機、冷蔵庫(単身用2ドア)、電子レンジ、ウォーターサーバー")</f>
        <v>洗濯機、冷蔵庫(単身用2ドア)、電子レンジ、ウォーターサーバー</v>
      </c>
      <c r="M333" s="6" t="str">
        <f aca="false">IFERROR(__xludf.dummyfunction("""COMPUTED_VALUE"""),"パイプハンガー、小さめの衣装ケース5個、掃除機スタンド、折りたたみテーブル3個、ふとん1式、シングルサイズのすのこ")</f>
        <v>パイプハンガー、小さめの衣装ケース5個、掃除機スタンド、折りたたみテーブル3個、ふとん1式、シングルサイズのすのこ</v>
      </c>
      <c r="N333" s="6" t="str">
        <f aca="false">IFERROR(__xludf.dummyfunction("""COMPUTED_VALUE"""),"ウォーターサーバーの12Lの水が入った箱 12個、プランター4個、植木鉢1個、物干し竿1本")</f>
        <v>ウォーターサーバーの12Lの水が入った箱 12個、プランター4個、植木鉢1個、物干し竿1本</v>
      </c>
      <c r="O333" s="6" t="str">
        <f aca="false">IFERROR(__xludf.dummyfunction("""COMPUTED_VALUE"""),"必要")</f>
        <v>必要</v>
      </c>
      <c r="P333" s="6" t="str">
        <f aca="false">IFERROR(__xludf.dummyfunction("""COMPUTED_VALUE"""),"スズキ イグニス")</f>
        <v>スズキ イグニス</v>
      </c>
      <c r="Q333" s="6" t="str">
        <f aca="false">IFERROR(__xludf.dummyfunction("""COMPUTED_VALUE"""),"鹿児島502 た 48-27")</f>
        <v>鹿児島502 た 48-27</v>
      </c>
      <c r="R333" s="6" t="str">
        <f aca="false">IFERROR(__xludf.dummyfunction("""COMPUTED_VALUE"""),"黒")</f>
        <v>黒</v>
      </c>
      <c r="S333" s="6" t="str">
        <f aca="false">IFERROR(__xludf.dummyfunction("""COMPUTED_VALUE"""),"家具家電なし社宅")</f>
        <v>家具家電なし社宅</v>
      </c>
      <c r="T333" s="6" t="str">
        <f aca="false">IFERROR(__xludf.dummyfunction("""COMPUTED_VALUE"""),"利用しない")</f>
        <v>利用しない</v>
      </c>
      <c r="U333" s="6"/>
      <c r="V333" s="6" t="str">
        <f aca="false">IFERROR(__xludf.dummyfunction("""COMPUTED_VALUE"""),"徒歩, 自動車, 自転車")</f>
        <v>徒歩, 自動車, 自転車</v>
      </c>
      <c r="W333" s="6"/>
      <c r="X333" s="6" t="str">
        <f aca="false">IFERROR(__xludf.dummyfunction("""COMPUTED_VALUE"""),"株式会社ビーネックステクノロジーズの社宅")</f>
        <v>株式会社ビーネックステクノロジーズの社宅</v>
      </c>
      <c r="Y333" s="6" t="str">
        <f aca="false">IFERROR(__xludf.dummyfunction("""COMPUTED_VALUE"""),"利用なし")</f>
        <v>利用なし</v>
      </c>
      <c r="Z333" s="6" t="str">
        <f aca="false">IFERROR(__xludf.dummyfunction("""COMPUTED_VALUE"""),"希望しない")</f>
        <v>希望しない</v>
      </c>
      <c r="AA333" s="6" t="str">
        <f aca="false">IFERROR(__xludf.dummyfunction("""COMPUTED_VALUE"""),"単身")</f>
        <v>単身</v>
      </c>
      <c r="AB333" s="6"/>
      <c r="AC333" s="6"/>
      <c r="AD333" s="6"/>
      <c r="AE333" s="6" t="str">
        <f aca="false">IFERROR(__xludf.dummyfunction("""COMPUTED_VALUE"""),"確認しました。")</f>
        <v>確認しました。</v>
      </c>
      <c r="AF333" s="6" t="str">
        <f aca="false">IFERROR(__xludf.dummyfunction("""COMPUTED_VALUE"""),"社宅基準の内容について確認しました")</f>
        <v>社宅基準の内容について確認しました</v>
      </c>
      <c r="AG333" s="6" t="str">
        <f aca="false">IFERROR(__xludf.dummyfunction("""COMPUTED_VALUE"""),"入居のしおりの内容についてご確認しました")</f>
        <v>入居のしおりの内容についてご確認しました</v>
      </c>
      <c r="AH333" s="6" t="str">
        <f aca="false">IFERROR(__xludf.dummyfunction("""COMPUTED_VALUE"""),"確認しました")</f>
        <v>確認しました</v>
      </c>
      <c r="AI333" s="6"/>
      <c r="AJ333" s="6" t="str">
        <v/>
      </c>
      <c r="AK333" s="6" t="str">
        <v/>
      </c>
      <c r="AL333" s="6" t="str">
        <v/>
      </c>
      <c r="AM333" s="6" t="str">
        <v/>
      </c>
      <c r="AN333" s="6" t="n">
        <f aca="false">FALSE()</f>
        <v>0</v>
      </c>
    </row>
    <row r="334" customFormat="false" ht="52.5" hidden="false" customHeight="true" outlineLevel="0" collapsed="false">
      <c r="A334" s="6" t="str">
        <f aca="false">IFERROR(__xludf.dummyfunction("""COMPUTED_VALUE"""),"2026/03/11 18:37:23")</f>
        <v>2026/03/11 18:37:23</v>
      </c>
      <c r="B334" s="6"/>
      <c r="C334" s="6" t="str">
        <f aca="false">IFERROR(__xludf.dummyfunction("""COMPUTED_VALUE"""),"71217")</f>
        <v>71217</v>
      </c>
      <c r="D334" s="6"/>
      <c r="E334" s="6"/>
      <c r="F334" s="6"/>
      <c r="G334" s="6" t="str">
        <f aca="false">IFERROR(__xludf.dummyfunction("""COMPUTED_VALUE"""),"2026/03/23")</f>
        <v>2026/03/23</v>
      </c>
      <c r="H334" s="6" t="str">
        <f aca="false">IFERROR(__xludf.dummyfunction("""COMPUTED_VALUE"""),"必要")</f>
        <v>必要</v>
      </c>
      <c r="I334" s="6" t="str">
        <f aca="false">IFERROR(__xludf.dummyfunction("""COMPUTED_VALUE"""),"男性")</f>
        <v>男性</v>
      </c>
      <c r="J334" s="6" t="str">
        <f aca="false">IFERROR(__xludf.dummyfunction("""COMPUTED_VALUE"""),"日本")</f>
        <v>日本</v>
      </c>
      <c r="K334" s="6" t="str">
        <f aca="false">IFERROR(__xludf.dummyfunction("""COMPUTED_VALUE"""),"15")</f>
        <v>15</v>
      </c>
      <c r="L334" s="6" t="str">
        <f aca="false">IFERROR(__xludf.dummyfunction("""COMPUTED_VALUE"""),"無し")</f>
        <v>無し</v>
      </c>
      <c r="M334" s="6" t="str">
        <f aca="false">IFERROR(__xludf.dummyfunction("""COMPUTED_VALUE"""),"無し")</f>
        <v>無し</v>
      </c>
      <c r="N334" s="6" t="str">
        <f aca="false">IFERROR(__xludf.dummyfunction("""COMPUTED_VALUE"""),"無し")</f>
        <v>無し</v>
      </c>
      <c r="O334" s="6" t="str">
        <f aca="false">IFERROR(__xludf.dummyfunction("""COMPUTED_VALUE"""),"必要")</f>
        <v>必要</v>
      </c>
      <c r="P334" s="6" t="str">
        <f aca="false">IFERROR(__xludf.dummyfunction("""COMPUTED_VALUE"""),"トヨタ　カムリ50前期")</f>
        <v>トヨタ　カムリ50前期</v>
      </c>
      <c r="Q334" s="6" t="str">
        <f aca="false">IFERROR(__xludf.dummyfunction("""COMPUTED_VALUE"""),"ほ610")</f>
        <v>ほ610</v>
      </c>
      <c r="R334" s="6" t="str">
        <f aca="false">IFERROR(__xludf.dummyfunction("""COMPUTED_VALUE"""),"グレーメタリック")</f>
        <v>グレーメタリック</v>
      </c>
      <c r="S334" s="6" t="str">
        <f aca="false">IFERROR(__xludf.dummyfunction("""COMPUTED_VALUE"""),"家具家電付き社宅")</f>
        <v>家具家電付き社宅</v>
      </c>
      <c r="T334" s="6" t="str">
        <f aca="false">IFERROR(__xludf.dummyfunction("""COMPUTED_VALUE"""),"利用しない")</f>
        <v>利用しない</v>
      </c>
      <c r="U334" s="6"/>
      <c r="V334" s="6" t="str">
        <f aca="false">IFERROR(__xludf.dummyfunction("""COMPUTED_VALUE"""),"自動車")</f>
        <v>自動車</v>
      </c>
      <c r="W334" s="6"/>
      <c r="X334" s="6" t="str">
        <f aca="false">IFERROR(__xludf.dummyfunction("""COMPUTED_VALUE"""),"実家")</f>
        <v>実家</v>
      </c>
      <c r="Y334" s="6"/>
      <c r="Z334" s="6" t="str">
        <f aca="false">IFERROR(__xludf.dummyfunction("""COMPUTED_VALUE"""),"希望する")</f>
        <v>希望する</v>
      </c>
      <c r="AA334" s="6" t="str">
        <f aca="false">IFERROR(__xludf.dummyfunction("""COMPUTED_VALUE"""),"単身")</f>
        <v>単身</v>
      </c>
      <c r="AB334" s="6"/>
      <c r="AC334" s="6"/>
      <c r="AD334" s="6" t="str">
        <f aca="false">IFERROR(__xludf.dummyfunction("""COMPUTED_VALUE"""),"お風呂トイレ別、駐車場有り")</f>
        <v>お風呂トイレ別、駐車場有り</v>
      </c>
      <c r="AE334" s="6" t="str">
        <f aca="false">IFERROR(__xludf.dummyfunction("""COMPUTED_VALUE"""),"確認しました。")</f>
        <v>確認しました。</v>
      </c>
      <c r="AF334" s="6" t="str">
        <f aca="false">IFERROR(__xludf.dummyfunction("""COMPUTED_VALUE"""),"社宅基準の内容について確認しました")</f>
        <v>社宅基準の内容について確認しました</v>
      </c>
      <c r="AG334" s="6" t="str">
        <f aca="false">IFERROR(__xludf.dummyfunction("""COMPUTED_VALUE"""),"入居のしおりの内容についてご確認しました")</f>
        <v>入居のしおりの内容についてご確認しました</v>
      </c>
      <c r="AH334" s="6" t="str">
        <f aca="false">IFERROR(__xludf.dummyfunction("""COMPUTED_VALUE"""),"確認しました")</f>
        <v>確認しました</v>
      </c>
      <c r="AI334" s="6"/>
      <c r="AJ334" s="6" t="str">
        <v/>
      </c>
      <c r="AK334" s="6" t="str">
        <v/>
      </c>
      <c r="AL334" s="6" t="str">
        <v/>
      </c>
      <c r="AM334" s="6" t="str">
        <v/>
      </c>
      <c r="AN334" s="6" t="n">
        <f aca="false">TRUE()</f>
        <v>1</v>
      </c>
    </row>
    <row r="335" customFormat="false" ht="52.5" hidden="false" customHeight="true" outlineLevel="0" collapsed="false">
      <c r="A335" s="6" t="str">
        <f aca="false">IFERROR(__xludf.dummyfunction("""COMPUTED_VALUE"""),"2026/03/11 18:42:36")</f>
        <v>2026/03/11 18:42:36</v>
      </c>
      <c r="B335" s="6"/>
      <c r="C335" s="6" t="str">
        <f aca="false">IFERROR(__xludf.dummyfunction("""COMPUTED_VALUE"""),"71207")</f>
        <v>71207</v>
      </c>
      <c r="D335" s="6"/>
      <c r="E335" s="6"/>
      <c r="F335" s="6"/>
      <c r="G335" s="6" t="str">
        <f aca="false">IFERROR(__xludf.dummyfunction("""COMPUTED_VALUE"""),"2026/03/27")</f>
        <v>2026/03/27</v>
      </c>
      <c r="H335" s="6" t="str">
        <f aca="false">IFERROR(__xludf.dummyfunction("""COMPUTED_VALUE"""),"必要")</f>
        <v>必要</v>
      </c>
      <c r="I335" s="6" t="str">
        <f aca="false">IFERROR(__xludf.dummyfunction("""COMPUTED_VALUE"""),"男性")</f>
        <v>男性</v>
      </c>
      <c r="J335" s="6" t="str">
        <f aca="false">IFERROR(__xludf.dummyfunction("""COMPUTED_VALUE"""),"中国")</f>
        <v>中国</v>
      </c>
      <c r="K335" s="6" t="str">
        <f aca="false">IFERROR(__xludf.dummyfunction("""COMPUTED_VALUE"""),"20")</f>
        <v>20</v>
      </c>
      <c r="L335" s="6" t="str">
        <f aca="false">IFERROR(__xludf.dummyfunction("""COMPUTED_VALUE"""),"単身用冷蔵庫、洗濯機、乾燥機、テレビ、コンピューター、コンロ、エアコン")</f>
        <v>単身用冷蔵庫、洗濯機、乾燥機、テレビ、コンピューター、コンロ、エアコン</v>
      </c>
      <c r="M335" s="6" t="str">
        <f aca="false">IFERROR(__xludf.dummyfunction("""COMPUTED_VALUE"""),"食卓、机×2、学習机、テレビ棚、本棚、食器棚、ソファー、椅子、ベッド、")</f>
        <v>食卓、机×2、学習机、テレビ棚、本棚、食器棚、ソファー、椅子、ベッド、</v>
      </c>
      <c r="N335" s="6" t="str">
        <f aca="false">IFERROR(__xludf.dummyfunction("""COMPUTED_VALUE"""),"服、ハンガー、食器、自転車、ギター、電子ピアノ、扇風機")</f>
        <v>服、ハンガー、食器、自転車、ギター、電子ピアノ、扇風機</v>
      </c>
      <c r="O335" s="6" t="str">
        <f aca="false">IFERROR(__xludf.dummyfunction("""COMPUTED_VALUE"""),"必要")</f>
        <v>必要</v>
      </c>
      <c r="P335" s="6" t="str">
        <f aca="false">IFERROR(__xludf.dummyfunction("""COMPUTED_VALUE"""),"クロス自転車")</f>
        <v>クロス自転車</v>
      </c>
      <c r="Q335" s="6" t="str">
        <f aca="false">IFERROR(__xludf.dummyfunction("""COMPUTED_VALUE"""),"未知")</f>
        <v>未知</v>
      </c>
      <c r="R335" s="6" t="str">
        <f aca="false">IFERROR(__xludf.dummyfunction("""COMPUTED_VALUE"""),"あお")</f>
        <v>あお</v>
      </c>
      <c r="S335" s="6" t="str">
        <f aca="false">IFERROR(__xludf.dummyfunction("""COMPUTED_VALUE"""),"家具家電なし社宅")</f>
        <v>家具家電なし社宅</v>
      </c>
      <c r="T335" s="6" t="str">
        <f aca="false">IFERROR(__xludf.dummyfunction("""COMPUTED_VALUE"""),"利用しない")</f>
        <v>利用しない</v>
      </c>
      <c r="U335" s="6"/>
      <c r="V335" s="6" t="str">
        <f aca="false">IFERROR(__xludf.dummyfunction("""COMPUTED_VALUE"""),"徒歩, 自動車, 電車")</f>
        <v>徒歩, 自動車, 電車</v>
      </c>
      <c r="W335" s="6"/>
      <c r="X335" s="6" t="str">
        <f aca="false">IFERROR(__xludf.dummyfunction("""COMPUTED_VALUE"""),"ご自身で契約中の物件")</f>
        <v>ご自身で契約中の物件</v>
      </c>
      <c r="Y335" s="6"/>
      <c r="Z335" s="6" t="str">
        <f aca="false">IFERROR(__xludf.dummyfunction("""COMPUTED_VALUE"""),"希望しない")</f>
        <v>希望しない</v>
      </c>
      <c r="AA335" s="6" t="str">
        <f aca="false">IFERROR(__xludf.dummyfunction("""COMPUTED_VALUE"""),"単身")</f>
        <v>単身</v>
      </c>
      <c r="AB335" s="6"/>
      <c r="AC335" s="6"/>
      <c r="AD335" s="6" t="str">
        <f aca="false">IFERROR(__xludf.dummyfunction("""COMPUTED_VALUE"""),"しおりによると、家賃の上限は5万円までで、超過分は部長承認得た場合に限り全額負担になる。こちらは広い部屋で暮らしたい所存なので、5万円以上の部屋も探してほしい。
現在個人で契約している部屋は専用面積が55 m^2で、この面積を目安にして探してほしい。下諏訪駅の周り、もしくはJR中央本線で下諏訪駅まで１０分くらいの駅を中心に探してほしい。最寄り駅までの徒歩時間は15分が望ましい。
部屋の要望を追加することがあるかもしれないので、ある場合はまたメールにて連絡させていただきます。")</f>
        <v>しおりによると、家賃の上限は5万円までで、超過分は部長承認得た場合に限り全額負担になる。こちらは広い部屋で暮らしたい所存なので、5万円以上の部屋も探してほしい。
現在個人で契約している部屋は専用面積が55 m^2で、この面積を目安にして探してほしい。下諏訪駅の周り、もしくはJR中央本線で下諏訪駅まで１０分くらいの駅を中心に探してほしい。最寄り駅までの徒歩時間は15分が望ましい。
部屋の要望を追加することがあるかもしれないので、ある場合はまたメールにて連絡させていただきます。</v>
      </c>
      <c r="AE335" s="6" t="str">
        <f aca="false">IFERROR(__xludf.dummyfunction("""COMPUTED_VALUE"""),"確認しました。, 緊急連絡先は母国にいる父の情報を記入したが、日本にいる緊急連絡先が必要な場合は留学生の友に変更できる。需要があればご連絡ください。")</f>
        <v>確認しました。, 緊急連絡先は母国にいる父の情報を記入したが、日本にいる緊急連絡先が必要な場合は留学生の友に変更できる。需要があればご連絡ください。</v>
      </c>
      <c r="AF335" s="6" t="str">
        <f aca="false">IFERROR(__xludf.dummyfunction("""COMPUTED_VALUE"""),"社宅基準の内容について確認しました")</f>
        <v>社宅基準の内容について確認しました</v>
      </c>
      <c r="AG335" s="6" t="str">
        <f aca="false">IFERROR(__xludf.dummyfunction("""COMPUTED_VALUE"""),"入居のしおりの内容についてご確認しました")</f>
        <v>入居のしおりの内容についてご確認しました</v>
      </c>
      <c r="AH335" s="6" t="str">
        <f aca="false">IFERROR(__xludf.dummyfunction("""COMPUTED_VALUE"""),"確認しました")</f>
        <v>確認しました</v>
      </c>
      <c r="AI335" s="6"/>
      <c r="AJ335" s="6" t="str">
        <v/>
      </c>
      <c r="AK335" s="6" t="str">
        <v/>
      </c>
      <c r="AL335" s="6" t="str">
        <v/>
      </c>
      <c r="AM335" s="6" t="str">
        <v/>
      </c>
      <c r="AN335" s="6" t="n">
        <f aca="false">FALSE()</f>
        <v>0</v>
      </c>
    </row>
    <row r="336" customFormat="false" ht="52.5" hidden="false" customHeight="true" outlineLevel="0" collapsed="false">
      <c r="A336" s="6" t="str">
        <f aca="false">IFERROR(__xludf.dummyfunction("""COMPUTED_VALUE"""),"2026/03/11 19:01:39")</f>
        <v>2026/03/11 19:01:39</v>
      </c>
      <c r="B336" s="6"/>
      <c r="C336" s="6" t="str">
        <f aca="false">IFERROR(__xludf.dummyfunction("""COMPUTED_VALUE"""),"51229")</f>
        <v>51229</v>
      </c>
      <c r="D336" s="6"/>
      <c r="E336" s="6"/>
      <c r="F336" s="6"/>
      <c r="G336" s="6" t="str">
        <f aca="false">IFERROR(__xludf.dummyfunction("""COMPUTED_VALUE"""),"2026/03/27")</f>
        <v>2026/03/27</v>
      </c>
      <c r="H336" s="6" t="str">
        <f aca="false">IFERROR(__xludf.dummyfunction("""COMPUTED_VALUE"""),"必要")</f>
        <v>必要</v>
      </c>
      <c r="I336" s="6" t="str">
        <f aca="false">IFERROR(__xludf.dummyfunction("""COMPUTED_VALUE"""),"男性")</f>
        <v>男性</v>
      </c>
      <c r="J336" s="6" t="str">
        <f aca="false">IFERROR(__xludf.dummyfunction("""COMPUTED_VALUE"""),"日本")</f>
        <v>日本</v>
      </c>
      <c r="K336" s="6" t="str">
        <f aca="false">IFERROR(__xludf.dummyfunction("""COMPUTED_VALUE"""),"15")</f>
        <v>15</v>
      </c>
      <c r="L336" s="6" t="str">
        <f aca="false">IFERROR(__xludf.dummyfunction("""COMPUTED_VALUE"""),"24インチサイズモニター(2枚)、デスクトップPC、電子レンジ、炊飯器")</f>
        <v>24インチサイズモニター(2枚)、デスクトップPC、電子レンジ、炊飯器</v>
      </c>
      <c r="M336" s="6" t="str">
        <f aca="false">IFERROR(__xludf.dummyfunction("""COMPUTED_VALUE"""),"椅子、スチールラック（75cm.35cm.125cm)、PCラック(30cm.60cm.70cm)")</f>
        <v>椅子、スチールラック（75cm.35cm.125cm)、PCラック(30cm.60cm.70cm)</v>
      </c>
      <c r="N336" s="6"/>
      <c r="O336" s="6" t="str">
        <f aca="false">IFERROR(__xludf.dummyfunction("""COMPUTED_VALUE"""),"不要")</f>
        <v>不要</v>
      </c>
      <c r="P336" s="6"/>
      <c r="Q336" s="6"/>
      <c r="R336" s="6"/>
      <c r="S336" s="6" t="str">
        <f aca="false">IFERROR(__xludf.dummyfunction("""COMPUTED_VALUE"""),"家具家電なし社宅")</f>
        <v>家具家電なし社宅</v>
      </c>
      <c r="T336" s="6" t="str">
        <f aca="false">IFERROR(__xludf.dummyfunction("""COMPUTED_VALUE"""),"利用しない")</f>
        <v>利用しない</v>
      </c>
      <c r="U336" s="6"/>
      <c r="V336" s="6" t="str">
        <f aca="false">IFERROR(__xludf.dummyfunction("""COMPUTED_VALUE"""),"電車")</f>
        <v>電車</v>
      </c>
      <c r="W336" s="6"/>
      <c r="X336" s="6" t="str">
        <f aca="false">IFERROR(__xludf.dummyfunction("""COMPUTED_VALUE"""),"実家")</f>
        <v>実家</v>
      </c>
      <c r="Y336" s="6"/>
      <c r="Z336" s="6" t="str">
        <f aca="false">IFERROR(__xludf.dummyfunction("""COMPUTED_VALUE"""),"希望する")</f>
        <v>希望する</v>
      </c>
      <c r="AA336" s="6" t="str">
        <f aca="false">IFERROR(__xludf.dummyfunction("""COMPUTED_VALUE"""),"単身")</f>
        <v>単身</v>
      </c>
      <c r="AB336" s="6"/>
      <c r="AC336" s="6"/>
      <c r="AD336" s="6" t="str">
        <f aca="false">IFERROR(__xludf.dummyfunction("""COMPUTED_VALUE"""),"光回線を利用したいので、開通工事が可能な物件を探しています。
また、ユニットバスは避けていただけると幸いです。")</f>
        <v>光回線を利用したいので、開通工事が可能な物件を探しています。
また、ユニットバスは避けていただけると幸いです。</v>
      </c>
      <c r="AE336" s="6" t="str">
        <f aca="false">IFERROR(__xludf.dummyfunction("""COMPUTED_VALUE"""),"確認しました。")</f>
        <v>確認しました。</v>
      </c>
      <c r="AF336" s="6" t="str">
        <f aca="false">IFERROR(__xludf.dummyfunction("""COMPUTED_VALUE"""),"社宅基準の内容について確認しました")</f>
        <v>社宅基準の内容について確認しました</v>
      </c>
      <c r="AG336" s="6" t="str">
        <f aca="false">IFERROR(__xludf.dummyfunction("""COMPUTED_VALUE"""),"入居のしおりの内容についてご確認しました")</f>
        <v>入居のしおりの内容についてご確認しました</v>
      </c>
      <c r="AH336" s="6" t="str">
        <f aca="false">IFERROR(__xludf.dummyfunction("""COMPUTED_VALUE"""),"確認しました")</f>
        <v>確認しました</v>
      </c>
      <c r="AI336" s="6"/>
      <c r="AJ336" s="6" t="str">
        <v/>
      </c>
      <c r="AK336" s="6" t="str">
        <v/>
      </c>
      <c r="AL336" s="6" t="str">
        <v/>
      </c>
      <c r="AM336" s="6" t="str">
        <v/>
      </c>
      <c r="AN336" s="6" t="n">
        <f aca="false">TRUE()</f>
        <v>1</v>
      </c>
    </row>
    <row r="337" customFormat="false" ht="52.5" hidden="false" customHeight="true" outlineLevel="0" collapsed="false">
      <c r="A337" s="6" t="str">
        <f aca="false">IFERROR(__xludf.dummyfunction("""COMPUTED_VALUE"""),"2026/03/11 20:31:12")</f>
        <v>2026/03/11 20:31:12</v>
      </c>
      <c r="B337" s="6"/>
      <c r="C337" s="6" t="str">
        <f aca="false">IFERROR(__xludf.dummyfunction("""COMPUTED_VALUE"""),"71189")</f>
        <v>71189</v>
      </c>
      <c r="D337" s="6"/>
      <c r="E337" s="6"/>
      <c r="F337" s="6"/>
      <c r="G337" s="6" t="str">
        <f aca="false">IFERROR(__xludf.dummyfunction("""COMPUTED_VALUE"""),"2026/03/25")</f>
        <v>2026/03/25</v>
      </c>
      <c r="H337" s="6" t="str">
        <f aca="false">IFERROR(__xludf.dummyfunction("""COMPUTED_VALUE"""),"必要")</f>
        <v>必要</v>
      </c>
      <c r="I337" s="6" t="str">
        <f aca="false">IFERROR(__xludf.dummyfunction("""COMPUTED_VALUE"""),"男性")</f>
        <v>男性</v>
      </c>
      <c r="J337" s="6" t="str">
        <f aca="false">IFERROR(__xludf.dummyfunction("""COMPUTED_VALUE"""),"日本")</f>
        <v>日本</v>
      </c>
      <c r="K337" s="6" t="str">
        <f aca="false">IFERROR(__xludf.dummyfunction("""COMPUTED_VALUE"""),"20")</f>
        <v>20</v>
      </c>
      <c r="L337" s="6" t="str">
        <f aca="false">IFERROR(__xludf.dummyfunction("""COMPUTED_VALUE"""),"冷蔵庫(単身用)、洗濯機、電子レンジ、トースター、オーブントースター、炊飯器、ケトル、扇風機、パソコン、モニター、掃除機")</f>
        <v>冷蔵庫(単身用)、洗濯機、電子レンジ、トースター、オーブントースター、炊飯器、ケトル、扇風機、パソコン、モニター、掃除機</v>
      </c>
      <c r="M337" s="6" t="str">
        <f aca="false">IFERROR(__xludf.dummyfunction("""COMPUTED_VALUE"""),"ベット(シングルサイズ)、本棚(横幅40cm.奥行き30cm高さ150cm)、机(横幅100cm.奥行き70cm.高さ60cm)、ラック、折り畳み机、ゲーミングチェア、収納ケース")</f>
        <v>ベット(シングルサイズ)、本棚(横幅40cm.奥行き30cm高さ150cm)、机(横幅100cm.奥行き70cm.高さ60cm)、ラック、折り畳み机、ゲーミングチェア、収納ケース</v>
      </c>
      <c r="N337" s="6"/>
      <c r="O337" s="6" t="str">
        <f aca="false">IFERROR(__xludf.dummyfunction("""COMPUTED_VALUE"""),"不要")</f>
        <v>不要</v>
      </c>
      <c r="P337" s="6"/>
      <c r="Q337" s="6"/>
      <c r="R337" s="6"/>
      <c r="S337" s="6" t="str">
        <f aca="false">IFERROR(__xludf.dummyfunction("""COMPUTED_VALUE"""),"家具家電なし社宅")</f>
        <v>家具家電なし社宅</v>
      </c>
      <c r="T337" s="6" t="str">
        <f aca="false">IFERROR(__xludf.dummyfunction("""COMPUTED_VALUE"""),"利用しない")</f>
        <v>利用しない</v>
      </c>
      <c r="U337" s="6"/>
      <c r="V337" s="6" t="str">
        <f aca="false">IFERROR(__xludf.dummyfunction("""COMPUTED_VALUE"""),"徒歩, 自転車, 電車")</f>
        <v>徒歩, 自転車, 電車</v>
      </c>
      <c r="W337" s="6"/>
      <c r="X337" s="6" t="str">
        <f aca="false">IFERROR(__xludf.dummyfunction("""COMPUTED_VALUE"""),"ご自身で契約中の物件")</f>
        <v>ご自身で契約中の物件</v>
      </c>
      <c r="Y337" s="6"/>
      <c r="Z337" s="6" t="str">
        <f aca="false">IFERROR(__xludf.dummyfunction("""COMPUTED_VALUE"""),"希望する")</f>
        <v>希望する</v>
      </c>
      <c r="AA337" s="6" t="str">
        <f aca="false">IFERROR(__xludf.dummyfunction("""COMPUTED_VALUE"""),"単身")</f>
        <v>単身</v>
      </c>
      <c r="AB337" s="6"/>
      <c r="AC337" s="6"/>
      <c r="AD337" s="6" t="str">
        <f aca="false">IFERROR(__xludf.dummyfunction("""COMPUTED_VALUE"""),"もし社宅にエアコンが付いていないのであればエアコンがレンタルできるかどうか聞きたいです。")</f>
        <v>もし社宅にエアコンが付いていないのであればエアコンがレンタルできるかどうか聞きたいです。</v>
      </c>
      <c r="AE337" s="6" t="str">
        <f aca="false">IFERROR(__xludf.dummyfunction("""COMPUTED_VALUE"""),"確認しました。")</f>
        <v>確認しました。</v>
      </c>
      <c r="AF337" s="6" t="str">
        <f aca="false">IFERROR(__xludf.dummyfunction("""COMPUTED_VALUE"""),"社宅基準の内容について確認しました")</f>
        <v>社宅基準の内容について確認しました</v>
      </c>
      <c r="AG337" s="6" t="str">
        <f aca="false">IFERROR(__xludf.dummyfunction("""COMPUTED_VALUE"""),"入居のしおりの内容についてご確認しました")</f>
        <v>入居のしおりの内容についてご確認しました</v>
      </c>
      <c r="AH337" s="6" t="str">
        <f aca="false">IFERROR(__xludf.dummyfunction("""COMPUTED_VALUE"""),"確認しました")</f>
        <v>確認しました</v>
      </c>
      <c r="AI337" s="6"/>
      <c r="AJ337" s="6" t="str">
        <v/>
      </c>
      <c r="AK337" s="6" t="str">
        <v/>
      </c>
      <c r="AL337" s="6" t="str">
        <v/>
      </c>
      <c r="AM337" s="6" t="str">
        <v/>
      </c>
      <c r="AN337" s="6" t="n">
        <f aca="false">TRUE()</f>
        <v>1</v>
      </c>
    </row>
    <row r="338" customFormat="false" ht="52.5" hidden="false" customHeight="true" outlineLevel="0" collapsed="false">
      <c r="A338" s="6" t="str">
        <f aca="false">IFERROR(__xludf.dummyfunction("""COMPUTED_VALUE"""),"2026/03/11 22:46:51")</f>
        <v>2026/03/11 22:46:51</v>
      </c>
      <c r="B338" s="6"/>
      <c r="C338" s="6" t="str">
        <f aca="false">IFERROR(__xludf.dummyfunction("""COMPUTED_VALUE"""),"71128")</f>
        <v>71128</v>
      </c>
      <c r="D338" s="6"/>
      <c r="E338" s="6"/>
      <c r="F338" s="6"/>
      <c r="G338" s="6" t="str">
        <f aca="false">IFERROR(__xludf.dummyfunction("""COMPUTED_VALUE"""),"2026/03/31")</f>
        <v>2026/03/31</v>
      </c>
      <c r="H338" s="6" t="str">
        <f aca="false">IFERROR(__xludf.dummyfunction("""COMPUTED_VALUE"""),"必要")</f>
        <v>必要</v>
      </c>
      <c r="I338" s="6" t="str">
        <f aca="false">IFERROR(__xludf.dummyfunction("""COMPUTED_VALUE"""),"男性")</f>
        <v>男性</v>
      </c>
      <c r="J338" s="6" t="str">
        <f aca="false">IFERROR(__xludf.dummyfunction("""COMPUTED_VALUE"""),"日本")</f>
        <v>日本</v>
      </c>
      <c r="K338" s="6" t="str">
        <f aca="false">IFERROR(__xludf.dummyfunction("""COMPUTED_VALUE"""),"8")</f>
        <v>8</v>
      </c>
      <c r="L338" s="6" t="str">
        <f aca="false">IFERROR(__xludf.dummyfunction("""COMPUTED_VALUE"""),"冷蔵庫2ドア単身用、洗濯機（60.60.80）")</f>
        <v>冷蔵庫2ドア単身用、洗濯機（60.60.80）</v>
      </c>
      <c r="M338" s="6" t="str">
        <f aca="false">IFERROR(__xludf.dummyfunction("""COMPUTED_VALUE"""),"机（120.90.70）ひきだし（50.70.40）ベッド（シングル）")</f>
        <v>机（120.90.70）ひきだし（50.70.40）ベッド（シングル）</v>
      </c>
      <c r="N338" s="6"/>
      <c r="O338" s="6" t="str">
        <f aca="false">IFERROR(__xludf.dummyfunction("""COMPUTED_VALUE"""),"不要")</f>
        <v>不要</v>
      </c>
      <c r="P338" s="6"/>
      <c r="Q338" s="6"/>
      <c r="R338" s="6"/>
      <c r="S338" s="6" t="str">
        <f aca="false">IFERROR(__xludf.dummyfunction("""COMPUTED_VALUE"""),"家具家電なし社宅")</f>
        <v>家具家電なし社宅</v>
      </c>
      <c r="T338" s="6" t="str">
        <f aca="false">IFERROR(__xludf.dummyfunction("""COMPUTED_VALUE"""),"利用しない")</f>
        <v>利用しない</v>
      </c>
      <c r="U338" s="6"/>
      <c r="V338" s="6" t="str">
        <f aca="false">IFERROR(__xludf.dummyfunction("""COMPUTED_VALUE"""),"徒歩")</f>
        <v>徒歩</v>
      </c>
      <c r="W338" s="6"/>
      <c r="X338" s="6" t="str">
        <f aca="false">IFERROR(__xludf.dummyfunction("""COMPUTED_VALUE"""),"株式会社ビーネックステクノロジーズの社宅")</f>
        <v>株式会社ビーネックステクノロジーズの社宅</v>
      </c>
      <c r="Y338" s="6" t="str">
        <f aca="false">IFERROR(__xludf.dummyfunction("""COMPUTED_VALUE"""),"利用なし")</f>
        <v>利用なし</v>
      </c>
      <c r="Z338" s="6" t="str">
        <f aca="false">IFERROR(__xludf.dummyfunction("""COMPUTED_VALUE"""),"希望する")</f>
        <v>希望する</v>
      </c>
      <c r="AA338" s="6" t="str">
        <f aca="false">IFERROR(__xludf.dummyfunction("""COMPUTED_VALUE"""),"単身")</f>
        <v>単身</v>
      </c>
      <c r="AB338" s="6"/>
      <c r="AC338" s="6"/>
      <c r="AD338" s="6" t="str">
        <f aca="false">IFERROR(__xludf.dummyfunction("""COMPUTED_VALUE"""),"インターネット回線良好（優先度高い）
風呂トイレべつ（優先度高い）
壁があつい（となりの声がきこえない）（優先度低）")</f>
        <v>インターネット回線良好（優先度高い）
風呂トイレべつ（優先度高い）
壁があつい（となりの声がきこえない）（優先度低）</v>
      </c>
      <c r="AE338" s="6" t="str">
        <f aca="false">IFERROR(__xludf.dummyfunction("""COMPUTED_VALUE"""),"確認しました。")</f>
        <v>確認しました。</v>
      </c>
      <c r="AF338" s="6" t="str">
        <f aca="false">IFERROR(__xludf.dummyfunction("""COMPUTED_VALUE"""),"社宅基準の内容について確認しました")</f>
        <v>社宅基準の内容について確認しました</v>
      </c>
      <c r="AG338" s="6" t="str">
        <f aca="false">IFERROR(__xludf.dummyfunction("""COMPUTED_VALUE"""),"入居のしおりの内容についてご確認しました")</f>
        <v>入居のしおりの内容についてご確認しました</v>
      </c>
      <c r="AH338" s="6" t="str">
        <f aca="false">IFERROR(__xludf.dummyfunction("""COMPUTED_VALUE"""),"確認しました")</f>
        <v>確認しました</v>
      </c>
      <c r="AI338" s="6"/>
      <c r="AJ338" s="6" t="str">
        <v/>
      </c>
      <c r="AK338" s="6" t="str">
        <v/>
      </c>
      <c r="AL338" s="6" t="str">
        <v/>
      </c>
      <c r="AM338" s="6" t="str">
        <v/>
      </c>
      <c r="AN338" s="6" t="n">
        <f aca="false">FALSE()</f>
        <v>0</v>
      </c>
    </row>
    <row r="339" customFormat="false" ht="52.5" hidden="false" customHeight="true" outlineLevel="0" collapsed="false">
      <c r="A339" s="6" t="str">
        <f aca="false">IFERROR(__xludf.dummyfunction("""COMPUTED_VALUE"""),"2026/03/11 22:54:15")</f>
        <v>2026/03/11 22:54:15</v>
      </c>
      <c r="B339" s="6"/>
      <c r="C339" s="6" t="str">
        <f aca="false">IFERROR(__xludf.dummyfunction("""COMPUTED_VALUE"""),"71179")</f>
        <v>71179</v>
      </c>
      <c r="D339" s="6"/>
      <c r="E339" s="6"/>
      <c r="F339" s="6"/>
      <c r="G339" s="6" t="str">
        <f aca="false">IFERROR(__xludf.dummyfunction("""COMPUTED_VALUE"""),"2026/03/30")</f>
        <v>2026/03/30</v>
      </c>
      <c r="H339" s="6" t="str">
        <f aca="false">IFERROR(__xludf.dummyfunction("""COMPUTED_VALUE"""),"必要")</f>
        <v>必要</v>
      </c>
      <c r="I339" s="6" t="str">
        <f aca="false">IFERROR(__xludf.dummyfunction("""COMPUTED_VALUE"""),"男性")</f>
        <v>男性</v>
      </c>
      <c r="J339" s="6" t="str">
        <f aca="false">IFERROR(__xludf.dummyfunction("""COMPUTED_VALUE"""),"日本")</f>
        <v>日本</v>
      </c>
      <c r="K339" s="6" t="str">
        <f aca="false">IFERROR(__xludf.dummyfunction("""COMPUTED_VALUE"""),"20")</f>
        <v>20</v>
      </c>
      <c r="L339" s="6" t="str">
        <f aca="false">IFERROR(__xludf.dummyfunction("""COMPUTED_VALUE"""),"冷蔵庫(2ドア)、洗濯機、電子レンジ、掃除機")</f>
        <v>冷蔵庫(2ドア)、洗濯機、電子レンジ、掃除機</v>
      </c>
      <c r="M339" s="6" t="str">
        <f aca="false">IFERROR(__xludf.dummyfunction("""COMPUTED_VALUE"""),"折りたたみ椅子、メタルラック、ブック収納ケース、衣類収納ケース、３段収納ケース")</f>
        <v>折りたたみ椅子、メタルラック、ブック収納ケース、衣類収納ケース、３段収納ケース</v>
      </c>
      <c r="N339" s="6" t="str">
        <f aca="false">IFERROR(__xludf.dummyfunction("""COMPUTED_VALUE"""),"(無し)")</f>
        <v>(無し)</v>
      </c>
      <c r="O339" s="6" t="str">
        <f aca="false">IFERROR(__xludf.dummyfunction("""COMPUTED_VALUE"""),"不要")</f>
        <v>不要</v>
      </c>
      <c r="P339" s="6"/>
      <c r="Q339" s="6"/>
      <c r="R339" s="6"/>
      <c r="S339" s="6" t="str">
        <f aca="false">IFERROR(__xludf.dummyfunction("""COMPUTED_VALUE"""),"家具家電なし社宅")</f>
        <v>家具家電なし社宅</v>
      </c>
      <c r="T339" s="6" t="str">
        <f aca="false">IFERROR(__xludf.dummyfunction("""COMPUTED_VALUE"""),"利用しない")</f>
        <v>利用しない</v>
      </c>
      <c r="U339" s="6"/>
      <c r="V339" s="6" t="str">
        <f aca="false">IFERROR(__xludf.dummyfunction("""COMPUTED_VALUE"""),"徒歩, 電車, バス, 社用バス")</f>
        <v>徒歩, 電車, バス, 社用バス</v>
      </c>
      <c r="W339" s="6"/>
      <c r="X339" s="6" t="str">
        <f aca="false">IFERROR(__xludf.dummyfunction("""COMPUTED_VALUE"""),"株式会社ビーネックステクノロジーズの社宅")</f>
        <v>株式会社ビーネックステクノロジーズの社宅</v>
      </c>
      <c r="Y339" s="6" t="str">
        <f aca="false">IFERROR(__xludf.dummyfunction("""COMPUTED_VALUE"""),"利用なし")</f>
        <v>利用なし</v>
      </c>
      <c r="Z339" s="6" t="str">
        <f aca="false">IFERROR(__xludf.dummyfunction("""COMPUTED_VALUE"""),"希望する")</f>
        <v>希望する</v>
      </c>
      <c r="AA339" s="6" t="str">
        <f aca="false">IFERROR(__xludf.dummyfunction("""COMPUTED_VALUE"""),"単身")</f>
        <v>単身</v>
      </c>
      <c r="AB339" s="6"/>
      <c r="AC339" s="6"/>
      <c r="AD339" s="6" t="str">
        <f aca="false">IFERROR(__xludf.dummyfunction("""COMPUTED_VALUE"""),"Wi-Fi付き物件")</f>
        <v>Wi-Fi付き物件</v>
      </c>
      <c r="AE339" s="6" t="str">
        <f aca="false">IFERROR(__xludf.dummyfunction("""COMPUTED_VALUE"""),"確認しました。")</f>
        <v>確認しました。</v>
      </c>
      <c r="AF339" s="6" t="str">
        <f aca="false">IFERROR(__xludf.dummyfunction("""COMPUTED_VALUE"""),"社宅基準の内容について確認しました")</f>
        <v>社宅基準の内容について確認しました</v>
      </c>
      <c r="AG339" s="6" t="str">
        <f aca="false">IFERROR(__xludf.dummyfunction("""COMPUTED_VALUE"""),"入居のしおりの内容についてご確認しました")</f>
        <v>入居のしおりの内容についてご確認しました</v>
      </c>
      <c r="AH339" s="6" t="str">
        <f aca="false">IFERROR(__xludf.dummyfunction("""COMPUTED_VALUE"""),"確認しました")</f>
        <v>確認しました</v>
      </c>
      <c r="AI339" s="6"/>
      <c r="AJ339" s="6" t="str">
        <v/>
      </c>
      <c r="AK339" s="6" t="str">
        <v/>
      </c>
      <c r="AL339" s="6" t="str">
        <v/>
      </c>
      <c r="AM339" s="6" t="str">
        <v/>
      </c>
      <c r="AN339" s="6" t="n">
        <f aca="false">TRUE()</f>
        <v>1</v>
      </c>
    </row>
    <row r="340" customFormat="false" ht="52.5" hidden="false" customHeight="true" outlineLevel="0" collapsed="false">
      <c r="A340" s="6" t="str">
        <f aca="false">IFERROR(__xludf.dummyfunction("""COMPUTED_VALUE"""),"2026/03/11 23:00:54")</f>
        <v>2026/03/11 23:00:54</v>
      </c>
      <c r="B340" s="6"/>
      <c r="C340" s="6" t="str">
        <f aca="false">IFERROR(__xludf.dummyfunction("""COMPUTED_VALUE"""),"71179")</f>
        <v>71179</v>
      </c>
      <c r="D340" s="6"/>
      <c r="E340" s="6"/>
      <c r="F340" s="6"/>
      <c r="G340" s="6" t="str">
        <f aca="false">IFERROR(__xludf.dummyfunction("""COMPUTED_VALUE"""),"2026/03/30")</f>
        <v>2026/03/30</v>
      </c>
      <c r="H340" s="6" t="str">
        <f aca="false">IFERROR(__xludf.dummyfunction("""COMPUTED_VALUE"""),"必要")</f>
        <v>必要</v>
      </c>
      <c r="I340" s="6" t="str">
        <f aca="false">IFERROR(__xludf.dummyfunction("""COMPUTED_VALUE"""),"男性")</f>
        <v>男性</v>
      </c>
      <c r="J340" s="6" t="str">
        <f aca="false">IFERROR(__xludf.dummyfunction("""COMPUTED_VALUE"""),"日本")</f>
        <v>日本</v>
      </c>
      <c r="K340" s="6" t="str">
        <f aca="false">IFERROR(__xludf.dummyfunction("""COMPUTED_VALUE"""),"20")</f>
        <v>20</v>
      </c>
      <c r="L340" s="6" t="str">
        <f aca="false">IFERROR(__xludf.dummyfunction("""COMPUTED_VALUE"""),"冷蔵庫(2ドア)、洗濯機、電子レンジ、掃除機")</f>
        <v>冷蔵庫(2ドア)、洗濯機、電子レンジ、掃除機</v>
      </c>
      <c r="M340" s="6" t="str">
        <f aca="false">IFERROR(__xludf.dummyfunction("""COMPUTED_VALUE"""),"折りたたみ椅子、メタルラック、ブック収納ケース、衣類収納ケース、３段収納ケース")</f>
        <v>折りたたみ椅子、メタルラック、ブック収納ケース、衣類収納ケース、３段収納ケース</v>
      </c>
      <c r="N340" s="6"/>
      <c r="O340" s="6" t="str">
        <f aca="false">IFERROR(__xludf.dummyfunction("""COMPUTED_VALUE"""),"不要")</f>
        <v>不要</v>
      </c>
      <c r="P340" s="6"/>
      <c r="Q340" s="6"/>
      <c r="R340" s="6"/>
      <c r="S340" s="6" t="str">
        <f aca="false">IFERROR(__xludf.dummyfunction("""COMPUTED_VALUE"""),"家具家電なし社宅")</f>
        <v>家具家電なし社宅</v>
      </c>
      <c r="T340" s="6" t="str">
        <f aca="false">IFERROR(__xludf.dummyfunction("""COMPUTED_VALUE"""),"利用しない")</f>
        <v>利用しない</v>
      </c>
      <c r="U340" s="6"/>
      <c r="V340" s="6" t="str">
        <f aca="false">IFERROR(__xludf.dummyfunction("""COMPUTED_VALUE"""),"徒歩, 電車, バス, 社用バス")</f>
        <v>徒歩, 電車, バス, 社用バス</v>
      </c>
      <c r="W340" s="6"/>
      <c r="X340" s="6" t="str">
        <f aca="false">IFERROR(__xludf.dummyfunction("""COMPUTED_VALUE"""),"株式会社ビーネックステクノロジーズの社宅")</f>
        <v>株式会社ビーネックステクノロジーズの社宅</v>
      </c>
      <c r="Y340" s="6" t="str">
        <f aca="false">IFERROR(__xludf.dummyfunction("""COMPUTED_VALUE"""),"利用なし")</f>
        <v>利用なし</v>
      </c>
      <c r="Z340" s="6" t="str">
        <f aca="false">IFERROR(__xludf.dummyfunction("""COMPUTED_VALUE"""),"希望する")</f>
        <v>希望する</v>
      </c>
      <c r="AA340" s="6" t="str">
        <f aca="false">IFERROR(__xludf.dummyfunction("""COMPUTED_VALUE"""),"単身")</f>
        <v>単身</v>
      </c>
      <c r="AB340" s="6"/>
      <c r="AC340" s="6"/>
      <c r="AD340" s="6" t="str">
        <f aca="false">IFERROR(__xludf.dummyfunction("""COMPUTED_VALUE"""),"Wi-Fi付きだと在宅勤務が捗ります")</f>
        <v>Wi-Fi付きだと在宅勤務が捗ります</v>
      </c>
      <c r="AE340" s="6" t="str">
        <f aca="false">IFERROR(__xludf.dummyfunction("""COMPUTED_VALUE"""),"確認しました。")</f>
        <v>確認しました。</v>
      </c>
      <c r="AF340" s="6" t="str">
        <f aca="false">IFERROR(__xludf.dummyfunction("""COMPUTED_VALUE"""),"社宅基準の内容について確認しました")</f>
        <v>社宅基準の内容について確認しました</v>
      </c>
      <c r="AG340" s="6" t="str">
        <f aca="false">IFERROR(__xludf.dummyfunction("""COMPUTED_VALUE"""),"入居のしおりの内容についてご確認しました")</f>
        <v>入居のしおりの内容についてご確認しました</v>
      </c>
      <c r="AH340" s="6" t="str">
        <f aca="false">IFERROR(__xludf.dummyfunction("""COMPUTED_VALUE"""),"確認しました")</f>
        <v>確認しました</v>
      </c>
      <c r="AI340" s="6"/>
      <c r="AJ340" s="6" t="str">
        <v/>
      </c>
      <c r="AK340" s="6" t="str">
        <v/>
      </c>
      <c r="AL340" s="6" t="str">
        <v/>
      </c>
      <c r="AM340" s="6" t="str">
        <v/>
      </c>
      <c r="AN340" s="6" t="n">
        <f aca="false">FALSE()</f>
        <v>0</v>
      </c>
    </row>
    <row r="341" customFormat="false" ht="52.5" hidden="false" customHeight="true" outlineLevel="0" collapsed="false">
      <c r="A341" s="6" t="str">
        <f aca="false">IFERROR(__xludf.dummyfunction("""COMPUTED_VALUE"""),"2026/03/12 0:04:13")</f>
        <v>2026/03/12 0:04:13</v>
      </c>
      <c r="B341" s="6"/>
      <c r="C341" s="6" t="str">
        <f aca="false">IFERROR(__xludf.dummyfunction("""COMPUTED_VALUE"""),"71224")</f>
        <v>71224</v>
      </c>
      <c r="D341" s="6"/>
      <c r="E341" s="6"/>
      <c r="F341" s="6"/>
      <c r="G341" s="6" t="str">
        <f aca="false">IFERROR(__xludf.dummyfunction("""COMPUTED_VALUE"""),"2026/03/25")</f>
        <v>2026/03/25</v>
      </c>
      <c r="H341" s="6" t="str">
        <f aca="false">IFERROR(__xludf.dummyfunction("""COMPUTED_VALUE"""),"必要")</f>
        <v>必要</v>
      </c>
      <c r="I341" s="6" t="str">
        <f aca="false">IFERROR(__xludf.dummyfunction("""COMPUTED_VALUE"""),"男性")</f>
        <v>男性</v>
      </c>
      <c r="J341" s="6" t="str">
        <f aca="false">IFERROR(__xludf.dummyfunction("""COMPUTED_VALUE"""),"日本")</f>
        <v>日本</v>
      </c>
      <c r="K341" s="6" t="str">
        <f aca="false">IFERROR(__xludf.dummyfunction("""COMPUTED_VALUE"""),"10")</f>
        <v>10</v>
      </c>
      <c r="L341" s="6" t="str">
        <f aca="false">IFERROR(__xludf.dummyfunction("""COMPUTED_VALUE"""),"なし")</f>
        <v>なし</v>
      </c>
      <c r="M341" s="6" t="str">
        <f aca="false">IFERROR(__xludf.dummyfunction("""COMPUTED_VALUE"""),"洋服棚（70・40・70）、本棚（82・23.5・80）、机（120・55・72）")</f>
        <v>洋服棚（70・40・70）、本棚（82・23.5・80）、机（120・55・72）</v>
      </c>
      <c r="N341" s="6" t="str">
        <f aca="false">IFERROR(__xludf.dummyfunction("""COMPUTED_VALUE"""),"自転車、ベースギター2本")</f>
        <v>自転車、ベースギター2本</v>
      </c>
      <c r="O341" s="6" t="str">
        <f aca="false">IFERROR(__xludf.dummyfunction("""COMPUTED_VALUE"""),"不要")</f>
        <v>不要</v>
      </c>
      <c r="P341" s="6"/>
      <c r="Q341" s="6"/>
      <c r="R341" s="6"/>
      <c r="S341" s="6" t="str">
        <f aca="false">IFERROR(__xludf.dummyfunction("""COMPUTED_VALUE"""),"家具家電付き社宅")</f>
        <v>家具家電付き社宅</v>
      </c>
      <c r="T341" s="6" t="str">
        <f aca="false">IFERROR(__xludf.dummyfunction("""COMPUTED_VALUE"""),"利用しない")</f>
        <v>利用しない</v>
      </c>
      <c r="U341" s="6"/>
      <c r="V341" s="6" t="str">
        <f aca="false">IFERROR(__xludf.dummyfunction("""COMPUTED_VALUE"""),"自転車, 電車, バス")</f>
        <v>自転車, 電車, バス</v>
      </c>
      <c r="W341" s="6"/>
      <c r="X341" s="6" t="str">
        <f aca="false">IFERROR(__xludf.dummyfunction("""COMPUTED_VALUE"""),"ご自身で契約中の物件")</f>
        <v>ご自身で契約中の物件</v>
      </c>
      <c r="Y341" s="6"/>
      <c r="Z341" s="6" t="str">
        <f aca="false">IFERROR(__xludf.dummyfunction("""COMPUTED_VALUE"""),"希望する")</f>
        <v>希望する</v>
      </c>
      <c r="AA341" s="6" t="str">
        <f aca="false">IFERROR(__xludf.dummyfunction("""COMPUTED_VALUE"""),"単身")</f>
        <v>単身</v>
      </c>
      <c r="AB341" s="6"/>
      <c r="AC341" s="6"/>
      <c r="AD341" s="6" t="str">
        <f aca="false">IFERROR(__xludf.dummyfunction("""COMPUTED_VALUE"""),"家具家電付き物件と家具家電がつかない物件どちらもご紹介いただきたいです。それにより、先ほど記載させていただいた棚や机などの家具を持っていくかどうかも変わってくると思います。")</f>
        <v>家具家電付き物件と家具家電がつかない物件どちらもご紹介いただきたいです。それにより、先ほど記載させていただいた棚や机などの家具を持っていくかどうかも変わってくると思います。</v>
      </c>
      <c r="AE341" s="6" t="str">
        <f aca="false">IFERROR(__xludf.dummyfunction("""COMPUTED_VALUE"""),"確認しました。")</f>
        <v>確認しました。</v>
      </c>
      <c r="AF341" s="6" t="str">
        <f aca="false">IFERROR(__xludf.dummyfunction("""COMPUTED_VALUE"""),"社宅基準の内容について確認しました")</f>
        <v>社宅基準の内容について確認しました</v>
      </c>
      <c r="AG341" s="6" t="str">
        <f aca="false">IFERROR(__xludf.dummyfunction("""COMPUTED_VALUE"""),"入居のしおりの内容についてご確認しました")</f>
        <v>入居のしおりの内容についてご確認しました</v>
      </c>
      <c r="AH341" s="6" t="str">
        <f aca="false">IFERROR(__xludf.dummyfunction("""COMPUTED_VALUE"""),"確認しました")</f>
        <v>確認しました</v>
      </c>
      <c r="AI341" s="6"/>
      <c r="AJ341" s="6" t="str">
        <v/>
      </c>
      <c r="AK341" s="6" t="str">
        <v/>
      </c>
      <c r="AL341" s="6" t="str">
        <v/>
      </c>
      <c r="AM341" s="6" t="str">
        <v/>
      </c>
      <c r="AN341" s="6" t="n">
        <f aca="false">FALSE()</f>
        <v>0</v>
      </c>
    </row>
    <row r="342" customFormat="false" ht="52.5" hidden="false" customHeight="true" outlineLevel="0" collapsed="false">
      <c r="A342" s="6" t="str">
        <f aca="false">IFERROR(__xludf.dummyfunction("""COMPUTED_VALUE"""),"2026/03/12 11:19:24")</f>
        <v>2026/03/12 11:19:24</v>
      </c>
      <c r="B342" s="6"/>
      <c r="C342" s="6" t="str">
        <f aca="false">IFERROR(__xludf.dummyfunction("""COMPUTED_VALUE"""),"71204")</f>
        <v>71204</v>
      </c>
      <c r="D342" s="6"/>
      <c r="E342" s="6"/>
      <c r="F342" s="6"/>
      <c r="G342" s="6" t="str">
        <f aca="false">IFERROR(__xludf.dummyfunction("""COMPUTED_VALUE"""),"2026/03/25")</f>
        <v>2026/03/25</v>
      </c>
      <c r="H342" s="6" t="str">
        <f aca="false">IFERROR(__xludf.dummyfunction("""COMPUTED_VALUE"""),"必要")</f>
        <v>必要</v>
      </c>
      <c r="I342" s="6" t="str">
        <f aca="false">IFERROR(__xludf.dummyfunction("""COMPUTED_VALUE"""),"男性")</f>
        <v>男性</v>
      </c>
      <c r="J342" s="6" t="str">
        <f aca="false">IFERROR(__xludf.dummyfunction("""COMPUTED_VALUE"""),"日本")</f>
        <v>日本</v>
      </c>
      <c r="K342" s="6" t="str">
        <f aca="false">IFERROR(__xludf.dummyfunction("""COMPUTED_VALUE"""),"5")</f>
        <v>5</v>
      </c>
      <c r="L342" s="6" t="str">
        <f aca="false">IFERROR(__xludf.dummyfunction("""COMPUTED_VALUE"""),"デスクトップパソコン、モニター")</f>
        <v>デスクトップパソコン、モニター</v>
      </c>
      <c r="M342" s="6" t="str">
        <f aca="false">IFERROR(__xludf.dummyfunction("""COMPUTED_VALUE"""),"シングルマットレス")</f>
        <v>シングルマットレス</v>
      </c>
      <c r="N342" s="6"/>
      <c r="O342" s="6" t="str">
        <f aca="false">IFERROR(__xludf.dummyfunction("""COMPUTED_VALUE"""),"不要")</f>
        <v>不要</v>
      </c>
      <c r="P342" s="6"/>
      <c r="Q342" s="6"/>
      <c r="R342" s="6"/>
      <c r="S342" s="6" t="str">
        <f aca="false">IFERROR(__xludf.dummyfunction("""COMPUTED_VALUE"""),"家具家電なし社宅")</f>
        <v>家具家電なし社宅</v>
      </c>
      <c r="T342" s="6" t="str">
        <f aca="false">IFERROR(__xludf.dummyfunction("""COMPUTED_VALUE"""),"利用しない")</f>
        <v>利用しない</v>
      </c>
      <c r="U342" s="6"/>
      <c r="V342" s="6" t="str">
        <f aca="false">IFERROR(__xludf.dummyfunction("""COMPUTED_VALUE"""),"電車")</f>
        <v>電車</v>
      </c>
      <c r="W342" s="6"/>
      <c r="X342" s="6" t="str">
        <f aca="false">IFERROR(__xludf.dummyfunction("""COMPUTED_VALUE"""),"実家")</f>
        <v>実家</v>
      </c>
      <c r="Y342" s="6"/>
      <c r="Z342" s="6" t="str">
        <f aca="false">IFERROR(__xludf.dummyfunction("""COMPUTED_VALUE"""),"希望する")</f>
        <v>希望する</v>
      </c>
      <c r="AA342" s="6" t="str">
        <f aca="false">IFERROR(__xludf.dummyfunction("""COMPUTED_VALUE"""),"単身")</f>
        <v>単身</v>
      </c>
      <c r="AB342" s="6"/>
      <c r="AC342" s="6"/>
      <c r="AD342" s="6"/>
      <c r="AE342" s="6" t="str">
        <f aca="false">IFERROR(__xludf.dummyfunction("""COMPUTED_VALUE"""),"確認しました。")</f>
        <v>確認しました。</v>
      </c>
      <c r="AF342" s="6" t="str">
        <f aca="false">IFERROR(__xludf.dummyfunction("""COMPUTED_VALUE"""),"社宅基準の内容について確認しました")</f>
        <v>社宅基準の内容について確認しました</v>
      </c>
      <c r="AG342" s="6" t="str">
        <f aca="false">IFERROR(__xludf.dummyfunction("""COMPUTED_VALUE"""),"入居のしおりの内容についてご確認しました")</f>
        <v>入居のしおりの内容についてご確認しました</v>
      </c>
      <c r="AH342" s="6" t="str">
        <f aca="false">IFERROR(__xludf.dummyfunction("""COMPUTED_VALUE"""),"確認しました")</f>
        <v>確認しました</v>
      </c>
      <c r="AI342" s="6"/>
      <c r="AJ342" s="6" t="str">
        <v/>
      </c>
      <c r="AK342" s="6" t="str">
        <v/>
      </c>
      <c r="AL342" s="6" t="str">
        <v/>
      </c>
      <c r="AM342" s="6" t="str">
        <v/>
      </c>
      <c r="AN342" s="6" t="n">
        <f aca="false">TRUE()</f>
        <v>1</v>
      </c>
    </row>
    <row r="343" customFormat="false" ht="52.5" hidden="false" customHeight="true" outlineLevel="0" collapsed="false">
      <c r="A343" s="6" t="str">
        <f aca="false">IFERROR(__xludf.dummyfunction("""COMPUTED_VALUE"""),"2026/03/12 12:34:30")</f>
        <v>2026/03/12 12:34:30</v>
      </c>
      <c r="B343" s="6"/>
      <c r="C343" s="6" t="str">
        <f aca="false">IFERROR(__xludf.dummyfunction("""COMPUTED_VALUE"""),"71254")</f>
        <v>71254</v>
      </c>
      <c r="D343" s="6"/>
      <c r="E343" s="6"/>
      <c r="F343" s="6"/>
      <c r="G343" s="6" t="str">
        <f aca="false">IFERROR(__xludf.dummyfunction("""COMPUTED_VALUE"""),"2026/03/31")</f>
        <v>2026/03/31</v>
      </c>
      <c r="H343" s="6" t="str">
        <f aca="false">IFERROR(__xludf.dummyfunction("""COMPUTED_VALUE"""),"必要")</f>
        <v>必要</v>
      </c>
      <c r="I343" s="6" t="str">
        <f aca="false">IFERROR(__xludf.dummyfunction("""COMPUTED_VALUE"""),"男性")</f>
        <v>男性</v>
      </c>
      <c r="J343" s="6" t="str">
        <f aca="false">IFERROR(__xludf.dummyfunction("""COMPUTED_VALUE"""),"日本")</f>
        <v>日本</v>
      </c>
      <c r="K343" s="6" t="str">
        <f aca="false">IFERROR(__xludf.dummyfunction("""COMPUTED_VALUE"""),"30")</f>
        <v>30</v>
      </c>
      <c r="L343" s="6" t="str">
        <f aca="false">IFERROR(__xludf.dummyfunction("""COMPUTED_VALUE"""),"冷蔵庫、電子レンジ、洗濯機　単身セット")</f>
        <v>冷蔵庫、電子レンジ、洗濯機　単身セット</v>
      </c>
      <c r="M343" s="6" t="str">
        <f aca="false">IFERROR(__xludf.dummyfunction("""COMPUTED_VALUE"""),"こたつ机正方形　ベッドシングル　移動式机　")</f>
        <v>こたつ机正方形　ベッドシングル　移動式机　</v>
      </c>
      <c r="N343" s="6" t="str">
        <f aca="false">IFERROR(__xludf.dummyfunction("""COMPUTED_VALUE"""),"自転車　収納箱6個")</f>
        <v>自転車　収納箱6個</v>
      </c>
      <c r="O343" s="6" t="str">
        <f aca="false">IFERROR(__xludf.dummyfunction("""COMPUTED_VALUE"""),"不要")</f>
        <v>不要</v>
      </c>
      <c r="P343" s="6"/>
      <c r="Q343" s="6"/>
      <c r="R343" s="6"/>
      <c r="S343" s="6" t="str">
        <f aca="false">IFERROR(__xludf.dummyfunction("""COMPUTED_VALUE"""),"家具家電なし社宅")</f>
        <v>家具家電なし社宅</v>
      </c>
      <c r="T343" s="6" t="str">
        <f aca="false">IFERROR(__xludf.dummyfunction("""COMPUTED_VALUE"""),"利用しない")</f>
        <v>利用しない</v>
      </c>
      <c r="U343" s="6"/>
      <c r="V343" s="6" t="str">
        <f aca="false">IFERROR(__xludf.dummyfunction("""COMPUTED_VALUE"""),"自転車")</f>
        <v>自転車</v>
      </c>
      <c r="W343" s="6"/>
      <c r="X343" s="6" t="str">
        <f aca="false">IFERROR(__xludf.dummyfunction("""COMPUTED_VALUE"""),"株式会社ビーネックステクノロジーズの社宅")</f>
        <v>株式会社ビーネックステクノロジーズの社宅</v>
      </c>
      <c r="Y343" s="6" t="str">
        <f aca="false">IFERROR(__xludf.dummyfunction("""COMPUTED_VALUE"""),"利用なし")</f>
        <v>利用なし</v>
      </c>
      <c r="Z343" s="6" t="str">
        <f aca="false">IFERROR(__xludf.dummyfunction("""COMPUTED_VALUE"""),"希望する")</f>
        <v>希望する</v>
      </c>
      <c r="AA343" s="6" t="str">
        <f aca="false">IFERROR(__xludf.dummyfunction("""COMPUTED_VALUE"""),"単身")</f>
        <v>単身</v>
      </c>
      <c r="AB343" s="6"/>
      <c r="AC343" s="6"/>
      <c r="AD343" s="6" t="str">
        <f aca="false">IFERROR(__xludf.dummyfunction("""COMPUTED_VALUE"""),"物件の条件
トイレ、お風呂は別
鉄筋コンクリート
3回以上の部屋
部屋の中に洗濯機
1K8.5畳以上
こちらの物件を希望します!")</f>
        <v>物件の条件
トイレ、お風呂は別
鉄筋コンクリート
3回以上の部屋
部屋の中に洗濯機
1K8.5畳以上
こちらの物件を希望します!</v>
      </c>
      <c r="AE343" s="6" t="str">
        <f aca="false">IFERROR(__xludf.dummyfunction("""COMPUTED_VALUE"""),"確認しました。")</f>
        <v>確認しました。</v>
      </c>
      <c r="AF343" s="6" t="str">
        <f aca="false">IFERROR(__xludf.dummyfunction("""COMPUTED_VALUE"""),"社宅基準の内容について確認しました")</f>
        <v>社宅基準の内容について確認しました</v>
      </c>
      <c r="AG343" s="6" t="str">
        <f aca="false">IFERROR(__xludf.dummyfunction("""COMPUTED_VALUE"""),"入居のしおりの内容についてご確認しました")</f>
        <v>入居のしおりの内容についてご確認しました</v>
      </c>
      <c r="AH343" s="6" t="str">
        <f aca="false">IFERROR(__xludf.dummyfunction("""COMPUTED_VALUE"""),"確認しました")</f>
        <v>確認しました</v>
      </c>
      <c r="AI343" s="6"/>
      <c r="AJ343" s="6" t="str">
        <v/>
      </c>
      <c r="AK343" s="6" t="str">
        <v/>
      </c>
      <c r="AL343" s="6" t="str">
        <v/>
      </c>
      <c r="AM343" s="6" t="str">
        <v/>
      </c>
      <c r="AN343" s="6" t="n">
        <f aca="false">FALSE()</f>
        <v>0</v>
      </c>
    </row>
    <row r="344" customFormat="false" ht="52.5" hidden="false" customHeight="true" outlineLevel="0" collapsed="false">
      <c r="A344" s="6" t="str">
        <f aca="false">IFERROR(__xludf.dummyfunction("""COMPUTED_VALUE"""),"2026/03/12 14:59:49")</f>
        <v>2026/03/12 14:59:49</v>
      </c>
      <c r="B344" s="6"/>
      <c r="C344" s="6" t="str">
        <f aca="false">IFERROR(__xludf.dummyfunction("""COMPUTED_VALUE"""),"71258")</f>
        <v>71258</v>
      </c>
      <c r="D344" s="6"/>
      <c r="E344" s="6"/>
      <c r="F344" s="6"/>
      <c r="G344" s="6" t="str">
        <f aca="false">IFERROR(__xludf.dummyfunction("""COMPUTED_VALUE"""),"2026/04/05")</f>
        <v>2026/04/05</v>
      </c>
      <c r="H344" s="6" t="str">
        <f aca="false">IFERROR(__xludf.dummyfunction("""COMPUTED_VALUE"""),"必要")</f>
        <v>必要</v>
      </c>
      <c r="I344" s="6" t="str">
        <f aca="false">IFERROR(__xludf.dummyfunction("""COMPUTED_VALUE"""),"男性")</f>
        <v>男性</v>
      </c>
      <c r="J344" s="6" t="str">
        <f aca="false">IFERROR(__xludf.dummyfunction("""COMPUTED_VALUE"""),"日本")</f>
        <v>日本</v>
      </c>
      <c r="K344" s="6" t="str">
        <f aca="false">IFERROR(__xludf.dummyfunction("""COMPUTED_VALUE"""),"10")</f>
        <v>10</v>
      </c>
      <c r="L344" s="6" t="str">
        <f aca="false">IFERROR(__xludf.dummyfunction("""COMPUTED_VALUE"""),"洗濯機、冷蔵庫、テレビ、電子レンジ、空気清浄機")</f>
        <v>洗濯機、冷蔵庫、テレビ、電子レンジ、空気清浄機</v>
      </c>
      <c r="M344" s="6" t="str">
        <f aca="false">IFERROR(__xludf.dummyfunction("""COMPUTED_VALUE"""),"マットレスシングル、ラック、電子レンジ台")</f>
        <v>マットレスシングル、ラック、電子レンジ台</v>
      </c>
      <c r="N344" s="6" t="str">
        <f aca="false">IFERROR(__xludf.dummyfunction("""COMPUTED_VALUE"""),"自転車")</f>
        <v>自転車</v>
      </c>
      <c r="O344" s="6" t="str">
        <f aca="false">IFERROR(__xludf.dummyfunction("""COMPUTED_VALUE"""),"必要")</f>
        <v>必要</v>
      </c>
      <c r="P344" s="6" t="str">
        <f aca="false">IFERROR(__xludf.dummyfunction("""COMPUTED_VALUE"""),"パッソ")</f>
        <v>パッソ</v>
      </c>
      <c r="Q344" s="6" t="str">
        <f aca="false">IFERROR(__xludf.dummyfunction("""COMPUTED_VALUE"""),"ま95-86")</f>
        <v>ま95-86</v>
      </c>
      <c r="R344" s="6" t="str">
        <f aca="false">IFERROR(__xludf.dummyfunction("""COMPUTED_VALUE"""),"赤")</f>
        <v>赤</v>
      </c>
      <c r="S344" s="6" t="str">
        <f aca="false">IFERROR(__xludf.dummyfunction("""COMPUTED_VALUE"""),"家具家電なし社宅")</f>
        <v>家具家電なし社宅</v>
      </c>
      <c r="T344" s="6" t="str">
        <f aca="false">IFERROR(__xludf.dummyfunction("""COMPUTED_VALUE"""),"利用しない")</f>
        <v>利用しない</v>
      </c>
      <c r="U344" s="6"/>
      <c r="V344" s="6" t="str">
        <f aca="false">IFERROR(__xludf.dummyfunction("""COMPUTED_VALUE"""),"電車")</f>
        <v>電車</v>
      </c>
      <c r="W344" s="6"/>
      <c r="X344" s="6" t="str">
        <f aca="false">IFERROR(__xludf.dummyfunction("""COMPUTED_VALUE"""),"株式会社ビーネックステクノロジーズの社宅")</f>
        <v>株式会社ビーネックステクノロジーズの社宅</v>
      </c>
      <c r="Y344" s="6" t="str">
        <f aca="false">IFERROR(__xludf.dummyfunction("""COMPUTED_VALUE"""),"利用なし")</f>
        <v>利用なし</v>
      </c>
      <c r="Z344" s="6" t="str">
        <f aca="false">IFERROR(__xludf.dummyfunction("""COMPUTED_VALUE"""),"希望する")</f>
        <v>希望する</v>
      </c>
      <c r="AA344" s="6" t="str">
        <f aca="false">IFERROR(__xludf.dummyfunction("""COMPUTED_VALUE"""),"単身")</f>
        <v>単身</v>
      </c>
      <c r="AB344" s="6"/>
      <c r="AC344" s="6"/>
      <c r="AD344" s="6" t="str">
        <f aca="false">IFERROR(__xludf.dummyfunction("""COMPUTED_VALUE"""),"駐車場、光回線、2階以上")</f>
        <v>駐車場、光回線、2階以上</v>
      </c>
      <c r="AE344" s="6" t="str">
        <f aca="false">IFERROR(__xludf.dummyfunction("""COMPUTED_VALUE"""),"確認しました。, ")</f>
        <v>確認しました。, </v>
      </c>
      <c r="AF344" s="6" t="str">
        <f aca="false">IFERROR(__xludf.dummyfunction("""COMPUTED_VALUE"""),"社宅基準の内容について確認しました")</f>
        <v>社宅基準の内容について確認しました</v>
      </c>
      <c r="AG344" s="6" t="str">
        <f aca="false">IFERROR(__xludf.dummyfunction("""COMPUTED_VALUE"""),"入居のしおりの内容についてご確認しました")</f>
        <v>入居のしおりの内容についてご確認しました</v>
      </c>
      <c r="AH344" s="6" t="str">
        <f aca="false">IFERROR(__xludf.dummyfunction("""COMPUTED_VALUE"""),"確認しました")</f>
        <v>確認しました</v>
      </c>
      <c r="AI344" s="6"/>
      <c r="AJ344" s="6" t="str">
        <v/>
      </c>
      <c r="AK344" s="6" t="str">
        <v/>
      </c>
      <c r="AL344" s="6" t="str">
        <v/>
      </c>
      <c r="AM344" s="6" t="str">
        <v/>
      </c>
      <c r="AN344" s="6" t="n">
        <f aca="false">FALSE()</f>
        <v>0</v>
      </c>
    </row>
    <row r="345" customFormat="false" ht="52.5" hidden="false" customHeight="true" outlineLevel="0" collapsed="false">
      <c r="A345" s="6" t="str">
        <f aca="false">IFERROR(__xludf.dummyfunction("""COMPUTED_VALUE"""),"2026/03/12 15:00:34")</f>
        <v>2026/03/12 15:00:34</v>
      </c>
      <c r="B345" s="6"/>
      <c r="C345" s="6" t="str">
        <f aca="false">IFERROR(__xludf.dummyfunction("""COMPUTED_VALUE"""),"71251")</f>
        <v>71251</v>
      </c>
      <c r="D345" s="6"/>
      <c r="E345" s="6"/>
      <c r="F345" s="6"/>
      <c r="G345" s="6" t="str">
        <f aca="false">IFERROR(__xludf.dummyfunction("""COMPUTED_VALUE"""),"2026/03/20")</f>
        <v>2026/03/20</v>
      </c>
      <c r="H345" s="6" t="str">
        <f aca="false">IFERROR(__xludf.dummyfunction("""COMPUTED_VALUE"""),"必要")</f>
        <v>必要</v>
      </c>
      <c r="I345" s="6" t="str">
        <f aca="false">IFERROR(__xludf.dummyfunction("""COMPUTED_VALUE"""),"男性")</f>
        <v>男性</v>
      </c>
      <c r="J345" s="6" t="str">
        <f aca="false">IFERROR(__xludf.dummyfunction("""COMPUTED_VALUE"""),"日本")</f>
        <v>日本</v>
      </c>
      <c r="K345" s="6" t="str">
        <f aca="false">IFERROR(__xludf.dummyfunction("""COMPUTED_VALUE"""),"25")</f>
        <v>25</v>
      </c>
      <c r="L345" s="6" t="str">
        <f aca="false">IFERROR(__xludf.dummyfunction("""COMPUTED_VALUE"""),"モニター、ゲーム機、ノートパソコン
ウォーターサーバー、掃除機、ケトル")</f>
        <v>モニター、ゲーム機、ノートパソコン
ウォーターサーバー、掃除機、ケトル</v>
      </c>
      <c r="M345" s="6" t="str">
        <f aca="false">IFERROR(__xludf.dummyfunction("""COMPUTED_VALUE"""),"折り畳みテーブル、脚立、衣類タンス")</f>
        <v>折り畳みテーブル、脚立、衣類タンス</v>
      </c>
      <c r="N345" s="6"/>
      <c r="O345" s="6" t="str">
        <f aca="false">IFERROR(__xludf.dummyfunction("""COMPUTED_VALUE"""),"必要")</f>
        <v>必要</v>
      </c>
      <c r="P345" s="6" t="str">
        <f aca="false">IFERROR(__xludf.dummyfunction("""COMPUTED_VALUE"""),"アルト")</f>
        <v>アルト</v>
      </c>
      <c r="Q345" s="6" t="str">
        <f aca="false">IFERROR(__xludf.dummyfunction("""COMPUTED_VALUE"""),"長崎581な1793")</f>
        <v>長崎581な1793</v>
      </c>
      <c r="R345" s="6" t="str">
        <f aca="false">IFERROR(__xludf.dummyfunction("""COMPUTED_VALUE"""),"肌色")</f>
        <v>肌色</v>
      </c>
      <c r="S345" s="6" t="str">
        <f aca="false">IFERROR(__xludf.dummyfunction("""COMPUTED_VALUE"""),"家具家電付き社宅")</f>
        <v>家具家電付き社宅</v>
      </c>
      <c r="T345" s="6" t="str">
        <f aca="false">IFERROR(__xludf.dummyfunction("""COMPUTED_VALUE"""),"利用しない")</f>
        <v>利用しない</v>
      </c>
      <c r="U345" s="6"/>
      <c r="V345" s="6" t="str">
        <f aca="false">IFERROR(__xludf.dummyfunction("""COMPUTED_VALUE"""),"自動車")</f>
        <v>自動車</v>
      </c>
      <c r="W345" s="6"/>
      <c r="X345" s="6" t="str">
        <f aca="false">IFERROR(__xludf.dummyfunction("""COMPUTED_VALUE"""),"株式会社ビーネックステクノロジーズの社宅")</f>
        <v>株式会社ビーネックステクノロジーズの社宅</v>
      </c>
      <c r="Y345" s="6" t="str">
        <f aca="false">IFERROR(__xludf.dummyfunction("""COMPUTED_VALUE"""),"利用なし")</f>
        <v>利用なし</v>
      </c>
      <c r="Z345" s="6" t="str">
        <f aca="false">IFERROR(__xludf.dummyfunction("""COMPUTED_VALUE"""),"希望する")</f>
        <v>希望する</v>
      </c>
      <c r="AA345" s="6" t="str">
        <f aca="false">IFERROR(__xludf.dummyfunction("""COMPUTED_VALUE"""),"単身")</f>
        <v>単身</v>
      </c>
      <c r="AB345" s="6"/>
      <c r="AC345" s="6"/>
      <c r="AD345" s="6" t="str">
        <f aca="false">IFERROR(__xludf.dummyfunction("""COMPUTED_VALUE"""),"インターネット回線があると良いです")</f>
        <v>インターネット回線があると良いです</v>
      </c>
      <c r="AE345" s="6" t="str">
        <f aca="false">IFERROR(__xludf.dummyfunction("""COMPUTED_VALUE"""),"確認しました。")</f>
        <v>確認しました。</v>
      </c>
      <c r="AF345" s="6" t="str">
        <f aca="false">IFERROR(__xludf.dummyfunction("""COMPUTED_VALUE"""),"社宅基準の内容について確認しました")</f>
        <v>社宅基準の内容について確認しました</v>
      </c>
      <c r="AG345" s="6" t="str">
        <f aca="false">IFERROR(__xludf.dummyfunction("""COMPUTED_VALUE"""),"入居のしおりの内容についてご確認しました")</f>
        <v>入居のしおりの内容についてご確認しました</v>
      </c>
      <c r="AH345" s="6" t="str">
        <f aca="false">IFERROR(__xludf.dummyfunction("""COMPUTED_VALUE"""),"確認しました")</f>
        <v>確認しました</v>
      </c>
      <c r="AI345" s="6"/>
      <c r="AJ345" s="6" t="str">
        <v/>
      </c>
      <c r="AK345" s="6" t="str">
        <v/>
      </c>
      <c r="AL345" s="6" t="str">
        <v/>
      </c>
      <c r="AM345" s="6" t="str">
        <v/>
      </c>
      <c r="AN345" s="6" t="n">
        <f aca="false">TRUE()</f>
        <v>1</v>
      </c>
    </row>
    <row r="346" customFormat="false" ht="52.5" hidden="false" customHeight="true" outlineLevel="0" collapsed="false">
      <c r="A346" s="6" t="str">
        <f aca="false">IFERROR(__xludf.dummyfunction("""COMPUTED_VALUE"""),"2026/03/12 18:11:00")</f>
        <v>2026/03/12 18:11:00</v>
      </c>
      <c r="B346" s="6"/>
      <c r="C346" s="6" t="str">
        <f aca="false">IFERROR(__xludf.dummyfunction("""COMPUTED_VALUE"""),"71223")</f>
        <v>71223</v>
      </c>
      <c r="D346" s="6"/>
      <c r="E346" s="6"/>
      <c r="F346" s="6"/>
      <c r="G346" s="6" t="str">
        <f aca="false">IFERROR(__xludf.dummyfunction("""COMPUTED_VALUE"""),"2026/03/28")</f>
        <v>2026/03/28</v>
      </c>
      <c r="H346" s="6" t="str">
        <f aca="false">IFERROR(__xludf.dummyfunction("""COMPUTED_VALUE"""),"必要")</f>
        <v>必要</v>
      </c>
      <c r="I346" s="6" t="str">
        <f aca="false">IFERROR(__xludf.dummyfunction("""COMPUTED_VALUE"""),"男性")</f>
        <v>男性</v>
      </c>
      <c r="J346" s="6" t="str">
        <f aca="false">IFERROR(__xludf.dummyfunction("""COMPUTED_VALUE"""),"日本")</f>
        <v>日本</v>
      </c>
      <c r="K346" s="6" t="str">
        <f aca="false">IFERROR(__xludf.dummyfunction("""COMPUTED_VALUE"""),"10")</f>
        <v>10</v>
      </c>
      <c r="L346" s="6" t="str">
        <f aca="false">IFERROR(__xludf.dummyfunction("""COMPUTED_VALUE"""),"テレビ")</f>
        <v>テレビ</v>
      </c>
      <c r="M346" s="6" t="str">
        <f aca="false">IFERROR(__xludf.dummyfunction("""COMPUTED_VALUE"""),"ベッド(シングル)
机(90・45・71)
机(60・60・31)")</f>
        <v>ベッド(シングル)
机(90・45・71)
机(60・60・31)</v>
      </c>
      <c r="N346" s="6" t="str">
        <f aca="false">IFERROR(__xludf.dummyfunction("""COMPUTED_VALUE"""),"自転車")</f>
        <v>自転車</v>
      </c>
      <c r="O346" s="6" t="str">
        <f aca="false">IFERROR(__xludf.dummyfunction("""COMPUTED_VALUE"""),"不要")</f>
        <v>不要</v>
      </c>
      <c r="P346" s="6"/>
      <c r="Q346" s="6"/>
      <c r="R346" s="6"/>
      <c r="S346" s="6" t="str">
        <f aca="false">IFERROR(__xludf.dummyfunction("""COMPUTED_VALUE"""),"家具家電なし社宅")</f>
        <v>家具家電なし社宅</v>
      </c>
      <c r="T346" s="6" t="str">
        <f aca="false">IFERROR(__xludf.dummyfunction("""COMPUTED_VALUE"""),"利用しない")</f>
        <v>利用しない</v>
      </c>
      <c r="U346" s="6"/>
      <c r="V346" s="6" t="str">
        <f aca="false">IFERROR(__xludf.dummyfunction("""COMPUTED_VALUE"""),"電車")</f>
        <v>電車</v>
      </c>
      <c r="W346" s="6"/>
      <c r="X346" s="6" t="str">
        <f aca="false">IFERROR(__xludf.dummyfunction("""COMPUTED_VALUE"""),"実家")</f>
        <v>実家</v>
      </c>
      <c r="Y346" s="6"/>
      <c r="Z346" s="6" t="str">
        <f aca="false">IFERROR(__xludf.dummyfunction("""COMPUTED_VALUE"""),"希望しない")</f>
        <v>希望しない</v>
      </c>
      <c r="AA346" s="6" t="str">
        <f aca="false">IFERROR(__xludf.dummyfunction("""COMPUTED_VALUE"""),"単身")</f>
        <v>単身</v>
      </c>
      <c r="AB346" s="6"/>
      <c r="AC346" s="6"/>
      <c r="AD346" s="6" t="str">
        <f aca="false">IFERROR(__xludf.dummyfunction("""COMPUTED_VALUE"""),"「入居時の設備（エアコン・照明）、駐輪場の有無について教えていただけますと幸いです。")</f>
        <v>「入居時の設備（エアコン・照明）、駐輪場の有無について教えていただけますと幸いです。</v>
      </c>
      <c r="AE346" s="6" t="str">
        <f aca="false">IFERROR(__xludf.dummyfunction("""COMPUTED_VALUE"""),"確認しました。")</f>
        <v>確認しました。</v>
      </c>
      <c r="AF346" s="6" t="str">
        <f aca="false">IFERROR(__xludf.dummyfunction("""COMPUTED_VALUE"""),"社宅基準の内容について確認しました")</f>
        <v>社宅基準の内容について確認しました</v>
      </c>
      <c r="AG346" s="6" t="str">
        <f aca="false">IFERROR(__xludf.dummyfunction("""COMPUTED_VALUE"""),"入居のしおりの内容についてご確認しました")</f>
        <v>入居のしおりの内容についてご確認しました</v>
      </c>
      <c r="AH346" s="6" t="str">
        <f aca="false">IFERROR(__xludf.dummyfunction("""COMPUTED_VALUE"""),"確認しました")</f>
        <v>確認しました</v>
      </c>
      <c r="AI346" s="6"/>
      <c r="AJ346" s="6" t="str">
        <v/>
      </c>
      <c r="AK346" s="6" t="str">
        <v/>
      </c>
      <c r="AL346" s="6" t="str">
        <v/>
      </c>
      <c r="AM346" s="6" t="str">
        <v/>
      </c>
      <c r="AN346" s="6" t="n">
        <f aca="false">FALSE()</f>
        <v>0</v>
      </c>
    </row>
    <row r="347" customFormat="false" ht="52.5" hidden="false" customHeight="true" outlineLevel="0" collapsed="false">
      <c r="A347" s="6" t="str">
        <f aca="false">IFERROR(__xludf.dummyfunction("""COMPUTED_VALUE"""),"2026/03/12 18:27:22")</f>
        <v>2026/03/12 18:27:22</v>
      </c>
      <c r="B347" s="6"/>
      <c r="C347" s="6" t="str">
        <f aca="false">IFERROR(__xludf.dummyfunction("""COMPUTED_VALUE"""),"71280")</f>
        <v>71280</v>
      </c>
      <c r="D347" s="6"/>
      <c r="E347" s="6"/>
      <c r="F347" s="6"/>
      <c r="G347" s="6" t="str">
        <f aca="false">IFERROR(__xludf.dummyfunction("""COMPUTED_VALUE"""),"2026/03/21")</f>
        <v>2026/03/21</v>
      </c>
      <c r="H347" s="6" t="str">
        <f aca="false">IFERROR(__xludf.dummyfunction("""COMPUTED_VALUE"""),"必要")</f>
        <v>必要</v>
      </c>
      <c r="I347" s="6" t="str">
        <f aca="false">IFERROR(__xludf.dummyfunction("""COMPUTED_VALUE"""),"女性")</f>
        <v>女性</v>
      </c>
      <c r="J347" s="6" t="str">
        <f aca="false">IFERROR(__xludf.dummyfunction("""COMPUTED_VALUE"""),"日本")</f>
        <v>日本</v>
      </c>
      <c r="K347" s="6" t="str">
        <f aca="false">IFERROR(__xludf.dummyfunction("""COMPUTED_VALUE"""),"2")</f>
        <v>2</v>
      </c>
      <c r="L347" s="6" t="str">
        <f aca="false">IFERROR(__xludf.dummyfunction("""COMPUTED_VALUE"""),"特になし")</f>
        <v>特になし</v>
      </c>
      <c r="M347" s="6" t="str">
        <f aca="false">IFERROR(__xludf.dummyfunction("""COMPUTED_VALUE"""),"特になし")</f>
        <v>特になし</v>
      </c>
      <c r="N347" s="6"/>
      <c r="O347" s="6" t="str">
        <f aca="false">IFERROR(__xludf.dummyfunction("""COMPUTED_VALUE"""),"不要")</f>
        <v>不要</v>
      </c>
      <c r="P347" s="6"/>
      <c r="Q347" s="6"/>
      <c r="R347" s="6"/>
      <c r="S347" s="6" t="str">
        <f aca="false">IFERROR(__xludf.dummyfunction("""COMPUTED_VALUE"""),"家具家電付き社宅")</f>
        <v>家具家電付き社宅</v>
      </c>
      <c r="T347" s="6" t="str">
        <f aca="false">IFERROR(__xludf.dummyfunction("""COMPUTED_VALUE"""),"利用しない")</f>
        <v>利用しない</v>
      </c>
      <c r="U347" s="6"/>
      <c r="V347" s="6" t="str">
        <f aca="false">IFERROR(__xludf.dummyfunction("""COMPUTED_VALUE"""),"徒歩, 電車, バス")</f>
        <v>徒歩, 電車, バス</v>
      </c>
      <c r="W347" s="6"/>
      <c r="X347" s="6" t="str">
        <f aca="false">IFERROR(__xludf.dummyfunction("""COMPUTED_VALUE"""),"実家")</f>
        <v>実家</v>
      </c>
      <c r="Y347" s="6"/>
      <c r="Z347" s="6" t="str">
        <f aca="false">IFERROR(__xludf.dummyfunction("""COMPUTED_VALUE"""),"希望する")</f>
        <v>希望する</v>
      </c>
      <c r="AA347" s="6" t="str">
        <f aca="false">IFERROR(__xludf.dummyfunction("""COMPUTED_VALUE"""),"単身")</f>
        <v>単身</v>
      </c>
      <c r="AB347" s="6"/>
      <c r="AC347" s="6"/>
      <c r="AD347" s="6"/>
      <c r="AE347" s="6" t="str">
        <f aca="false">IFERROR(__xludf.dummyfunction("""COMPUTED_VALUE"""),"確認しました。")</f>
        <v>確認しました。</v>
      </c>
      <c r="AF347" s="6" t="str">
        <f aca="false">IFERROR(__xludf.dummyfunction("""COMPUTED_VALUE"""),"社宅基準の内容について確認しました")</f>
        <v>社宅基準の内容について確認しました</v>
      </c>
      <c r="AG347" s="6" t="str">
        <f aca="false">IFERROR(__xludf.dummyfunction("""COMPUTED_VALUE"""),"入居のしおりの内容についてご確認しました")</f>
        <v>入居のしおりの内容についてご確認しました</v>
      </c>
      <c r="AH347" s="6" t="str">
        <f aca="false">IFERROR(__xludf.dummyfunction("""COMPUTED_VALUE"""),"確認しました")</f>
        <v>確認しました</v>
      </c>
      <c r="AI347" s="6"/>
      <c r="AJ347" s="6" t="str">
        <v/>
      </c>
      <c r="AK347" s="6" t="str">
        <v/>
      </c>
      <c r="AL347" s="6" t="str">
        <v/>
      </c>
      <c r="AM347" s="6" t="str">
        <v/>
      </c>
      <c r="AN347" s="6" t="n">
        <f aca="false">FALSE()</f>
        <v>0</v>
      </c>
    </row>
    <row r="348" customFormat="false" ht="52.5" hidden="false" customHeight="true" outlineLevel="0" collapsed="false">
      <c r="A348" s="6" t="str">
        <f aca="false">IFERROR(__xludf.dummyfunction("""COMPUTED_VALUE"""),"2026/03/12 18:48:01")</f>
        <v>2026/03/12 18:48:01</v>
      </c>
      <c r="B348" s="6"/>
      <c r="C348" s="6" t="str">
        <f aca="false">IFERROR(__xludf.dummyfunction("""COMPUTED_VALUE"""),"71294")</f>
        <v>71294</v>
      </c>
      <c r="D348" s="6"/>
      <c r="E348" s="6"/>
      <c r="F348" s="6"/>
      <c r="G348" s="6" t="str">
        <f aca="false">IFERROR(__xludf.dummyfunction("""COMPUTED_VALUE"""),"2026/03/30")</f>
        <v>2026/03/30</v>
      </c>
      <c r="H348" s="6" t="str">
        <f aca="false">IFERROR(__xludf.dummyfunction("""COMPUTED_VALUE"""),"必要")</f>
        <v>必要</v>
      </c>
      <c r="I348" s="6" t="str">
        <f aca="false">IFERROR(__xludf.dummyfunction("""COMPUTED_VALUE"""),"男性")</f>
        <v>男性</v>
      </c>
      <c r="J348" s="6" t="str">
        <f aca="false">IFERROR(__xludf.dummyfunction("""COMPUTED_VALUE"""),"日本")</f>
        <v>日本</v>
      </c>
      <c r="K348" s="6" t="str">
        <f aca="false">IFERROR(__xludf.dummyfunction("""COMPUTED_VALUE"""),"5")</f>
        <v>5</v>
      </c>
      <c r="L348" s="6" t="str">
        <f aca="false">IFERROR(__xludf.dummyfunction("""COMPUTED_VALUE"""),"なし")</f>
        <v>なし</v>
      </c>
      <c r="M348" s="6" t="str">
        <f aca="false">IFERROR(__xludf.dummyfunction("""COMPUTED_VALUE"""),"机(横78cm、高さ38cm、奥行52cm)
棚(横46cm、高さ90cm、奥行30cm)
折りたたみ式椅子(幅34.5cm、高さ53cm、奥行35cm)")</f>
        <v>机(横78cm、高さ38cm、奥行52cm)
棚(横46cm、高さ90cm、奥行30cm)
折りたたみ式椅子(幅34.5cm、高さ53cm、奥行35cm)</v>
      </c>
      <c r="N348" s="6" t="str">
        <f aca="false">IFERROR(__xludf.dummyfunction("""COMPUTED_VALUE"""),"布団")</f>
        <v>布団</v>
      </c>
      <c r="O348" s="6" t="str">
        <f aca="false">IFERROR(__xludf.dummyfunction("""COMPUTED_VALUE"""),"不要")</f>
        <v>不要</v>
      </c>
      <c r="P348" s="6"/>
      <c r="Q348" s="6"/>
      <c r="R348" s="6"/>
      <c r="S348" s="6" t="str">
        <f aca="false">IFERROR(__xludf.dummyfunction("""COMPUTED_VALUE"""),"家具家電付き社宅")</f>
        <v>家具家電付き社宅</v>
      </c>
      <c r="T348" s="6" t="str">
        <f aca="false">IFERROR(__xludf.dummyfunction("""COMPUTED_VALUE"""),"利用しない")</f>
        <v>利用しない</v>
      </c>
      <c r="U348" s="6"/>
      <c r="V348" s="6" t="str">
        <f aca="false">IFERROR(__xludf.dummyfunction("""COMPUTED_VALUE"""),"徒歩, 電車")</f>
        <v>徒歩, 電車</v>
      </c>
      <c r="W348" s="6"/>
      <c r="X348" s="6" t="str">
        <f aca="false">IFERROR(__xludf.dummyfunction("""COMPUTED_VALUE"""),"実家")</f>
        <v>実家</v>
      </c>
      <c r="Y348" s="6"/>
      <c r="Z348" s="6" t="str">
        <f aca="false">IFERROR(__xludf.dummyfunction("""COMPUTED_VALUE"""),"希望する")</f>
        <v>希望する</v>
      </c>
      <c r="AA348" s="6" t="str">
        <f aca="false">IFERROR(__xludf.dummyfunction("""COMPUTED_VALUE"""),"単身")</f>
        <v>単身</v>
      </c>
      <c r="AB348" s="6"/>
      <c r="AC348" s="6"/>
      <c r="AD348" s="6" t="str">
        <f aca="false">IFERROR(__xludf.dummyfunction("""COMPUTED_VALUE"""),"※()内は希望度低
風呂、トイレ別
最寄り駅まで徒歩15分以内
(マンションや団地等の場合、2階以上の部屋)
(宅配ボックスあり)")</f>
        <v>※()内は希望度低
風呂、トイレ別
最寄り駅まで徒歩15分以内
(マンションや団地等の場合、2階以上の部屋)
(宅配ボックスあり)</v>
      </c>
      <c r="AE348" s="6" t="str">
        <f aca="false">IFERROR(__xludf.dummyfunction("""COMPUTED_VALUE"""),"確認しました。")</f>
        <v>確認しました。</v>
      </c>
      <c r="AF348" s="6" t="str">
        <f aca="false">IFERROR(__xludf.dummyfunction("""COMPUTED_VALUE"""),"社宅基準の内容について確認しました")</f>
        <v>社宅基準の内容について確認しました</v>
      </c>
      <c r="AG348" s="6" t="str">
        <f aca="false">IFERROR(__xludf.dummyfunction("""COMPUTED_VALUE"""),"入居のしおりの内容についてご確認しました")</f>
        <v>入居のしおりの内容についてご確認しました</v>
      </c>
      <c r="AH348" s="6" t="str">
        <f aca="false">IFERROR(__xludf.dummyfunction("""COMPUTED_VALUE"""),"確認しました")</f>
        <v>確認しました</v>
      </c>
      <c r="AI348" s="6"/>
      <c r="AJ348" s="6" t="str">
        <v/>
      </c>
      <c r="AK348" s="6" t="str">
        <v/>
      </c>
      <c r="AL348" s="6" t="str">
        <v/>
      </c>
      <c r="AM348" s="6" t="str">
        <v/>
      </c>
      <c r="AN348" s="6" t="n">
        <f aca="false">FALSE()</f>
        <v>0</v>
      </c>
    </row>
    <row r="349" customFormat="false" ht="52.5" hidden="false" customHeight="true" outlineLevel="0" collapsed="false">
      <c r="A349" s="6" t="str">
        <f aca="false">IFERROR(__xludf.dummyfunction("""COMPUTED_VALUE"""),"2026/03/12 19:20:08")</f>
        <v>2026/03/12 19:20:08</v>
      </c>
      <c r="B349" s="6"/>
      <c r="C349" s="6" t="str">
        <f aca="false">IFERROR(__xludf.dummyfunction("""COMPUTED_VALUE"""),"71285")</f>
        <v>71285</v>
      </c>
      <c r="D349" s="6"/>
      <c r="E349" s="6"/>
      <c r="F349" s="6"/>
      <c r="G349" s="6" t="str">
        <f aca="false">IFERROR(__xludf.dummyfunction("""COMPUTED_VALUE"""),"2026/03/26")</f>
        <v>2026/03/26</v>
      </c>
      <c r="H349" s="6" t="str">
        <f aca="false">IFERROR(__xludf.dummyfunction("""COMPUTED_VALUE"""),"不要")</f>
        <v>不要</v>
      </c>
      <c r="I349" s="6" t="str">
        <f aca="false">IFERROR(__xludf.dummyfunction("""COMPUTED_VALUE"""),"男性")</f>
        <v>男性</v>
      </c>
      <c r="J349" s="6" t="str">
        <f aca="false">IFERROR(__xludf.dummyfunction("""COMPUTED_VALUE"""),"日本")</f>
        <v>日本</v>
      </c>
      <c r="K349" s="6"/>
      <c r="L349" s="6"/>
      <c r="M349" s="6"/>
      <c r="N349" s="6"/>
      <c r="O349" s="6" t="str">
        <f aca="false">IFERROR(__xludf.dummyfunction("""COMPUTED_VALUE"""),"必要")</f>
        <v>必要</v>
      </c>
      <c r="P349" s="6" t="str">
        <f aca="false">IFERROR(__xludf.dummyfunction("""COMPUTED_VALUE"""),"MAZDA2")</f>
        <v>MAZDA2</v>
      </c>
      <c r="Q349" s="6" t="str">
        <f aca="false">IFERROR(__xludf.dummyfunction("""COMPUTED_VALUE"""),"ほ59-35")</f>
        <v>ほ59-35</v>
      </c>
      <c r="R349" s="6" t="str">
        <f aca="false">IFERROR(__xludf.dummyfunction("""COMPUTED_VALUE"""),"赤")</f>
        <v>赤</v>
      </c>
      <c r="S349" s="6" t="str">
        <f aca="false">IFERROR(__xludf.dummyfunction("""COMPUTED_VALUE"""),"家具家電付き社宅")</f>
        <v>家具家電付き社宅</v>
      </c>
      <c r="T349" s="6" t="str">
        <f aca="false">IFERROR(__xludf.dummyfunction("""COMPUTED_VALUE"""),"利用しない")</f>
        <v>利用しない</v>
      </c>
      <c r="U349" s="6"/>
      <c r="V349" s="6" t="str">
        <f aca="false">IFERROR(__xludf.dummyfunction("""COMPUTED_VALUE"""),"自動車")</f>
        <v>自動車</v>
      </c>
      <c r="W349" s="6"/>
      <c r="X349" s="6" t="str">
        <f aca="false">IFERROR(__xludf.dummyfunction("""COMPUTED_VALUE"""),"株式会社ビーネックステクノロジーズの社宅")</f>
        <v>株式会社ビーネックステクノロジーズの社宅</v>
      </c>
      <c r="Y349" s="6" t="str">
        <f aca="false">IFERROR(__xludf.dummyfunction("""COMPUTED_VALUE"""),"利用なし")</f>
        <v>利用なし</v>
      </c>
      <c r="Z349" s="6" t="str">
        <f aca="false">IFERROR(__xludf.dummyfunction("""COMPUTED_VALUE"""),"希望する")</f>
        <v>希望する</v>
      </c>
      <c r="AA349" s="6" t="str">
        <f aca="false">IFERROR(__xludf.dummyfunction("""COMPUTED_VALUE"""),"単身")</f>
        <v>単身</v>
      </c>
      <c r="AB349" s="6"/>
      <c r="AC349" s="6"/>
      <c r="AD349" s="6" t="str">
        <f aca="false">IFERROR(__xludf.dummyfunction("""COMPUTED_VALUE"""),"レオパレス以外の家具付き物件も探して頂けないでしょうか？")</f>
        <v>レオパレス以外の家具付き物件も探して頂けないでしょうか？</v>
      </c>
      <c r="AE349" s="6" t="str">
        <f aca="false">IFERROR(__xludf.dummyfunction("""COMPUTED_VALUE"""),"確認しました。")</f>
        <v>確認しました。</v>
      </c>
      <c r="AF349" s="6" t="str">
        <f aca="false">IFERROR(__xludf.dummyfunction("""COMPUTED_VALUE"""),"社宅基準の内容について確認しました")</f>
        <v>社宅基準の内容について確認しました</v>
      </c>
      <c r="AG349" s="6" t="str">
        <f aca="false">IFERROR(__xludf.dummyfunction("""COMPUTED_VALUE"""),"入居のしおりの内容についてご確認しました")</f>
        <v>入居のしおりの内容についてご確認しました</v>
      </c>
      <c r="AH349" s="6" t="str">
        <f aca="false">IFERROR(__xludf.dummyfunction("""COMPUTED_VALUE"""),"確認しました")</f>
        <v>確認しました</v>
      </c>
      <c r="AI349" s="6"/>
      <c r="AJ349" s="6" t="str">
        <v/>
      </c>
      <c r="AK349" s="6" t="str">
        <v/>
      </c>
      <c r="AL349" s="6" t="str">
        <v/>
      </c>
      <c r="AM349" s="6" t="str">
        <v/>
      </c>
      <c r="AN349" s="6" t="n">
        <f aca="false">FALSE()</f>
        <v>0</v>
      </c>
    </row>
    <row r="350" customFormat="false" ht="52.5" hidden="false" customHeight="true" outlineLevel="0" collapsed="false">
      <c r="A350" s="6" t="str">
        <f aca="false">IFERROR(__xludf.dummyfunction("""COMPUTED_VALUE"""),"2026/03/12 19:43:30")</f>
        <v>2026/03/12 19:43:30</v>
      </c>
      <c r="B350" s="6"/>
      <c r="C350" s="6" t="str">
        <f aca="false">IFERROR(__xludf.dummyfunction("""COMPUTED_VALUE"""),"71118")</f>
        <v>71118</v>
      </c>
      <c r="D350" s="6"/>
      <c r="E350" s="6"/>
      <c r="F350" s="6"/>
      <c r="G350" s="6" t="str">
        <f aca="false">IFERROR(__xludf.dummyfunction("""COMPUTED_VALUE"""),"2026/03/29")</f>
        <v>2026/03/29</v>
      </c>
      <c r="H350" s="6" t="str">
        <f aca="false">IFERROR(__xludf.dummyfunction("""COMPUTED_VALUE"""),"必要")</f>
        <v>必要</v>
      </c>
      <c r="I350" s="6" t="str">
        <f aca="false">IFERROR(__xludf.dummyfunction("""COMPUTED_VALUE"""),"男性")</f>
        <v>男性</v>
      </c>
      <c r="J350" s="6" t="str">
        <f aca="false">IFERROR(__xludf.dummyfunction("""COMPUTED_VALUE"""),"日本")</f>
        <v>日本</v>
      </c>
      <c r="K350" s="6" t="str">
        <f aca="false">IFERROR(__xludf.dummyfunction("""COMPUTED_VALUE"""),"7")</f>
        <v>7</v>
      </c>
      <c r="L350" s="6" t="str">
        <f aca="false">IFERROR(__xludf.dummyfunction("""COMPUTED_VALUE"""),"PC、モニター2枚、プレステ5、液タブ")</f>
        <v>PC、モニター2枚、プレステ5、液タブ</v>
      </c>
      <c r="M350" s="6" t="str">
        <f aca="false">IFERROR(__xludf.dummyfunction("""COMPUTED_VALUE"""),"なし")</f>
        <v>なし</v>
      </c>
      <c r="N350" s="6" t="str">
        <f aca="false">IFERROR(__xludf.dummyfunction("""COMPUTED_VALUE"""),"ハンガーラック、カードゲームのカードが入ったストレージ")</f>
        <v>ハンガーラック、カードゲームのカードが入ったストレージ</v>
      </c>
      <c r="O350" s="6" t="str">
        <f aca="false">IFERROR(__xludf.dummyfunction("""COMPUTED_VALUE"""),"不要")</f>
        <v>不要</v>
      </c>
      <c r="P350" s="6"/>
      <c r="Q350" s="6"/>
      <c r="R350" s="6"/>
      <c r="S350" s="6" t="str">
        <f aca="false">IFERROR(__xludf.dummyfunction("""COMPUTED_VALUE"""),"家具家電付き社宅")</f>
        <v>家具家電付き社宅</v>
      </c>
      <c r="T350" s="6" t="str">
        <f aca="false">IFERROR(__xludf.dummyfunction("""COMPUTED_VALUE"""),"利用する")</f>
        <v>利用する</v>
      </c>
      <c r="U350" s="6" t="str">
        <f aca="false">IFERROR(__xludf.dummyfunction("""COMPUTED_VALUE"""),"掃除機")</f>
        <v>掃除機</v>
      </c>
      <c r="V350" s="6" t="str">
        <f aca="false">IFERROR(__xludf.dummyfunction("""COMPUTED_VALUE"""),"徒歩")</f>
        <v>徒歩</v>
      </c>
      <c r="W350" s="6"/>
      <c r="X350" s="6" t="str">
        <f aca="false">IFERROR(__xludf.dummyfunction("""COMPUTED_VALUE"""),"実家")</f>
        <v>実家</v>
      </c>
      <c r="Y350" s="6"/>
      <c r="Z350" s="6" t="str">
        <f aca="false">IFERROR(__xludf.dummyfunction("""COMPUTED_VALUE"""),"希望する")</f>
        <v>希望する</v>
      </c>
      <c r="AA350" s="6" t="str">
        <f aca="false">IFERROR(__xludf.dummyfunction("""COMPUTED_VALUE"""),"単身")</f>
        <v>単身</v>
      </c>
      <c r="AB350" s="6"/>
      <c r="AC350" s="6"/>
      <c r="AD350" s="6"/>
      <c r="AE350" s="6" t="str">
        <f aca="false">IFERROR(__xludf.dummyfunction("""COMPUTED_VALUE"""),"確認しました。")</f>
        <v>確認しました。</v>
      </c>
      <c r="AF350" s="6" t="str">
        <f aca="false">IFERROR(__xludf.dummyfunction("""COMPUTED_VALUE"""),"社宅基準の内容について確認しました")</f>
        <v>社宅基準の内容について確認しました</v>
      </c>
      <c r="AG350" s="6" t="str">
        <f aca="false">IFERROR(__xludf.dummyfunction("""COMPUTED_VALUE"""),"入居のしおりの内容についてご確認しました")</f>
        <v>入居のしおりの内容についてご確認しました</v>
      </c>
      <c r="AH350" s="6" t="str">
        <f aca="false">IFERROR(__xludf.dummyfunction("""COMPUTED_VALUE"""),"確認しました")</f>
        <v>確認しました</v>
      </c>
      <c r="AI350" s="6"/>
      <c r="AJ350" s="6" t="str">
        <v/>
      </c>
      <c r="AK350" s="6" t="str">
        <v/>
      </c>
      <c r="AL350" s="6" t="str">
        <v/>
      </c>
      <c r="AM350" s="6" t="str">
        <v/>
      </c>
      <c r="AN350" s="6" t="n">
        <f aca="false">FALSE()</f>
        <v>0</v>
      </c>
    </row>
    <row r="351" customFormat="false" ht="52.5" hidden="false" customHeight="true" outlineLevel="0" collapsed="false">
      <c r="A351" s="6" t="str">
        <f aca="false">IFERROR(__xludf.dummyfunction("""COMPUTED_VALUE"""),"2026/03/12 20:04:55")</f>
        <v>2026/03/12 20:04:55</v>
      </c>
      <c r="B351" s="6"/>
      <c r="C351" s="6" t="str">
        <f aca="false">IFERROR(__xludf.dummyfunction("""COMPUTED_VALUE"""),"71276")</f>
        <v>71276</v>
      </c>
      <c r="D351" s="6"/>
      <c r="E351" s="6"/>
      <c r="F351" s="6"/>
      <c r="G351" s="6" t="str">
        <f aca="false">IFERROR(__xludf.dummyfunction("""COMPUTED_VALUE"""),"2026/04/30")</f>
        <v>2026/04/30</v>
      </c>
      <c r="H351" s="6" t="str">
        <f aca="false">IFERROR(__xludf.dummyfunction("""COMPUTED_VALUE"""),"必要")</f>
        <v>必要</v>
      </c>
      <c r="I351" s="6" t="str">
        <f aca="false">IFERROR(__xludf.dummyfunction("""COMPUTED_VALUE"""),"女性")</f>
        <v>女性</v>
      </c>
      <c r="J351" s="6" t="str">
        <f aca="false">IFERROR(__xludf.dummyfunction("""COMPUTED_VALUE"""),"日本")</f>
        <v>日本</v>
      </c>
      <c r="K351" s="6" t="str">
        <f aca="false">IFERROR(__xludf.dummyfunction("""COMPUTED_VALUE"""),"15")</f>
        <v>15</v>
      </c>
      <c r="L351" s="6" t="str">
        <f aca="false">IFERROR(__xludf.dummyfunction("""COMPUTED_VALUE"""),"冷蔵庫単身用、縦型洗濯機")</f>
        <v>冷蔵庫単身用、縦型洗濯機</v>
      </c>
      <c r="M351" s="6" t="str">
        <f aca="false">IFERROR(__xludf.dummyfunction("""COMPUTED_VALUE"""),"シングルベッド")</f>
        <v>シングルベッド</v>
      </c>
      <c r="N351" s="6"/>
      <c r="O351" s="6" t="str">
        <f aca="false">IFERROR(__xludf.dummyfunction("""COMPUTED_VALUE"""),"不要")</f>
        <v>不要</v>
      </c>
      <c r="P351" s="6"/>
      <c r="Q351" s="6"/>
      <c r="R351" s="6"/>
      <c r="S351" s="6" t="str">
        <f aca="false">IFERROR(__xludf.dummyfunction("""COMPUTED_VALUE"""),"家具家電なし社宅")</f>
        <v>家具家電なし社宅</v>
      </c>
      <c r="T351" s="6" t="str">
        <f aca="false">IFERROR(__xludf.dummyfunction("""COMPUTED_VALUE"""),"利用しない")</f>
        <v>利用しない</v>
      </c>
      <c r="U351" s="6"/>
      <c r="V351" s="6" t="str">
        <f aca="false">IFERROR(__xludf.dummyfunction("""COMPUTED_VALUE"""),"自転車, 電車")</f>
        <v>自転車, 電車</v>
      </c>
      <c r="W351" s="6"/>
      <c r="X351" s="6" t="str">
        <f aca="false">IFERROR(__xludf.dummyfunction("""COMPUTED_VALUE"""),"株式会社ビーネックステクノロジーズの社宅")</f>
        <v>株式会社ビーネックステクノロジーズの社宅</v>
      </c>
      <c r="Y351" s="6" t="str">
        <f aca="false">IFERROR(__xludf.dummyfunction("""COMPUTED_VALUE"""),"利用なし")</f>
        <v>利用なし</v>
      </c>
      <c r="Z351" s="6" t="str">
        <f aca="false">IFERROR(__xludf.dummyfunction("""COMPUTED_VALUE"""),"希望する")</f>
        <v>希望する</v>
      </c>
      <c r="AA351" s="6" t="str">
        <f aca="false">IFERROR(__xludf.dummyfunction("""COMPUTED_VALUE"""),"単身")</f>
        <v>単身</v>
      </c>
      <c r="AB351" s="6"/>
      <c r="AC351" s="6"/>
      <c r="AD351" s="6"/>
      <c r="AE351" s="6" t="str">
        <f aca="false">IFERROR(__xludf.dummyfunction("""COMPUTED_VALUE"""),"確認しました。")</f>
        <v>確認しました。</v>
      </c>
      <c r="AF351" s="6" t="str">
        <f aca="false">IFERROR(__xludf.dummyfunction("""COMPUTED_VALUE"""),"社宅基準の内容について確認しました")</f>
        <v>社宅基準の内容について確認しました</v>
      </c>
      <c r="AG351" s="6" t="str">
        <f aca="false">IFERROR(__xludf.dummyfunction("""COMPUTED_VALUE"""),"入居のしおりの内容についてご確認しました")</f>
        <v>入居のしおりの内容についてご確認しました</v>
      </c>
      <c r="AH351" s="6" t="str">
        <f aca="false">IFERROR(__xludf.dummyfunction("""COMPUTED_VALUE"""),"確認しました")</f>
        <v>確認しました</v>
      </c>
      <c r="AI351" s="6"/>
      <c r="AJ351" s="6" t="str">
        <v/>
      </c>
      <c r="AK351" s="6" t="str">
        <v/>
      </c>
      <c r="AL351" s="6" t="str">
        <v/>
      </c>
      <c r="AM351" s="6" t="str">
        <v/>
      </c>
      <c r="AN351" s="6" t="n">
        <f aca="false">FALSE()</f>
        <v>0</v>
      </c>
    </row>
    <row r="352" customFormat="false" ht="52.5" hidden="false" customHeight="true" outlineLevel="0" collapsed="false">
      <c r="A352" s="6" t="str">
        <f aca="false">IFERROR(__xludf.dummyfunction("""COMPUTED_VALUE"""),"2026/03/12 20:05:02")</f>
        <v>2026/03/12 20:05:02</v>
      </c>
      <c r="B352" s="6"/>
      <c r="C352" s="6" t="str">
        <f aca="false">IFERROR(__xludf.dummyfunction("""COMPUTED_VALUE"""),"71244")</f>
        <v>71244</v>
      </c>
      <c r="D352" s="6"/>
      <c r="E352" s="6"/>
      <c r="F352" s="6"/>
      <c r="G352" s="6" t="str">
        <f aca="false">IFERROR(__xludf.dummyfunction("""COMPUTED_VALUE"""),"2026/04/10")</f>
        <v>2026/04/10</v>
      </c>
      <c r="H352" s="6" t="str">
        <f aca="false">IFERROR(__xludf.dummyfunction("""COMPUTED_VALUE"""),"不要")</f>
        <v>不要</v>
      </c>
      <c r="I352" s="6" t="str">
        <f aca="false">IFERROR(__xludf.dummyfunction("""COMPUTED_VALUE"""),"男性")</f>
        <v>男性</v>
      </c>
      <c r="J352" s="6" t="str">
        <f aca="false">IFERROR(__xludf.dummyfunction("""COMPUTED_VALUE"""),"日本")</f>
        <v>日本</v>
      </c>
      <c r="K352" s="6"/>
      <c r="L352" s="6"/>
      <c r="M352" s="6"/>
      <c r="N352" s="6"/>
      <c r="O352" s="6" t="str">
        <f aca="false">IFERROR(__xludf.dummyfunction("""COMPUTED_VALUE"""),"必要")</f>
        <v>必要</v>
      </c>
      <c r="P352" s="6" t="str">
        <f aca="false">IFERROR(__xludf.dummyfunction("""COMPUTED_VALUE"""),"ムーヴ")</f>
        <v>ムーヴ</v>
      </c>
      <c r="Q352" s="6" t="str">
        <f aca="false">IFERROR(__xludf.dummyfunction("""COMPUTED_VALUE"""),"す92-31")</f>
        <v>す92-31</v>
      </c>
      <c r="R352" s="6" t="str">
        <f aca="false">IFERROR(__xludf.dummyfunction("""COMPUTED_VALUE"""),"黒")</f>
        <v>黒</v>
      </c>
      <c r="S352" s="6" t="str">
        <f aca="false">IFERROR(__xludf.dummyfunction("""COMPUTED_VALUE"""),"家具家電なし社宅")</f>
        <v>家具家電なし社宅</v>
      </c>
      <c r="T352" s="6" t="str">
        <f aca="false">IFERROR(__xludf.dummyfunction("""COMPUTED_VALUE"""),"利用しない")</f>
        <v>利用しない</v>
      </c>
      <c r="U352" s="6"/>
      <c r="V352" s="6" t="str">
        <f aca="false">IFERROR(__xludf.dummyfunction("""COMPUTED_VALUE"""),"自動車")</f>
        <v>自動車</v>
      </c>
      <c r="W352" s="6"/>
      <c r="X352" s="6" t="str">
        <f aca="false">IFERROR(__xludf.dummyfunction("""COMPUTED_VALUE"""),"実家")</f>
        <v>実家</v>
      </c>
      <c r="Y352" s="6"/>
      <c r="Z352" s="6" t="str">
        <f aca="false">IFERROR(__xludf.dummyfunction("""COMPUTED_VALUE"""),"希望する")</f>
        <v>希望する</v>
      </c>
      <c r="AA352" s="6" t="str">
        <f aca="false">IFERROR(__xludf.dummyfunction("""COMPUTED_VALUE"""),"単身")</f>
        <v>単身</v>
      </c>
      <c r="AB352" s="6"/>
      <c r="AC352" s="6"/>
      <c r="AD352" s="6"/>
      <c r="AE352" s="6" t="str">
        <f aca="false">IFERROR(__xludf.dummyfunction("""COMPUTED_VALUE"""),"この後送ろうと思っている")</f>
        <v>この後送ろうと思っている</v>
      </c>
      <c r="AF352" s="6" t="str">
        <f aca="false">IFERROR(__xludf.dummyfunction("""COMPUTED_VALUE"""),"社宅基準の内容について確認しました")</f>
        <v>社宅基準の内容について確認しました</v>
      </c>
      <c r="AG352" s="6" t="str">
        <f aca="false">IFERROR(__xludf.dummyfunction("""COMPUTED_VALUE"""),"入居のしおりの内容についてご確認しました")</f>
        <v>入居のしおりの内容についてご確認しました</v>
      </c>
      <c r="AH352" s="6" t="str">
        <f aca="false">IFERROR(__xludf.dummyfunction("""COMPUTED_VALUE"""),"確認しました")</f>
        <v>確認しました</v>
      </c>
      <c r="AI352" s="6"/>
      <c r="AJ352" s="6" t="str">
        <v/>
      </c>
      <c r="AK352" s="6" t="str">
        <v/>
      </c>
      <c r="AL352" s="6" t="str">
        <v/>
      </c>
      <c r="AM352" s="6" t="str">
        <v/>
      </c>
      <c r="AN352" s="6" t="n">
        <f aca="false">FALSE()</f>
        <v>0</v>
      </c>
    </row>
    <row r="353" customFormat="false" ht="52.5" hidden="false" customHeight="true" outlineLevel="0" collapsed="false">
      <c r="A353" s="6" t="str">
        <f aca="false">IFERROR(__xludf.dummyfunction("""COMPUTED_VALUE"""),"2026/03/12 20:14:09")</f>
        <v>2026/03/12 20:14:09</v>
      </c>
      <c r="B353" s="6"/>
      <c r="C353" s="6" t="str">
        <f aca="false">IFERROR(__xludf.dummyfunction("""COMPUTED_VALUE"""),"71185")</f>
        <v>71185</v>
      </c>
      <c r="D353" s="6"/>
      <c r="E353" s="6"/>
      <c r="F353" s="6"/>
      <c r="G353" s="6" t="str">
        <f aca="false">IFERROR(__xludf.dummyfunction("""COMPUTED_VALUE"""),"2026/03/28")</f>
        <v>2026/03/28</v>
      </c>
      <c r="H353" s="6" t="str">
        <f aca="false">IFERROR(__xludf.dummyfunction("""COMPUTED_VALUE"""),"必要")</f>
        <v>必要</v>
      </c>
      <c r="I353" s="6" t="str">
        <f aca="false">IFERROR(__xludf.dummyfunction("""COMPUTED_VALUE"""),"男性")</f>
        <v>男性</v>
      </c>
      <c r="J353" s="6" t="str">
        <f aca="false">IFERROR(__xludf.dummyfunction("""COMPUTED_VALUE"""),"日本")</f>
        <v>日本</v>
      </c>
      <c r="K353" s="6" t="str">
        <f aca="false">IFERROR(__xludf.dummyfunction("""COMPUTED_VALUE"""),"7")</f>
        <v>7</v>
      </c>
      <c r="L353" s="6" t="str">
        <f aca="false">IFERROR(__xludf.dummyfunction("""COMPUTED_VALUE"""),"なし")</f>
        <v>なし</v>
      </c>
      <c r="M353" s="6" t="str">
        <f aca="false">IFERROR(__xludf.dummyfunction("""COMPUTED_VALUE"""),"机 横幅約110cm 奥行約60cm 高さ約70cm
姿見兼棚 横幅約30cm 奥行約30cm 高さ約160cm
衣装ケース 幅約40cm 奥行約70cm 高さ約20cm
ハンガーラック 幅約90cm 奥行約40cm 高さ約170cm
椅子 約40cm 奥行約80cm 高さ約60cm")</f>
        <v>机 横幅約110cm 奥行約60cm 高さ約70cm
姿見兼棚 横幅約30cm 奥行約30cm 高さ約160cm
衣装ケース 幅約40cm 奥行約70cm 高さ約20cm
ハンガーラック 幅約90cm 奥行約40cm 高さ約170cm
椅子 約40cm 奥行約80cm 高さ約60cm</v>
      </c>
      <c r="N353" s="6" t="str">
        <f aca="false">IFERROR(__xludf.dummyfunction("""COMPUTED_VALUE"""),"パソコン
デバイス類
モニター二枚
衣服
その他諸々")</f>
        <v>パソコン
デバイス類
モニター二枚
衣服
その他諸々</v>
      </c>
      <c r="O353" s="6" t="str">
        <f aca="false">IFERROR(__xludf.dummyfunction("""COMPUTED_VALUE"""),"不要")</f>
        <v>不要</v>
      </c>
      <c r="P353" s="6"/>
      <c r="Q353" s="6"/>
      <c r="R353" s="6"/>
      <c r="S353" s="6" t="str">
        <f aca="false">IFERROR(__xludf.dummyfunction("""COMPUTED_VALUE"""),"家具家電付き社宅")</f>
        <v>家具家電付き社宅</v>
      </c>
      <c r="T353" s="6" t="str">
        <f aca="false">IFERROR(__xludf.dummyfunction("""COMPUTED_VALUE"""),"利用しない")</f>
        <v>利用しない</v>
      </c>
      <c r="U353" s="6"/>
      <c r="V353" s="6" t="str">
        <f aca="false">IFERROR(__xludf.dummyfunction("""COMPUTED_VALUE"""),"徒歩, 電車")</f>
        <v>徒歩, 電車</v>
      </c>
      <c r="W353" s="6"/>
      <c r="X353" s="6" t="str">
        <f aca="false">IFERROR(__xludf.dummyfunction("""COMPUTED_VALUE"""),"実家")</f>
        <v>実家</v>
      </c>
      <c r="Y353" s="6"/>
      <c r="Z353" s="6" t="str">
        <f aca="false">IFERROR(__xludf.dummyfunction("""COMPUTED_VALUE"""),"希望する")</f>
        <v>希望する</v>
      </c>
      <c r="AA353" s="6" t="str">
        <f aca="false">IFERROR(__xludf.dummyfunction("""COMPUTED_VALUE"""),"単身")</f>
        <v>単身</v>
      </c>
      <c r="AB353" s="6"/>
      <c r="AC353" s="6"/>
      <c r="AD353" s="6" t="str">
        <f aca="false">IFERROR(__xludf.dummyfunction("""COMPUTED_VALUE"""),"家具家電付きの物件にしておりますが
なしの物件もご案内いただきたいです。
なしの場合レンタルをお願いしたいです。
後、物件の位置なのですがなるべく京都寄りで
お願いしたく希望ではありますが山科駅、大津駅、石山駅、南草津駅、
この辺りをご案内いただけると幸いです。
よろしくお願い致します。")</f>
        <v>家具家電付きの物件にしておりますが
なしの物件もご案内いただきたいです。
なしの場合レンタルをお願いしたいです。
後、物件の位置なのですがなるべく京都寄りで
お願いしたく希望ではありますが山科駅、大津駅、石山駅、南草津駅、
この辺りをご案内いただけると幸いです。
よろしくお願い致します。</v>
      </c>
      <c r="AE353" s="6" t="str">
        <f aca="false">IFERROR(__xludf.dummyfunction("""COMPUTED_VALUE"""),"確認しました。")</f>
        <v>確認しました。</v>
      </c>
      <c r="AF353" s="6" t="str">
        <f aca="false">IFERROR(__xludf.dummyfunction("""COMPUTED_VALUE"""),"社宅基準の内容について確認しました")</f>
        <v>社宅基準の内容について確認しました</v>
      </c>
      <c r="AG353" s="6" t="str">
        <f aca="false">IFERROR(__xludf.dummyfunction("""COMPUTED_VALUE"""),"入居のしおりの内容についてご確認しました")</f>
        <v>入居のしおりの内容についてご確認しました</v>
      </c>
      <c r="AH353" s="6" t="str">
        <f aca="false">IFERROR(__xludf.dummyfunction("""COMPUTED_VALUE"""),"確認しました")</f>
        <v>確認しました</v>
      </c>
      <c r="AI353" s="6"/>
      <c r="AJ353" s="6" t="str">
        <v/>
      </c>
      <c r="AK353" s="6" t="str">
        <v/>
      </c>
      <c r="AL353" s="6" t="str">
        <v/>
      </c>
      <c r="AM353" s="6" t="str">
        <v/>
      </c>
      <c r="AN353" s="6" t="n">
        <f aca="false">FALSE()</f>
        <v>0</v>
      </c>
    </row>
    <row r="354" customFormat="false" ht="52.5" hidden="false" customHeight="true" outlineLevel="0" collapsed="false">
      <c r="A354" s="6" t="str">
        <f aca="false">IFERROR(__xludf.dummyfunction("""COMPUTED_VALUE"""),"2026/03/12 21:12:08")</f>
        <v>2026/03/12 21:12:08</v>
      </c>
      <c r="B354" s="6"/>
      <c r="C354" s="6" t="str">
        <f aca="false">IFERROR(__xludf.dummyfunction("""COMPUTED_VALUE"""),"71188")</f>
        <v>71188</v>
      </c>
      <c r="D354" s="6"/>
      <c r="E354" s="6"/>
      <c r="F354" s="6"/>
      <c r="G354" s="6" t="str">
        <f aca="false">IFERROR(__xludf.dummyfunction("""COMPUTED_VALUE"""),"2026/04/04")</f>
        <v>2026/04/04</v>
      </c>
      <c r="H354" s="6" t="str">
        <f aca="false">IFERROR(__xludf.dummyfunction("""COMPUTED_VALUE"""),"必要")</f>
        <v>必要</v>
      </c>
      <c r="I354" s="6" t="str">
        <f aca="false">IFERROR(__xludf.dummyfunction("""COMPUTED_VALUE"""),"男性")</f>
        <v>男性</v>
      </c>
      <c r="J354" s="6" t="str">
        <f aca="false">IFERROR(__xludf.dummyfunction("""COMPUTED_VALUE"""),"日本")</f>
        <v>日本</v>
      </c>
      <c r="K354" s="6" t="str">
        <f aca="false">IFERROR(__xludf.dummyfunction("""COMPUTED_VALUE"""),"12")</f>
        <v>12</v>
      </c>
      <c r="L354" s="6" t="str">
        <f aca="false">IFERROR(__xludf.dummyfunction("""COMPUTED_VALUE"""),"冷蔵庫2ドア、テレビ65インチ、電子レンジ、ローストーブ、扇風機、他")</f>
        <v>冷蔵庫2ドア、テレビ65インチ、電子レンジ、ローストーブ、扇風機、他</v>
      </c>
      <c r="M354" s="6" t="str">
        <f aca="false">IFERROR(__xludf.dummyfunction("""COMPUTED_VALUE"""),"タンス2個100×45×90、パソコンデスク、椅子、2人がけソファー")</f>
        <v>タンス2個100×45×90、パソコンデスク、椅子、2人がけソファー</v>
      </c>
      <c r="N354" s="6" t="str">
        <f aca="false">IFERROR(__xludf.dummyfunction("""COMPUTED_VALUE"""),"自転車、衣類、靴")</f>
        <v>自転車、衣類、靴</v>
      </c>
      <c r="O354" s="6" t="str">
        <f aca="false">IFERROR(__xludf.dummyfunction("""COMPUTED_VALUE"""),"必要")</f>
        <v>必要</v>
      </c>
      <c r="P354" s="6" t="str">
        <f aca="false">IFERROR(__xludf.dummyfunction("""COMPUTED_VALUE"""),"プリウスα")</f>
        <v>プリウスα</v>
      </c>
      <c r="Q354" s="6" t="str">
        <f aca="false">IFERROR(__xludf.dummyfunction("""COMPUTED_VALUE"""),"510")</f>
        <v>510</v>
      </c>
      <c r="R354" s="6" t="str">
        <f aca="false">IFERROR(__xludf.dummyfunction("""COMPUTED_VALUE"""),"ホワイト")</f>
        <v>ホワイト</v>
      </c>
      <c r="S354" s="6" t="str">
        <f aca="false">IFERROR(__xludf.dummyfunction("""COMPUTED_VALUE"""),"家具家電なし社宅")</f>
        <v>家具家電なし社宅</v>
      </c>
      <c r="T354" s="6" t="str">
        <f aca="false">IFERROR(__xludf.dummyfunction("""COMPUTED_VALUE"""),"利用する")</f>
        <v>利用する</v>
      </c>
      <c r="U354" s="6" t="str">
        <f aca="false">IFERROR(__xludf.dummyfunction("""COMPUTED_VALUE"""),"洗濯機")</f>
        <v>洗濯機</v>
      </c>
      <c r="V354" s="6" t="str">
        <f aca="false">IFERROR(__xludf.dummyfunction("""COMPUTED_VALUE"""),"徒歩, 電車")</f>
        <v>徒歩, 電車</v>
      </c>
      <c r="W354" s="6"/>
      <c r="X354" s="6" t="str">
        <f aca="false">IFERROR(__xludf.dummyfunction("""COMPUTED_VALUE"""),"株式会社ビーネックステクノロジーズの社宅")</f>
        <v>株式会社ビーネックステクノロジーズの社宅</v>
      </c>
      <c r="Y354" s="6" t="str">
        <f aca="false">IFERROR(__xludf.dummyfunction("""COMPUTED_VALUE"""),"レンタル中 洗濯機")</f>
        <v>レンタル中 洗濯機</v>
      </c>
      <c r="Z354" s="6" t="str">
        <f aca="false">IFERROR(__xludf.dummyfunction("""COMPUTED_VALUE"""),"希望しない")</f>
        <v>希望しない</v>
      </c>
      <c r="AA354" s="6" t="str">
        <f aca="false">IFERROR(__xludf.dummyfunction("""COMPUTED_VALUE"""),"単身")</f>
        <v>単身</v>
      </c>
      <c r="AB354" s="6"/>
      <c r="AC354" s="6"/>
      <c r="AD354" s="6" t="str">
        <f aca="false">IFERROR(__xludf.dummyfunction("""COMPUTED_VALUE"""),"鉄筋、防音、バス、トイレセパレート、単身者用、")</f>
        <v>鉄筋、防音、バス、トイレセパレート、単身者用、</v>
      </c>
      <c r="AE354" s="6" t="str">
        <f aca="false">IFERROR(__xludf.dummyfunction("""COMPUTED_VALUE"""),"確認しました。")</f>
        <v>確認しました。</v>
      </c>
      <c r="AF354" s="6" t="str">
        <f aca="false">IFERROR(__xludf.dummyfunction("""COMPUTED_VALUE"""),"社宅基準の内容について確認しました")</f>
        <v>社宅基準の内容について確認しました</v>
      </c>
      <c r="AG354" s="6" t="str">
        <f aca="false">IFERROR(__xludf.dummyfunction("""COMPUTED_VALUE"""),"入居のしおりの内容についてご確認しました")</f>
        <v>入居のしおりの内容についてご確認しました</v>
      </c>
      <c r="AH354" s="6" t="str">
        <f aca="false">IFERROR(__xludf.dummyfunction("""COMPUTED_VALUE"""),"確認しました")</f>
        <v>確認しました</v>
      </c>
      <c r="AI354" s="6"/>
      <c r="AJ354" s="6" t="str">
        <v/>
      </c>
      <c r="AK354" s="6" t="str">
        <v/>
      </c>
      <c r="AL354" s="6" t="str">
        <v/>
      </c>
      <c r="AM354" s="6" t="str">
        <v/>
      </c>
      <c r="AN354" s="6" t="n">
        <f aca="false">FALSE()</f>
        <v>0</v>
      </c>
    </row>
    <row r="355" customFormat="false" ht="52.5" hidden="false" customHeight="true" outlineLevel="0" collapsed="false">
      <c r="A355" s="6" t="str">
        <f aca="false">IFERROR(__xludf.dummyfunction("""COMPUTED_VALUE"""),"2026/03/12 21:50:55")</f>
        <v>2026/03/12 21:50:55</v>
      </c>
      <c r="B355" s="6"/>
      <c r="C355" s="6" t="str">
        <f aca="false">IFERROR(__xludf.dummyfunction("""COMPUTED_VALUE"""),"71250")</f>
        <v>71250</v>
      </c>
      <c r="D355" s="6"/>
      <c r="E355" s="6"/>
      <c r="F355" s="6"/>
      <c r="G355" s="6" t="str">
        <f aca="false">IFERROR(__xludf.dummyfunction("""COMPUTED_VALUE"""),"2026/03/29")</f>
        <v>2026/03/29</v>
      </c>
      <c r="H355" s="6" t="str">
        <f aca="false">IFERROR(__xludf.dummyfunction("""COMPUTED_VALUE"""),"不要")</f>
        <v>不要</v>
      </c>
      <c r="I355" s="6" t="str">
        <f aca="false">IFERROR(__xludf.dummyfunction("""COMPUTED_VALUE"""),"女性")</f>
        <v>女性</v>
      </c>
      <c r="J355" s="6" t="str">
        <f aca="false">IFERROR(__xludf.dummyfunction("""COMPUTED_VALUE"""),"日本")</f>
        <v>日本</v>
      </c>
      <c r="K355" s="6"/>
      <c r="L355" s="6"/>
      <c r="M355" s="6"/>
      <c r="N355" s="6"/>
      <c r="O355" s="6" t="str">
        <f aca="false">IFERROR(__xludf.dummyfunction("""COMPUTED_VALUE"""),"必要")</f>
        <v>必要</v>
      </c>
      <c r="P355" s="6" t="str">
        <f aca="false">IFERROR(__xludf.dummyfunction("""COMPUTED_VALUE"""),"Ninja250（バイク）")</f>
        <v>Ninja250（バイク）</v>
      </c>
      <c r="Q355" s="6" t="str">
        <f aca="false">IFERROR(__xludf.dummyfunction("""COMPUTED_VALUE"""),"た・8-34")</f>
        <v>た・8-34</v>
      </c>
      <c r="R355" s="6" t="str">
        <f aca="false">IFERROR(__xludf.dummyfunction("""COMPUTED_VALUE"""),"黒")</f>
        <v>黒</v>
      </c>
      <c r="S355" s="6" t="str">
        <f aca="false">IFERROR(__xludf.dummyfunction("""COMPUTED_VALUE"""),"家具家電付き社宅")</f>
        <v>家具家電付き社宅</v>
      </c>
      <c r="T355" s="6" t="str">
        <f aca="false">IFERROR(__xludf.dummyfunction("""COMPUTED_VALUE"""),"利用しない")</f>
        <v>利用しない</v>
      </c>
      <c r="U355" s="6"/>
      <c r="V355" s="6" t="str">
        <f aca="false">IFERROR(__xludf.dummyfunction("""COMPUTED_VALUE"""),"電車, 社用バス")</f>
        <v>電車, 社用バス</v>
      </c>
      <c r="W355" s="6"/>
      <c r="X355" s="6" t="str">
        <f aca="false">IFERROR(__xludf.dummyfunction("""COMPUTED_VALUE"""),"実家")</f>
        <v>実家</v>
      </c>
      <c r="Y355" s="6"/>
      <c r="Z355" s="6" t="str">
        <f aca="false">IFERROR(__xludf.dummyfunction("""COMPUTED_VALUE"""),"希望する")</f>
        <v>希望する</v>
      </c>
      <c r="AA355" s="6" t="str">
        <f aca="false">IFERROR(__xludf.dummyfunction("""COMPUTED_VALUE"""),"単身")</f>
        <v>単身</v>
      </c>
      <c r="AB355" s="6"/>
      <c r="AC355" s="6"/>
      <c r="AD355" s="6" t="str">
        <f aca="false">IFERROR(__xludf.dummyfunction("""COMPUTED_VALUE"""),"2階以上、バストイレ別、1R以外")</f>
        <v>2階以上、バストイレ別、1R以外</v>
      </c>
      <c r="AE355" s="6" t="str">
        <f aca="false">IFERROR(__xludf.dummyfunction("""COMPUTED_VALUE"""),"確認しました。")</f>
        <v>確認しました。</v>
      </c>
      <c r="AF355" s="6" t="str">
        <f aca="false">IFERROR(__xludf.dummyfunction("""COMPUTED_VALUE"""),"社宅基準の内容について確認しました")</f>
        <v>社宅基準の内容について確認しました</v>
      </c>
      <c r="AG355" s="6" t="str">
        <f aca="false">IFERROR(__xludf.dummyfunction("""COMPUTED_VALUE"""),"入居のしおりの内容についてご確認しました")</f>
        <v>入居のしおりの内容についてご確認しました</v>
      </c>
      <c r="AH355" s="6" t="str">
        <f aca="false">IFERROR(__xludf.dummyfunction("""COMPUTED_VALUE"""),"確認しました")</f>
        <v>確認しました</v>
      </c>
      <c r="AI355" s="6"/>
      <c r="AJ355" s="6" t="str">
        <v/>
      </c>
      <c r="AK355" s="6" t="str">
        <v/>
      </c>
      <c r="AL355" s="6" t="str">
        <v/>
      </c>
      <c r="AM355" s="6" t="str">
        <v/>
      </c>
      <c r="AN355" s="6" t="n">
        <f aca="false">FALSE()</f>
        <v>0</v>
      </c>
    </row>
    <row r="356" customFormat="false" ht="52.5" hidden="false" customHeight="true" outlineLevel="0" collapsed="false">
      <c r="A356" s="6" t="str">
        <f aca="false">IFERROR(__xludf.dummyfunction("""COMPUTED_VALUE"""),"2026/03/12 22:08:00")</f>
        <v>2026/03/12 22:08:00</v>
      </c>
      <c r="B356" s="6"/>
      <c r="C356" s="6" t="str">
        <f aca="false">IFERROR(__xludf.dummyfunction("""COMPUTED_VALUE"""),"71271")</f>
        <v>71271</v>
      </c>
      <c r="D356" s="6"/>
      <c r="E356" s="6"/>
      <c r="F356" s="6"/>
      <c r="G356" s="6" t="str">
        <f aca="false">IFERROR(__xludf.dummyfunction("""COMPUTED_VALUE"""),"2026/03/30")</f>
        <v>2026/03/30</v>
      </c>
      <c r="H356" s="6" t="str">
        <f aca="false">IFERROR(__xludf.dummyfunction("""COMPUTED_VALUE"""),"必要")</f>
        <v>必要</v>
      </c>
      <c r="I356" s="6" t="str">
        <f aca="false">IFERROR(__xludf.dummyfunction("""COMPUTED_VALUE"""),"女性")</f>
        <v>女性</v>
      </c>
      <c r="J356" s="6" t="str">
        <f aca="false">IFERROR(__xludf.dummyfunction("""COMPUTED_VALUE"""),"日本")</f>
        <v>日本</v>
      </c>
      <c r="K356" s="6" t="str">
        <f aca="false">IFERROR(__xludf.dummyfunction("""COMPUTED_VALUE"""),"15")</f>
        <v>15</v>
      </c>
      <c r="L356" s="6" t="str">
        <f aca="false">IFERROR(__xludf.dummyfunction("""COMPUTED_VALUE"""),"冷蔵庫（単身用）・電子レンジ・テレビ（単身用）・ガスコンロ（2口）・ウォーターサーバー
（横幅:30cm  奥行:34cm  高さ:110cm)")</f>
        <v>冷蔵庫（単身用）・電子レンジ・テレビ（単身用）・ガスコンロ（2口）・ウォーターサーバー
（横幅:30cm  奥行:34cm  高さ:110cm)</v>
      </c>
      <c r="M356" s="6" t="str">
        <f aca="false">IFERROR(__xludf.dummyfunction("""COMPUTED_VALUE"""),"・テーブル（横幅: 67 cm 奥行: 67 cm 高さ: 73 cm）・椅子（2脚）・三段ボックス×3
（横幅:41.9cm  奥行:29.8cm  高さ:87.8cm）
・二段ボックス×1（横幅:41.9cm  奥行:29.8cm  高さ:59cm）・洋服タンス（プラスチック）")</f>
        <v>・テーブル（横幅: 67 cm 奥行: 67 cm 高さ: 73 cm）・椅子（2脚）・三段ボックス×3
（横幅:41.9cm  奥行:29.8cm  高さ:87.8cm）
・二段ボックス×1（横幅:41.9cm  奥行:29.8cm  高さ:59cm）・洋服タンス（プラスチック）</v>
      </c>
      <c r="N356" s="6" t="str">
        <f aca="false">IFERROR(__xludf.dummyfunction("""COMPUTED_VALUE"""),"自転車・布団")</f>
        <v>自転車・布団</v>
      </c>
      <c r="O356" s="6" t="str">
        <f aca="false">IFERROR(__xludf.dummyfunction("""COMPUTED_VALUE"""),"必要")</f>
        <v>必要</v>
      </c>
      <c r="P356" s="6" t="str">
        <f aca="false">IFERROR(__xludf.dummyfunction("""COMPUTED_VALUE"""),"スバルインプレッサ")</f>
        <v>スバルインプレッサ</v>
      </c>
      <c r="Q356" s="6" t="str">
        <f aca="false">IFERROR(__xludf.dummyfunction("""COMPUTED_VALUE"""),"高知300の9529")</f>
        <v>高知300の9529</v>
      </c>
      <c r="R356" s="6" t="str">
        <f aca="false">IFERROR(__xludf.dummyfunction("""COMPUTED_VALUE"""),"ダークグレー")</f>
        <v>ダークグレー</v>
      </c>
      <c r="S356" s="6" t="str">
        <f aca="false">IFERROR(__xludf.dummyfunction("""COMPUTED_VALUE"""),"家具家電なし社宅")</f>
        <v>家具家電なし社宅</v>
      </c>
      <c r="T356" s="6" t="str">
        <f aca="false">IFERROR(__xludf.dummyfunction("""COMPUTED_VALUE"""),"利用しない")</f>
        <v>利用しない</v>
      </c>
      <c r="U356" s="6"/>
      <c r="V356" s="6" t="str">
        <f aca="false">IFERROR(__xludf.dummyfunction("""COMPUTED_VALUE"""),"電車, バス")</f>
        <v>電車, バス</v>
      </c>
      <c r="W356" s="6"/>
      <c r="X356" s="6" t="str">
        <f aca="false">IFERROR(__xludf.dummyfunction("""COMPUTED_VALUE"""),"株式会社ビーネックステクノロジーズの社宅")</f>
        <v>株式会社ビーネックステクノロジーズの社宅</v>
      </c>
      <c r="Y356" s="6" t="str">
        <f aca="false">IFERROR(__xludf.dummyfunction("""COMPUTED_VALUE"""),"利用なし")</f>
        <v>利用なし</v>
      </c>
      <c r="Z356" s="6" t="str">
        <f aca="false">IFERROR(__xludf.dummyfunction("""COMPUTED_VALUE"""),"希望しない")</f>
        <v>希望しない</v>
      </c>
      <c r="AA356" s="6" t="str">
        <f aca="false">IFERROR(__xludf.dummyfunction("""COMPUTED_VALUE"""),"単身")</f>
        <v>単身</v>
      </c>
      <c r="AB356" s="6"/>
      <c r="AC356" s="6"/>
      <c r="AD356" s="6" t="str">
        <f aca="false">IFERROR(__xludf.dummyfunction("""COMPUTED_VALUE"""),"前回の引越しで上限の6万を超えても良いという承認は得ているので、もし高くても1LDKで探して欲しいです。堺市などで探して欲しいです。")</f>
        <v>前回の引越しで上限の6万を超えても良いという承認は得ているので、もし高くても1LDKで探して欲しいです。堺市などで探して欲しいです。</v>
      </c>
      <c r="AE356" s="6" t="str">
        <f aca="false">IFERROR(__xludf.dummyfunction("""COMPUTED_VALUE"""),"確認しました。")</f>
        <v>確認しました。</v>
      </c>
      <c r="AF356" s="6" t="str">
        <f aca="false">IFERROR(__xludf.dummyfunction("""COMPUTED_VALUE"""),"社宅基準の内容について確認しました")</f>
        <v>社宅基準の内容について確認しました</v>
      </c>
      <c r="AG356" s="6" t="str">
        <f aca="false">IFERROR(__xludf.dummyfunction("""COMPUTED_VALUE"""),"入居のしおりの内容についてご確認しました")</f>
        <v>入居のしおりの内容についてご確認しました</v>
      </c>
      <c r="AH356" s="6" t="str">
        <f aca="false">IFERROR(__xludf.dummyfunction("""COMPUTED_VALUE"""),"確認しました")</f>
        <v>確認しました</v>
      </c>
      <c r="AI356" s="6"/>
      <c r="AJ356" s="6" t="str">
        <v/>
      </c>
      <c r="AK356" s="6" t="str">
        <v/>
      </c>
      <c r="AL356" s="6" t="str">
        <v/>
      </c>
      <c r="AM356" s="6" t="str">
        <v/>
      </c>
      <c r="AN356" s="6" t="n">
        <f aca="false">TRUE()</f>
        <v>1</v>
      </c>
    </row>
    <row r="357" customFormat="false" ht="52.5" hidden="false" customHeight="true" outlineLevel="0" collapsed="false">
      <c r="A357" s="6" t="str">
        <f aca="false">IFERROR(__xludf.dummyfunction("""COMPUTED_VALUE"""),"2026/03/13 0:44:11")</f>
        <v>2026/03/13 0:44:11</v>
      </c>
      <c r="B357" s="6"/>
      <c r="C357" s="6" t="str">
        <f aca="false">IFERROR(__xludf.dummyfunction("""COMPUTED_VALUE"""),"70883")</f>
        <v>70883</v>
      </c>
      <c r="D357" s="6"/>
      <c r="E357" s="6"/>
      <c r="F357" s="6"/>
      <c r="G357" s="6" t="str">
        <f aca="false">IFERROR(__xludf.dummyfunction("""COMPUTED_VALUE"""),"2026/04/25")</f>
        <v>2026/04/25</v>
      </c>
      <c r="H357" s="6" t="str">
        <f aca="false">IFERROR(__xludf.dummyfunction("""COMPUTED_VALUE"""),"必要")</f>
        <v>必要</v>
      </c>
      <c r="I357" s="6" t="str">
        <f aca="false">IFERROR(__xludf.dummyfunction("""COMPUTED_VALUE"""),"男性")</f>
        <v>男性</v>
      </c>
      <c r="J357" s="6" t="str">
        <f aca="false">IFERROR(__xludf.dummyfunction("""COMPUTED_VALUE"""),"日本")</f>
        <v>日本</v>
      </c>
      <c r="K357" s="6" t="str">
        <f aca="false">IFERROR(__xludf.dummyfunction("""COMPUTED_VALUE"""),"15")</f>
        <v>15</v>
      </c>
      <c r="L357" s="6" t="str">
        <f aca="false">IFERROR(__xludf.dummyfunction("""COMPUTED_VALUE"""),"冷蔵庫（２ドア）、洗濯機、テレビ、モニタ")</f>
        <v>冷蔵庫（２ドア）、洗濯機、テレビ、モニタ</v>
      </c>
      <c r="M357" s="6" t="str">
        <f aca="false">IFERROR(__xludf.dummyfunction("""COMPUTED_VALUE"""),"ベッド（シングル）、カーペット")</f>
        <v>ベッド（シングル）、カーペット</v>
      </c>
      <c r="N357" s="6" t="str">
        <f aca="false">IFERROR(__xludf.dummyfunction("""COMPUTED_VALUE"""),"自転車")</f>
        <v>自転車</v>
      </c>
      <c r="O357" s="6" t="str">
        <f aca="false">IFERROR(__xludf.dummyfunction("""COMPUTED_VALUE"""),"必要")</f>
        <v>必要</v>
      </c>
      <c r="P357" s="6" t="str">
        <f aca="false">IFERROR(__xludf.dummyfunction("""COMPUTED_VALUE"""),"トヨタMRS")</f>
        <v>トヨタMRS</v>
      </c>
      <c r="Q357" s="6" t="str">
        <f aca="false">IFERROR(__xludf.dummyfunction("""COMPUTED_VALUE"""),"ふ98-98")</f>
        <v>ふ98-98</v>
      </c>
      <c r="R357" s="6" t="str">
        <f aca="false">IFERROR(__xludf.dummyfunction("""COMPUTED_VALUE"""),"青")</f>
        <v>青</v>
      </c>
      <c r="S357" s="6" t="str">
        <f aca="false">IFERROR(__xludf.dummyfunction("""COMPUTED_VALUE"""),"家具家電なし社宅")</f>
        <v>家具家電なし社宅</v>
      </c>
      <c r="T357" s="6" t="str">
        <f aca="false">IFERROR(__xludf.dummyfunction("""COMPUTED_VALUE"""),"利用しない")</f>
        <v>利用しない</v>
      </c>
      <c r="U357" s="6"/>
      <c r="V357" s="6" t="str">
        <f aca="false">IFERROR(__xludf.dummyfunction("""COMPUTED_VALUE"""),"徒歩, 自動車, 自転車, 電車")</f>
        <v>徒歩, 自動車, 自転車, 電車</v>
      </c>
      <c r="W357" s="6"/>
      <c r="X357" s="6" t="str">
        <f aca="false">IFERROR(__xludf.dummyfunction("""COMPUTED_VALUE"""),"ご自身で契約中の物件")</f>
        <v>ご自身で契約中の物件</v>
      </c>
      <c r="Y357" s="6"/>
      <c r="Z357" s="6" t="str">
        <f aca="false">IFERROR(__xludf.dummyfunction("""COMPUTED_VALUE"""),"希望する")</f>
        <v>希望する</v>
      </c>
      <c r="AA357" s="6" t="str">
        <f aca="false">IFERROR(__xludf.dummyfunction("""COMPUTED_VALUE"""),"単身")</f>
        <v>単身</v>
      </c>
      <c r="AB357" s="6"/>
      <c r="AC357" s="6"/>
      <c r="AD357" s="6" t="str">
        <f aca="false">IFERROR(__xludf.dummyfunction("""COMPUTED_VALUE"""),"実家に家具ありそれらをもっていきたい。")</f>
        <v>実家に家具ありそれらをもっていきたい。</v>
      </c>
      <c r="AE357" s="6" t="str">
        <f aca="false">IFERROR(__xludf.dummyfunction("""COMPUTED_VALUE"""),"確認しました。")</f>
        <v>確認しました。</v>
      </c>
      <c r="AF357" s="6" t="str">
        <f aca="false">IFERROR(__xludf.dummyfunction("""COMPUTED_VALUE"""),"社宅基準の内容について確認しました")</f>
        <v>社宅基準の内容について確認しました</v>
      </c>
      <c r="AG357" s="6" t="str">
        <f aca="false">IFERROR(__xludf.dummyfunction("""COMPUTED_VALUE"""),"入居のしおりの内容についてご確認しました")</f>
        <v>入居のしおりの内容についてご確認しました</v>
      </c>
      <c r="AH357" s="6" t="str">
        <f aca="false">IFERROR(__xludf.dummyfunction("""COMPUTED_VALUE"""),"確認しました")</f>
        <v>確認しました</v>
      </c>
      <c r="AI357" s="6"/>
      <c r="AJ357" s="6" t="str">
        <v/>
      </c>
      <c r="AK357" s="6" t="str">
        <v/>
      </c>
      <c r="AL357" s="6" t="str">
        <v/>
      </c>
      <c r="AM357" s="6" t="str">
        <v/>
      </c>
      <c r="AN357" s="6" t="n">
        <f aca="false">TRUE()</f>
        <v>1</v>
      </c>
    </row>
    <row r="358" customFormat="false" ht="52.5" hidden="false" customHeight="true" outlineLevel="0" collapsed="false">
      <c r="A358" s="6" t="str">
        <f aca="false">IFERROR(__xludf.dummyfunction("""COMPUTED_VALUE"""),"2026/03/13 9:19:46")</f>
        <v>2026/03/13 9:19:46</v>
      </c>
      <c r="B358" s="6"/>
      <c r="C358" s="6" t="str">
        <f aca="false">IFERROR(__xludf.dummyfunction("""COMPUTED_VALUE"""),"71305")</f>
        <v>71305</v>
      </c>
      <c r="D358" s="6"/>
      <c r="E358" s="6"/>
      <c r="F358" s="6"/>
      <c r="G358" s="6" t="str">
        <f aca="false">IFERROR(__xludf.dummyfunction("""COMPUTED_VALUE"""),"2026/03/23")</f>
        <v>2026/03/23</v>
      </c>
      <c r="H358" s="6" t="str">
        <f aca="false">IFERROR(__xludf.dummyfunction("""COMPUTED_VALUE"""),"不要")</f>
        <v>不要</v>
      </c>
      <c r="I358" s="6" t="str">
        <f aca="false">IFERROR(__xludf.dummyfunction("""COMPUTED_VALUE"""),"男性")</f>
        <v>男性</v>
      </c>
      <c r="J358" s="6" t="str">
        <f aca="false">IFERROR(__xludf.dummyfunction("""COMPUTED_VALUE"""),"日本")</f>
        <v>日本</v>
      </c>
      <c r="K358" s="6"/>
      <c r="L358" s="6"/>
      <c r="M358" s="6"/>
      <c r="N358" s="6"/>
      <c r="O358" s="6" t="str">
        <f aca="false">IFERROR(__xludf.dummyfunction("""COMPUTED_VALUE"""),"必要")</f>
        <v>必要</v>
      </c>
      <c r="P358" s="6" t="str">
        <f aca="false">IFERROR(__xludf.dummyfunction("""COMPUTED_VALUE"""),"フォルクスワーゲン ゴルフ")</f>
        <v>フォルクスワーゲン ゴルフ</v>
      </c>
      <c r="Q358" s="6" t="str">
        <f aca="false">IFERROR(__xludf.dummyfunction("""COMPUTED_VALUE"""),"水戸 302 す 3402")</f>
        <v>水戸 302 す 3402</v>
      </c>
      <c r="R358" s="6" t="str">
        <f aca="false">IFERROR(__xludf.dummyfunction("""COMPUTED_VALUE"""),"白")</f>
        <v>白</v>
      </c>
      <c r="S358" s="6" t="str">
        <f aca="false">IFERROR(__xludf.dummyfunction("""COMPUTED_VALUE"""),"家具家電付き社宅")</f>
        <v>家具家電付き社宅</v>
      </c>
      <c r="T358" s="6" t="str">
        <f aca="false">IFERROR(__xludf.dummyfunction("""COMPUTED_VALUE"""),"利用しない")</f>
        <v>利用しない</v>
      </c>
      <c r="U358" s="6"/>
      <c r="V358" s="6" t="str">
        <f aca="false">IFERROR(__xludf.dummyfunction("""COMPUTED_VALUE"""),"自動車")</f>
        <v>自動車</v>
      </c>
      <c r="W358" s="6"/>
      <c r="X358" s="6" t="str">
        <f aca="false">IFERROR(__xludf.dummyfunction("""COMPUTED_VALUE"""),"実家")</f>
        <v>実家</v>
      </c>
      <c r="Y358" s="6"/>
      <c r="Z358" s="6" t="str">
        <f aca="false">IFERROR(__xludf.dummyfunction("""COMPUTED_VALUE"""),"希望する")</f>
        <v>希望する</v>
      </c>
      <c r="AA358" s="6" t="str">
        <f aca="false">IFERROR(__xludf.dummyfunction("""COMPUTED_VALUE"""),"単身")</f>
        <v>単身</v>
      </c>
      <c r="AB358" s="6"/>
      <c r="AC358" s="6"/>
      <c r="AD358" s="6"/>
      <c r="AE358" s="6" t="str">
        <f aca="false">IFERROR(__xludf.dummyfunction("""COMPUTED_VALUE"""),"確認しました。")</f>
        <v>確認しました。</v>
      </c>
      <c r="AF358" s="6" t="str">
        <f aca="false">IFERROR(__xludf.dummyfunction("""COMPUTED_VALUE"""),"社宅基準の内容について確認しました")</f>
        <v>社宅基準の内容について確認しました</v>
      </c>
      <c r="AG358" s="6" t="str">
        <f aca="false">IFERROR(__xludf.dummyfunction("""COMPUTED_VALUE"""),"入居のしおりの内容についてご確認しました")</f>
        <v>入居のしおりの内容についてご確認しました</v>
      </c>
      <c r="AH358" s="6" t="str">
        <f aca="false">IFERROR(__xludf.dummyfunction("""COMPUTED_VALUE"""),"確認しました")</f>
        <v>確認しました</v>
      </c>
      <c r="AI358" s="6"/>
      <c r="AJ358" s="6" t="str">
        <v/>
      </c>
      <c r="AK358" s="6" t="str">
        <v/>
      </c>
      <c r="AL358" s="6" t="str">
        <v/>
      </c>
      <c r="AM358" s="6" t="str">
        <v/>
      </c>
      <c r="AN358" s="6" t="n">
        <f aca="false">FALSE()</f>
        <v>0</v>
      </c>
    </row>
    <row r="359" customFormat="false" ht="52.5" hidden="false" customHeight="true" outlineLevel="0" collapsed="false">
      <c r="A359" s="6" t="str">
        <f aca="false">IFERROR(__xludf.dummyfunction("""COMPUTED_VALUE"""),"2026/03/13 12:24:14")</f>
        <v>2026/03/13 12:24:14</v>
      </c>
      <c r="B359" s="6"/>
      <c r="C359" s="6" t="str">
        <f aca="false">IFERROR(__xludf.dummyfunction("""COMPUTED_VALUE"""),"71264")</f>
        <v>71264</v>
      </c>
      <c r="D359" s="6"/>
      <c r="E359" s="6"/>
      <c r="F359" s="6"/>
      <c r="G359" s="6" t="str">
        <f aca="false">IFERROR(__xludf.dummyfunction("""COMPUTED_VALUE"""),"2026/03/28")</f>
        <v>2026/03/28</v>
      </c>
      <c r="H359" s="6" t="str">
        <f aca="false">IFERROR(__xludf.dummyfunction("""COMPUTED_VALUE"""),"必要")</f>
        <v>必要</v>
      </c>
      <c r="I359" s="6" t="str">
        <f aca="false">IFERROR(__xludf.dummyfunction("""COMPUTED_VALUE"""),"女性")</f>
        <v>女性</v>
      </c>
      <c r="J359" s="6" t="str">
        <f aca="false">IFERROR(__xludf.dummyfunction("""COMPUTED_VALUE"""),"日本")</f>
        <v>日本</v>
      </c>
      <c r="K359" s="6" t="str">
        <f aca="false">IFERROR(__xludf.dummyfunction("""COMPUTED_VALUE"""),"15")</f>
        <v>15</v>
      </c>
      <c r="L359" s="6" t="str">
        <f aca="false">IFERROR(__xludf.dummyfunction("""COMPUTED_VALUE"""),"冷蔵庫(2ドア)、縦型洗濯機、電子レンジ、オーブン、食洗機")</f>
        <v>冷蔵庫(2ドア)、縦型洗濯機、電子レンジ、オーブン、食洗機</v>
      </c>
      <c r="M359" s="6" t="str">
        <f aca="false">IFERROR(__xludf.dummyfunction("""COMPUTED_VALUE"""),"こたつ、折りたたみ机、カラーボックス、布団2枚、こたつ布団1枚、カーペット2枚")</f>
        <v>こたつ、折りたたみ机、カラーボックス、布団2枚、こたつ布団1枚、カーペット2枚</v>
      </c>
      <c r="N359" s="6"/>
      <c r="O359" s="6" t="str">
        <f aca="false">IFERROR(__xludf.dummyfunction("""COMPUTED_VALUE"""),"不要")</f>
        <v>不要</v>
      </c>
      <c r="P359" s="6"/>
      <c r="Q359" s="6"/>
      <c r="R359" s="6"/>
      <c r="S359" s="6" t="str">
        <f aca="false">IFERROR(__xludf.dummyfunction("""COMPUTED_VALUE"""),"家具家電なし社宅")</f>
        <v>家具家電なし社宅</v>
      </c>
      <c r="T359" s="6" t="str">
        <f aca="false">IFERROR(__xludf.dummyfunction("""COMPUTED_VALUE"""),"利用しない")</f>
        <v>利用しない</v>
      </c>
      <c r="U359" s="6"/>
      <c r="V359" s="6" t="str">
        <f aca="false">IFERROR(__xludf.dummyfunction("""COMPUTED_VALUE"""),"徒歩, 電車, バス")</f>
        <v>徒歩, 電車, バス</v>
      </c>
      <c r="W359" s="6"/>
      <c r="X359" s="6" t="str">
        <f aca="false">IFERROR(__xludf.dummyfunction("""COMPUTED_VALUE"""),"実家")</f>
        <v>実家</v>
      </c>
      <c r="Y359" s="6"/>
      <c r="Z359" s="6" t="str">
        <f aca="false">IFERROR(__xludf.dummyfunction("""COMPUTED_VALUE"""),"希望する")</f>
        <v>希望する</v>
      </c>
      <c r="AA359" s="6" t="str">
        <f aca="false">IFERROR(__xludf.dummyfunction("""COMPUTED_VALUE"""),"単身")</f>
        <v>単身</v>
      </c>
      <c r="AB359" s="6"/>
      <c r="AC359" s="6"/>
      <c r="AD359" s="6"/>
      <c r="AE359" s="6" t="str">
        <f aca="false">IFERROR(__xludf.dummyfunction("""COMPUTED_VALUE"""),"確認しました。")</f>
        <v>確認しました。</v>
      </c>
      <c r="AF359" s="6" t="str">
        <f aca="false">IFERROR(__xludf.dummyfunction("""COMPUTED_VALUE"""),"社宅基準の内容について確認しました")</f>
        <v>社宅基準の内容について確認しました</v>
      </c>
      <c r="AG359" s="6" t="str">
        <f aca="false">IFERROR(__xludf.dummyfunction("""COMPUTED_VALUE"""),"入居のしおりの内容についてご確認しました")</f>
        <v>入居のしおりの内容についてご確認しました</v>
      </c>
      <c r="AH359" s="6" t="str">
        <f aca="false">IFERROR(__xludf.dummyfunction("""COMPUTED_VALUE"""),"確認しました")</f>
        <v>確認しました</v>
      </c>
      <c r="AI359" s="6"/>
      <c r="AJ359" s="6" t="str">
        <v/>
      </c>
      <c r="AK359" s="6" t="str">
        <v/>
      </c>
      <c r="AL359" s="6" t="str">
        <v/>
      </c>
      <c r="AM359" s="6" t="str">
        <v/>
      </c>
      <c r="AN359" s="6" t="n">
        <f aca="false">FALSE()</f>
        <v>0</v>
      </c>
    </row>
    <row r="360" customFormat="false" ht="52.5" hidden="false" customHeight="true" outlineLevel="0" collapsed="false">
      <c r="A360" s="6" t="str">
        <f aca="false">IFERROR(__xludf.dummyfunction("""COMPUTED_VALUE"""),"2026/03/13 15:20:29")</f>
        <v>2026/03/13 15:20:29</v>
      </c>
      <c r="B360" s="6"/>
      <c r="C360" s="6" t="str">
        <f aca="false">IFERROR(__xludf.dummyfunction("""COMPUTED_VALUE"""),"71230")</f>
        <v>71230</v>
      </c>
      <c r="D360" s="6"/>
      <c r="E360" s="6"/>
      <c r="F360" s="6"/>
      <c r="G360" s="6" t="str">
        <f aca="false">IFERROR(__xludf.dummyfunction("""COMPUTED_VALUE"""),"2026/03/20")</f>
        <v>2026/03/20</v>
      </c>
      <c r="H360" s="6" t="str">
        <f aca="false">IFERROR(__xludf.dummyfunction("""COMPUTED_VALUE"""),"不要")</f>
        <v>不要</v>
      </c>
      <c r="I360" s="6" t="str">
        <f aca="false">IFERROR(__xludf.dummyfunction("""COMPUTED_VALUE"""),"男性")</f>
        <v>男性</v>
      </c>
      <c r="J360" s="6" t="str">
        <f aca="false">IFERROR(__xludf.dummyfunction("""COMPUTED_VALUE"""),"日本")</f>
        <v>日本</v>
      </c>
      <c r="K360" s="6"/>
      <c r="L360" s="6"/>
      <c r="M360" s="6"/>
      <c r="N360" s="6"/>
      <c r="O360" s="6" t="str">
        <f aca="false">IFERROR(__xludf.dummyfunction("""COMPUTED_VALUE"""),"不要")</f>
        <v>不要</v>
      </c>
      <c r="P360" s="6"/>
      <c r="Q360" s="6"/>
      <c r="R360" s="6"/>
      <c r="S360" s="6" t="str">
        <f aca="false">IFERROR(__xludf.dummyfunction("""COMPUTED_VALUE"""),"家具家電なし社宅")</f>
        <v>家具家電なし社宅</v>
      </c>
      <c r="T360" s="6" t="str">
        <f aca="false">IFERROR(__xludf.dummyfunction("""COMPUTED_VALUE"""),"利用する")</f>
        <v>利用する</v>
      </c>
      <c r="U360" s="6" t="str">
        <f aca="false">IFERROR(__xludf.dummyfunction("""COMPUTED_VALUE"""),"冷凍冷蔵庫80L、全自動洗濯機")</f>
        <v>冷凍冷蔵庫80L、全自動洗濯機</v>
      </c>
      <c r="V360" s="6" t="str">
        <f aca="false">IFERROR(__xludf.dummyfunction("""COMPUTED_VALUE"""),"電車, 社用バス")</f>
        <v>電車, 社用バス</v>
      </c>
      <c r="W360" s="6"/>
      <c r="X360" s="6" t="str">
        <f aca="false">IFERROR(__xludf.dummyfunction("""COMPUTED_VALUE"""),"ご自身で契約中の物件")</f>
        <v>ご自身で契約中の物件</v>
      </c>
      <c r="Y360" s="6"/>
      <c r="Z360" s="6" t="str">
        <f aca="false">IFERROR(__xludf.dummyfunction("""COMPUTED_VALUE"""),"希望する")</f>
        <v>希望する</v>
      </c>
      <c r="AA360" s="6" t="str">
        <f aca="false">IFERROR(__xludf.dummyfunction("""COMPUTED_VALUE"""),"単身")</f>
        <v>単身</v>
      </c>
      <c r="AB360" s="6"/>
      <c r="AC360" s="6"/>
      <c r="AD360" s="6" t="str">
        <f aca="false">IFERROR(__xludf.dummyfunction("""COMPUTED_VALUE"""),"甲府、風呂トイレ別物件希望")</f>
        <v>甲府、風呂トイレ別物件希望</v>
      </c>
      <c r="AE360" s="6" t="str">
        <f aca="false">IFERROR(__xludf.dummyfunction("""COMPUTED_VALUE"""),"確認しました。")</f>
        <v>確認しました。</v>
      </c>
      <c r="AF360" s="6" t="str">
        <f aca="false">IFERROR(__xludf.dummyfunction("""COMPUTED_VALUE"""),"社宅基準の内容について確認しました")</f>
        <v>社宅基準の内容について確認しました</v>
      </c>
      <c r="AG360" s="6" t="str">
        <f aca="false">IFERROR(__xludf.dummyfunction("""COMPUTED_VALUE"""),"入居のしおりの内容についてご確認しました")</f>
        <v>入居のしおりの内容についてご確認しました</v>
      </c>
      <c r="AH360" s="6" t="str">
        <f aca="false">IFERROR(__xludf.dummyfunction("""COMPUTED_VALUE"""),"確認しました")</f>
        <v>確認しました</v>
      </c>
      <c r="AI360" s="6"/>
      <c r="AJ360" s="6" t="str">
        <v/>
      </c>
      <c r="AK360" s="6" t="str">
        <v/>
      </c>
      <c r="AL360" s="6" t="str">
        <v/>
      </c>
      <c r="AM360" s="6" t="str">
        <v/>
      </c>
      <c r="AN360" s="6" t="n">
        <f aca="false">FALSE()</f>
        <v>0</v>
      </c>
    </row>
    <row r="361" customFormat="false" ht="52.5" hidden="false" customHeight="true" outlineLevel="0" collapsed="false">
      <c r="A361" s="6" t="str">
        <f aca="false">IFERROR(__xludf.dummyfunction("""COMPUTED_VALUE"""),"2026/03/13 18:07:21")</f>
        <v>2026/03/13 18:07:21</v>
      </c>
      <c r="B361" s="6"/>
      <c r="C361" s="6" t="str">
        <f aca="false">IFERROR(__xludf.dummyfunction("""COMPUTED_VALUE"""),"71321")</f>
        <v>71321</v>
      </c>
      <c r="D361" s="6"/>
      <c r="E361" s="6"/>
      <c r="F361" s="6"/>
      <c r="G361" s="6" t="str">
        <f aca="false">IFERROR(__xludf.dummyfunction("""COMPUTED_VALUE"""),"2026/03/30")</f>
        <v>2026/03/30</v>
      </c>
      <c r="H361" s="6" t="str">
        <f aca="false">IFERROR(__xludf.dummyfunction("""COMPUTED_VALUE"""),"必要")</f>
        <v>必要</v>
      </c>
      <c r="I361" s="6" t="str">
        <f aca="false">IFERROR(__xludf.dummyfunction("""COMPUTED_VALUE"""),"男性")</f>
        <v>男性</v>
      </c>
      <c r="J361" s="6" t="str">
        <f aca="false">IFERROR(__xludf.dummyfunction("""COMPUTED_VALUE"""),"日本")</f>
        <v>日本</v>
      </c>
      <c r="K361" s="6" t="str">
        <f aca="false">IFERROR(__xludf.dummyfunction("""COMPUTED_VALUE"""),"25")</f>
        <v>25</v>
      </c>
      <c r="L361" s="6" t="str">
        <f aca="false">IFERROR(__xludf.dummyfunction("""COMPUTED_VALUE"""),"ドライヤー")</f>
        <v>ドライヤー</v>
      </c>
      <c r="M361" s="6" t="str">
        <f aca="false">IFERROR(__xludf.dummyfunction("""COMPUTED_VALUE"""),"ゲーミングチェア、棚、机、(棚と机は組み立て式)")</f>
        <v>ゲーミングチェア、棚、机、(棚と机は組み立て式)</v>
      </c>
      <c r="N361" s="6"/>
      <c r="O361" s="6" t="str">
        <f aca="false">IFERROR(__xludf.dummyfunction("""COMPUTED_VALUE"""),"不要")</f>
        <v>不要</v>
      </c>
      <c r="P361" s="6"/>
      <c r="Q361" s="6"/>
      <c r="R361" s="6"/>
      <c r="S361" s="6" t="str">
        <f aca="false">IFERROR(__xludf.dummyfunction("""COMPUTED_VALUE"""),"家具家電付き社宅")</f>
        <v>家具家電付き社宅</v>
      </c>
      <c r="T361" s="6" t="str">
        <f aca="false">IFERROR(__xludf.dummyfunction("""COMPUTED_VALUE"""),"利用しない")</f>
        <v>利用しない</v>
      </c>
      <c r="U361" s="6"/>
      <c r="V361" s="6" t="str">
        <f aca="false">IFERROR(__xludf.dummyfunction("""COMPUTED_VALUE"""),"電車")</f>
        <v>電車</v>
      </c>
      <c r="W361" s="6"/>
      <c r="X361" s="6" t="str">
        <f aca="false">IFERROR(__xludf.dummyfunction("""COMPUTED_VALUE"""),"実家")</f>
        <v>実家</v>
      </c>
      <c r="Y361" s="6"/>
      <c r="Z361" s="6" t="str">
        <f aca="false">IFERROR(__xludf.dummyfunction("""COMPUTED_VALUE"""),"希望する")</f>
        <v>希望する</v>
      </c>
      <c r="AA361" s="6" t="str">
        <f aca="false">IFERROR(__xludf.dummyfunction("""COMPUTED_VALUE"""),"単身")</f>
        <v>単身</v>
      </c>
      <c r="AB361" s="6"/>
      <c r="AC361" s="6"/>
      <c r="AD361" s="6" t="str">
        <f aca="false">IFERROR(__xludf.dummyfunction("""COMPUTED_VALUE"""),"インターネットが光回線が開通している場所
出来れば鉄筋コンクリート構造の場所")</f>
        <v>インターネットが光回線が開通している場所
出来れば鉄筋コンクリート構造の場所</v>
      </c>
      <c r="AE361" s="6" t="str">
        <f aca="false">IFERROR(__xludf.dummyfunction("""COMPUTED_VALUE"""),"確認しました。")</f>
        <v>確認しました。</v>
      </c>
      <c r="AF361" s="6" t="str">
        <f aca="false">IFERROR(__xludf.dummyfunction("""COMPUTED_VALUE"""),"社宅基準の内容について確認しました")</f>
        <v>社宅基準の内容について確認しました</v>
      </c>
      <c r="AG361" s="6" t="str">
        <f aca="false">IFERROR(__xludf.dummyfunction("""COMPUTED_VALUE"""),"入居のしおりの内容についてご確認しました")</f>
        <v>入居のしおりの内容についてご確認しました</v>
      </c>
      <c r="AH361" s="6" t="str">
        <f aca="false">IFERROR(__xludf.dummyfunction("""COMPUTED_VALUE"""),"確認しました")</f>
        <v>確認しました</v>
      </c>
      <c r="AI361" s="6"/>
      <c r="AJ361" s="6" t="str">
        <v/>
      </c>
      <c r="AK361" s="6" t="str">
        <v/>
      </c>
      <c r="AL361" s="6" t="str">
        <v/>
      </c>
      <c r="AM361" s="6" t="str">
        <v/>
      </c>
      <c r="AN361" s="6" t="n">
        <f aca="false">TRUE()</f>
        <v>1</v>
      </c>
    </row>
    <row r="362" customFormat="false" ht="52.5" hidden="false" customHeight="true" outlineLevel="0" collapsed="false">
      <c r="A362" s="6" t="str">
        <f aca="false">IFERROR(__xludf.dummyfunction("""COMPUTED_VALUE"""),"2026/03/13 18:15:27")</f>
        <v>2026/03/13 18:15:27</v>
      </c>
      <c r="B362" s="6"/>
      <c r="C362" s="6" t="str">
        <f aca="false">IFERROR(__xludf.dummyfunction("""COMPUTED_VALUE"""),"71298")</f>
        <v>71298</v>
      </c>
      <c r="D362" s="6"/>
      <c r="E362" s="6"/>
      <c r="F362" s="6"/>
      <c r="G362" s="6" t="str">
        <f aca="false">IFERROR(__xludf.dummyfunction("""COMPUTED_VALUE"""),"2026/03/30")</f>
        <v>2026/03/30</v>
      </c>
      <c r="H362" s="6" t="str">
        <f aca="false">IFERROR(__xludf.dummyfunction("""COMPUTED_VALUE"""),"必要")</f>
        <v>必要</v>
      </c>
      <c r="I362" s="6" t="str">
        <f aca="false">IFERROR(__xludf.dummyfunction("""COMPUTED_VALUE"""),"男性")</f>
        <v>男性</v>
      </c>
      <c r="J362" s="6" t="str">
        <f aca="false">IFERROR(__xludf.dummyfunction("""COMPUTED_VALUE"""),"日本")</f>
        <v>日本</v>
      </c>
      <c r="K362" s="6" t="str">
        <f aca="false">IFERROR(__xludf.dummyfunction("""COMPUTED_VALUE"""),"9")</f>
        <v>9</v>
      </c>
      <c r="L362" s="6" t="str">
        <f aca="false">IFERROR(__xludf.dummyfunction("""COMPUTED_VALUE"""),"液晶テレビ　32インチ")</f>
        <v>液晶テレビ　32インチ</v>
      </c>
      <c r="M362" s="6" t="str">
        <f aca="false">IFERROR(__xludf.dummyfunction("""COMPUTED_VALUE"""),"なし")</f>
        <v>なし</v>
      </c>
      <c r="N362" s="6"/>
      <c r="O362" s="6" t="str">
        <f aca="false">IFERROR(__xludf.dummyfunction("""COMPUTED_VALUE"""),"不要")</f>
        <v>不要</v>
      </c>
      <c r="P362" s="6"/>
      <c r="Q362" s="6"/>
      <c r="R362" s="6"/>
      <c r="S362" s="6" t="str">
        <f aca="false">IFERROR(__xludf.dummyfunction("""COMPUTED_VALUE"""),"家具家電付き社宅")</f>
        <v>家具家電付き社宅</v>
      </c>
      <c r="T362" s="6" t="str">
        <f aca="false">IFERROR(__xludf.dummyfunction("""COMPUTED_VALUE"""),"利用する")</f>
        <v>利用する</v>
      </c>
      <c r="U362" s="6" t="str">
        <f aca="false">IFERROR(__xludf.dummyfunction("""COMPUTED_VALUE"""),"掛布団、敷布団、枕、テレビ台32インチ用、冷凍冷蔵庫80ℓ、洗濯機、ガスコンロ2口電子レンジ、エアコン、掃除機")</f>
        <v>掛布団、敷布団、枕、テレビ台32インチ用、冷凍冷蔵庫80ℓ、洗濯機、ガスコンロ2口電子レンジ、エアコン、掃除機</v>
      </c>
      <c r="V362" s="6" t="str">
        <f aca="false">IFERROR(__xludf.dummyfunction("""COMPUTED_VALUE"""),"社用バス")</f>
        <v>社用バス</v>
      </c>
      <c r="W362" s="6"/>
      <c r="X362" s="6" t="str">
        <f aca="false">IFERROR(__xludf.dummyfunction("""COMPUTED_VALUE"""),"実家")</f>
        <v>実家</v>
      </c>
      <c r="Y362" s="6"/>
      <c r="Z362" s="6" t="str">
        <f aca="false">IFERROR(__xludf.dummyfunction("""COMPUTED_VALUE"""),"希望する")</f>
        <v>希望する</v>
      </c>
      <c r="AA362" s="6" t="str">
        <f aca="false">IFERROR(__xludf.dummyfunction("""COMPUTED_VALUE"""),"単身")</f>
        <v>単身</v>
      </c>
      <c r="AB362" s="6"/>
      <c r="AC362" s="6"/>
      <c r="AD362" s="6"/>
      <c r="AE362" s="6" t="str">
        <f aca="false">IFERROR(__xludf.dummyfunction("""COMPUTED_VALUE"""),"確認しました。")</f>
        <v>確認しました。</v>
      </c>
      <c r="AF362" s="6" t="str">
        <f aca="false">IFERROR(__xludf.dummyfunction("""COMPUTED_VALUE"""),"社宅基準の内容について確認しました")</f>
        <v>社宅基準の内容について確認しました</v>
      </c>
      <c r="AG362" s="6" t="str">
        <f aca="false">IFERROR(__xludf.dummyfunction("""COMPUTED_VALUE"""),"入居のしおりの内容についてご確認しました")</f>
        <v>入居のしおりの内容についてご確認しました</v>
      </c>
      <c r="AH362" s="6" t="str">
        <f aca="false">IFERROR(__xludf.dummyfunction("""COMPUTED_VALUE"""),"確認しました")</f>
        <v>確認しました</v>
      </c>
      <c r="AI362" s="6"/>
      <c r="AJ362" s="6" t="str">
        <v/>
      </c>
      <c r="AK362" s="6" t="str">
        <v/>
      </c>
      <c r="AL362" s="6" t="str">
        <v/>
      </c>
      <c r="AM362" s="6" t="str">
        <v/>
      </c>
      <c r="AN362" s="6" t="n">
        <f aca="false">TRUE()</f>
        <v>1</v>
      </c>
    </row>
    <row r="363" customFormat="false" ht="52.5" hidden="false" customHeight="true" outlineLevel="0" collapsed="false">
      <c r="A363" s="6" t="str">
        <f aca="false">IFERROR(__xludf.dummyfunction("""COMPUTED_VALUE"""),"2026/03/13 18:42:57")</f>
        <v>2026/03/13 18:42:57</v>
      </c>
      <c r="B363" s="6"/>
      <c r="C363" s="6" t="str">
        <f aca="false">IFERROR(__xludf.dummyfunction("""COMPUTED_VALUE"""),"71304")</f>
        <v>71304</v>
      </c>
      <c r="D363" s="6"/>
      <c r="E363" s="6"/>
      <c r="F363" s="6"/>
      <c r="G363" s="6" t="str">
        <f aca="false">IFERROR(__xludf.dummyfunction("""COMPUTED_VALUE"""),"2026/03/31")</f>
        <v>2026/03/31</v>
      </c>
      <c r="H363" s="6" t="str">
        <f aca="false">IFERROR(__xludf.dummyfunction("""COMPUTED_VALUE"""),"必要")</f>
        <v>必要</v>
      </c>
      <c r="I363" s="6" t="str">
        <f aca="false">IFERROR(__xludf.dummyfunction("""COMPUTED_VALUE"""),"男性")</f>
        <v>男性</v>
      </c>
      <c r="J363" s="6" t="str">
        <f aca="false">IFERROR(__xludf.dummyfunction("""COMPUTED_VALUE"""),"インド")</f>
        <v>インド</v>
      </c>
      <c r="K363" s="6" t="str">
        <f aca="false">IFERROR(__xludf.dummyfunction("""COMPUTED_VALUE"""),"12")</f>
        <v>12</v>
      </c>
      <c r="L363" s="6" t="str">
        <f aca="false">IFERROR(__xludf.dummyfunction("""COMPUTED_VALUE"""),"なし")</f>
        <v>なし</v>
      </c>
      <c r="M363" s="6" t="str">
        <f aca="false">IFERROR(__xludf.dummyfunction("""COMPUTED_VALUE"""),"なし")</f>
        <v>なし</v>
      </c>
      <c r="N363" s="6"/>
      <c r="O363" s="6" t="str">
        <f aca="false">IFERROR(__xludf.dummyfunction("""COMPUTED_VALUE"""),"不要")</f>
        <v>不要</v>
      </c>
      <c r="P363" s="6"/>
      <c r="Q363" s="6"/>
      <c r="R363" s="6"/>
      <c r="S363" s="6" t="str">
        <f aca="false">IFERROR(__xludf.dummyfunction("""COMPUTED_VALUE"""),"家具家電付き社宅")</f>
        <v>家具家電付き社宅</v>
      </c>
      <c r="T363" s="6" t="str">
        <f aca="false">IFERROR(__xludf.dummyfunction("""COMPUTED_VALUE"""),"利用しない")</f>
        <v>利用しない</v>
      </c>
      <c r="U363" s="6"/>
      <c r="V363" s="6" t="str">
        <f aca="false">IFERROR(__xludf.dummyfunction("""COMPUTED_VALUE"""),"電車")</f>
        <v>電車</v>
      </c>
      <c r="W363" s="6"/>
      <c r="X363" s="6" t="str">
        <f aca="false">IFERROR(__xludf.dummyfunction("""COMPUTED_VALUE"""),"株式会社ビーネックステクノロジーズの社宅")</f>
        <v>株式会社ビーネックステクノロジーズの社宅</v>
      </c>
      <c r="Y363" s="6" t="str">
        <f aca="false">IFERROR(__xludf.dummyfunction("""COMPUTED_VALUE"""),"布団（レンタル）－ 新社宅へ引継ぎ希望")</f>
        <v>布団（レンタル）－ 新社宅へ引継ぎ希望</v>
      </c>
      <c r="Z363" s="6" t="str">
        <f aca="false">IFERROR(__xludf.dummyfunction("""COMPUTED_VALUE"""),"希望する")</f>
        <v>希望する</v>
      </c>
      <c r="AA363" s="6" t="str">
        <f aca="false">IFERROR(__xludf.dummyfunction("""COMPUTED_VALUE"""),"単身")</f>
        <v>単身</v>
      </c>
      <c r="AB363" s="6"/>
      <c r="AC363" s="6"/>
      <c r="AD363" s="6"/>
      <c r="AE363" s="6" t="str">
        <f aca="false">IFERROR(__xludf.dummyfunction("""COMPUTED_VALUE"""),"確認しました。")</f>
        <v>確認しました。</v>
      </c>
      <c r="AF363" s="6" t="str">
        <f aca="false">IFERROR(__xludf.dummyfunction("""COMPUTED_VALUE"""),"社宅基準の内容について確認しました")</f>
        <v>社宅基準の内容について確認しました</v>
      </c>
      <c r="AG363" s="6" t="str">
        <f aca="false">IFERROR(__xludf.dummyfunction("""COMPUTED_VALUE"""),"入居のしおりの内容についてご確認しました")</f>
        <v>入居のしおりの内容についてご確認しました</v>
      </c>
      <c r="AH363" s="6" t="str">
        <f aca="false">IFERROR(__xludf.dummyfunction("""COMPUTED_VALUE"""),"確認しました")</f>
        <v>確認しました</v>
      </c>
      <c r="AI363" s="6"/>
      <c r="AJ363" s="6" t="str">
        <v/>
      </c>
      <c r="AK363" s="6" t="str">
        <v/>
      </c>
      <c r="AL363" s="6" t="str">
        <v/>
      </c>
      <c r="AM363" s="6" t="str">
        <v/>
      </c>
      <c r="AN363" s="6" t="n">
        <f aca="false">TRUE()</f>
        <v>1</v>
      </c>
    </row>
    <row r="364" customFormat="false" ht="52.5" hidden="false" customHeight="true" outlineLevel="0" collapsed="false">
      <c r="A364" s="6" t="str">
        <f aca="false">IFERROR(__xludf.dummyfunction("""COMPUTED_VALUE"""),"2026/03/13 19:31:27")</f>
        <v>2026/03/13 19:31:27</v>
      </c>
      <c r="B364" s="6"/>
      <c r="C364" s="6" t="str">
        <f aca="false">IFERROR(__xludf.dummyfunction("""COMPUTED_VALUE"""),"71365")</f>
        <v>71365</v>
      </c>
      <c r="D364" s="6"/>
      <c r="E364" s="6"/>
      <c r="F364" s="6"/>
      <c r="G364" s="6" t="str">
        <f aca="false">IFERROR(__xludf.dummyfunction("""COMPUTED_VALUE"""),"2026/03/29")</f>
        <v>2026/03/29</v>
      </c>
      <c r="H364" s="6" t="str">
        <f aca="false">IFERROR(__xludf.dummyfunction("""COMPUTED_VALUE"""),"不要")</f>
        <v>不要</v>
      </c>
      <c r="I364" s="6" t="str">
        <f aca="false">IFERROR(__xludf.dummyfunction("""COMPUTED_VALUE"""),"男性")</f>
        <v>男性</v>
      </c>
      <c r="J364" s="6" t="str">
        <f aca="false">IFERROR(__xludf.dummyfunction("""COMPUTED_VALUE"""),"日本")</f>
        <v>日本</v>
      </c>
      <c r="K364" s="6"/>
      <c r="L364" s="6"/>
      <c r="M364" s="6"/>
      <c r="N364" s="6"/>
      <c r="O364" s="6" t="str">
        <f aca="false">IFERROR(__xludf.dummyfunction("""COMPUTED_VALUE"""),"不要")</f>
        <v>不要</v>
      </c>
      <c r="P364" s="6"/>
      <c r="Q364" s="6"/>
      <c r="R364" s="6"/>
      <c r="S364" s="6" t="str">
        <f aca="false">IFERROR(__xludf.dummyfunction("""COMPUTED_VALUE"""),"家具家電付き社宅")</f>
        <v>家具家電付き社宅</v>
      </c>
      <c r="T364" s="6" t="str">
        <f aca="false">IFERROR(__xludf.dummyfunction("""COMPUTED_VALUE"""),"利用しない")</f>
        <v>利用しない</v>
      </c>
      <c r="U364" s="6"/>
      <c r="V364" s="6" t="str">
        <f aca="false">IFERROR(__xludf.dummyfunction("""COMPUTED_VALUE"""),"徒歩, 自動車")</f>
        <v>徒歩, 自動車</v>
      </c>
      <c r="W364" s="6"/>
      <c r="X364" s="6" t="str">
        <f aca="false">IFERROR(__xludf.dummyfunction("""COMPUTED_VALUE"""),"実家")</f>
        <v>実家</v>
      </c>
      <c r="Y364" s="6"/>
      <c r="Z364" s="6" t="str">
        <f aca="false">IFERROR(__xludf.dummyfunction("""COMPUTED_VALUE"""),"希望する")</f>
        <v>希望する</v>
      </c>
      <c r="AA364" s="6" t="str">
        <f aca="false">IFERROR(__xludf.dummyfunction("""COMPUTED_VALUE"""),"単身")</f>
        <v>単身</v>
      </c>
      <c r="AB364" s="6"/>
      <c r="AC364" s="6"/>
      <c r="AD364" s="6"/>
      <c r="AE364" s="6" t="str">
        <f aca="false">IFERROR(__xludf.dummyfunction("""COMPUTED_VALUE"""),"確認しました。")</f>
        <v>確認しました。</v>
      </c>
      <c r="AF364" s="6" t="str">
        <f aca="false">IFERROR(__xludf.dummyfunction("""COMPUTED_VALUE"""),"社宅基準の内容について確認しました")</f>
        <v>社宅基準の内容について確認しました</v>
      </c>
      <c r="AG364" s="6" t="str">
        <f aca="false">IFERROR(__xludf.dummyfunction("""COMPUTED_VALUE"""),"入居のしおりの内容についてご確認しました")</f>
        <v>入居のしおりの内容についてご確認しました</v>
      </c>
      <c r="AH364" s="6" t="str">
        <f aca="false">IFERROR(__xludf.dummyfunction("""COMPUTED_VALUE"""),"確認しました")</f>
        <v>確認しました</v>
      </c>
      <c r="AI364" s="6"/>
      <c r="AJ364" s="6" t="str">
        <v/>
      </c>
      <c r="AK364" s="6" t="str">
        <v/>
      </c>
      <c r="AL364" s="6" t="str">
        <v/>
      </c>
      <c r="AM364" s="6" t="str">
        <v/>
      </c>
      <c r="AN364" s="6" t="n">
        <f aca="false">TRUE()</f>
        <v>1</v>
      </c>
    </row>
    <row r="365" customFormat="false" ht="52.5" hidden="false" customHeight="true" outlineLevel="0" collapsed="false">
      <c r="A365" s="6" t="str">
        <f aca="false">IFERROR(__xludf.dummyfunction("""COMPUTED_VALUE"""),"2026/03/13 19:59:42")</f>
        <v>2026/03/13 19:59:42</v>
      </c>
      <c r="B365" s="6"/>
      <c r="C365" s="6" t="str">
        <f aca="false">IFERROR(__xludf.dummyfunction("""COMPUTED_VALUE"""),"71366")</f>
        <v>71366</v>
      </c>
      <c r="D365" s="6"/>
      <c r="E365" s="6"/>
      <c r="F365" s="6"/>
      <c r="G365" s="6" t="str">
        <f aca="false">IFERROR(__xludf.dummyfunction("""COMPUTED_VALUE"""),"2026/03/25")</f>
        <v>2026/03/25</v>
      </c>
      <c r="H365" s="6" t="str">
        <f aca="false">IFERROR(__xludf.dummyfunction("""COMPUTED_VALUE"""),"不要")</f>
        <v>不要</v>
      </c>
      <c r="I365" s="6" t="str">
        <f aca="false">IFERROR(__xludf.dummyfunction("""COMPUTED_VALUE"""),"女性")</f>
        <v>女性</v>
      </c>
      <c r="J365" s="6" t="str">
        <f aca="false">IFERROR(__xludf.dummyfunction("""COMPUTED_VALUE"""),"日本")</f>
        <v>日本</v>
      </c>
      <c r="K365" s="6"/>
      <c r="L365" s="6"/>
      <c r="M365" s="6"/>
      <c r="N365" s="6"/>
      <c r="O365" s="6" t="str">
        <f aca="false">IFERROR(__xludf.dummyfunction("""COMPUTED_VALUE"""),"必要")</f>
        <v>必要</v>
      </c>
      <c r="P365" s="6" t="str">
        <f aca="false">IFERROR(__xludf.dummyfunction("""COMPUTED_VALUE"""),"ekワゴン")</f>
        <v>ekワゴン</v>
      </c>
      <c r="Q365" s="6" t="str">
        <f aca="false">IFERROR(__xludf.dummyfunction("""COMPUTED_VALUE"""),"ぬ 83-54")</f>
        <v>ぬ 83-54</v>
      </c>
      <c r="R365" s="6" t="str">
        <f aca="false">IFERROR(__xludf.dummyfunction("""COMPUTED_VALUE"""),"シルバー")</f>
        <v>シルバー</v>
      </c>
      <c r="S365" s="6" t="str">
        <f aca="false">IFERROR(__xludf.dummyfunction("""COMPUTED_VALUE"""),"家具家電付き社宅")</f>
        <v>家具家電付き社宅</v>
      </c>
      <c r="T365" s="6" t="str">
        <f aca="false">IFERROR(__xludf.dummyfunction("""COMPUTED_VALUE"""),"利用しない")</f>
        <v>利用しない</v>
      </c>
      <c r="U365" s="6"/>
      <c r="V365" s="6" t="str">
        <f aca="false">IFERROR(__xludf.dummyfunction("""COMPUTED_VALUE"""),"自動車")</f>
        <v>自動車</v>
      </c>
      <c r="W365" s="6"/>
      <c r="X365" s="6" t="str">
        <f aca="false">IFERROR(__xludf.dummyfunction("""COMPUTED_VALUE"""),"ご自身で契約中の物件")</f>
        <v>ご自身で契約中の物件</v>
      </c>
      <c r="Y365" s="6"/>
      <c r="Z365" s="6" t="str">
        <f aca="false">IFERROR(__xludf.dummyfunction("""COMPUTED_VALUE"""),"希望する")</f>
        <v>希望する</v>
      </c>
      <c r="AA365" s="6" t="str">
        <f aca="false">IFERROR(__xludf.dummyfunction("""COMPUTED_VALUE"""),"単身")</f>
        <v>単身</v>
      </c>
      <c r="AB365" s="6"/>
      <c r="AC365" s="6"/>
      <c r="AD365" s="6"/>
      <c r="AE365" s="6" t="str">
        <f aca="false">IFERROR(__xludf.dummyfunction("""COMPUTED_VALUE"""),"確認しました。")</f>
        <v>確認しました。</v>
      </c>
      <c r="AF365" s="6" t="str">
        <f aca="false">IFERROR(__xludf.dummyfunction("""COMPUTED_VALUE"""),"社宅基準の内容について確認しました")</f>
        <v>社宅基準の内容について確認しました</v>
      </c>
      <c r="AG365" s="6" t="str">
        <f aca="false">IFERROR(__xludf.dummyfunction("""COMPUTED_VALUE"""),"入居のしおりの内容についてご確認しました")</f>
        <v>入居のしおりの内容についてご確認しました</v>
      </c>
      <c r="AH365" s="6" t="str">
        <f aca="false">IFERROR(__xludf.dummyfunction("""COMPUTED_VALUE"""),"確認しました")</f>
        <v>確認しました</v>
      </c>
      <c r="AI365" s="6"/>
      <c r="AJ365" s="6" t="str">
        <v/>
      </c>
      <c r="AK365" s="6" t="str">
        <v/>
      </c>
      <c r="AL365" s="6" t="str">
        <v/>
      </c>
      <c r="AM365" s="6" t="str">
        <v/>
      </c>
      <c r="AN365" s="6" t="n">
        <f aca="false">FALSE()</f>
        <v>0</v>
      </c>
    </row>
    <row r="366" customFormat="false" ht="52.5" hidden="false" customHeight="true" outlineLevel="0" collapsed="false">
      <c r="A366" s="6" t="str">
        <f aca="false">IFERROR(__xludf.dummyfunction("""COMPUTED_VALUE"""),"2026/03/13 20:06:51")</f>
        <v>2026/03/13 20:06:51</v>
      </c>
      <c r="B366" s="6"/>
      <c r="C366" s="6" t="str">
        <f aca="false">IFERROR(__xludf.dummyfunction("""COMPUTED_VALUE"""),"71381")</f>
        <v>71381</v>
      </c>
      <c r="D366" s="6"/>
      <c r="E366" s="6"/>
      <c r="F366" s="6"/>
      <c r="G366" s="6" t="str">
        <f aca="false">IFERROR(__xludf.dummyfunction("""COMPUTED_VALUE"""),"2026/04/06")</f>
        <v>2026/04/06</v>
      </c>
      <c r="H366" s="6" t="str">
        <f aca="false">IFERROR(__xludf.dummyfunction("""COMPUTED_VALUE"""),"不要")</f>
        <v>不要</v>
      </c>
      <c r="I366" s="6" t="str">
        <f aca="false">IFERROR(__xludf.dummyfunction("""COMPUTED_VALUE"""),"男性")</f>
        <v>男性</v>
      </c>
      <c r="J366" s="6" t="str">
        <f aca="false">IFERROR(__xludf.dummyfunction("""COMPUTED_VALUE"""),"日本")</f>
        <v>日本</v>
      </c>
      <c r="K366" s="6"/>
      <c r="L366" s="6"/>
      <c r="M366" s="6"/>
      <c r="N366" s="6"/>
      <c r="O366" s="6" t="str">
        <f aca="false">IFERROR(__xludf.dummyfunction("""COMPUTED_VALUE"""),"不要")</f>
        <v>不要</v>
      </c>
      <c r="P366" s="6"/>
      <c r="Q366" s="6"/>
      <c r="R366" s="6"/>
      <c r="S366" s="6" t="str">
        <f aca="false">IFERROR(__xludf.dummyfunction("""COMPUTED_VALUE"""),"家具家電付き社宅")</f>
        <v>家具家電付き社宅</v>
      </c>
      <c r="T366" s="6" t="str">
        <f aca="false">IFERROR(__xludf.dummyfunction("""COMPUTED_VALUE"""),"利用する")</f>
        <v>利用する</v>
      </c>
      <c r="U366" s="6" t="str">
        <f aca="false">IFERROR(__xludf.dummyfunction("""COMPUTED_VALUE"""),"冷凍冷蔵庫(170ℓ)、全自動洗濯機、照明器具、エアコン、ベッド、ベッド用マットレス")</f>
        <v>冷凍冷蔵庫(170ℓ)、全自動洗濯機、照明器具、エアコン、ベッド、ベッド用マットレス</v>
      </c>
      <c r="V366" s="6" t="str">
        <f aca="false">IFERROR(__xludf.dummyfunction("""COMPUTED_VALUE"""),"自転車, バス, 社用バス")</f>
        <v>自転車, バス, 社用バス</v>
      </c>
      <c r="W366" s="6"/>
      <c r="X366" s="6" t="str">
        <f aca="false">IFERROR(__xludf.dummyfunction("""COMPUTED_VALUE"""),"実家")</f>
        <v>実家</v>
      </c>
      <c r="Y366" s="6"/>
      <c r="Z366" s="6" t="str">
        <f aca="false">IFERROR(__xludf.dummyfunction("""COMPUTED_VALUE"""),"希望する")</f>
        <v>希望する</v>
      </c>
      <c r="AA366" s="6" t="str">
        <f aca="false">IFERROR(__xludf.dummyfunction("""COMPUTED_VALUE"""),"単身")</f>
        <v>単身</v>
      </c>
      <c r="AB366" s="6"/>
      <c r="AC366" s="6"/>
      <c r="AD366" s="6"/>
      <c r="AE366" s="6" t="str">
        <f aca="false">IFERROR(__xludf.dummyfunction("""COMPUTED_VALUE"""),"確認しました。")</f>
        <v>確認しました。</v>
      </c>
      <c r="AF366" s="6" t="str">
        <f aca="false">IFERROR(__xludf.dummyfunction("""COMPUTED_VALUE"""),"社宅基準の内容について確認しました")</f>
        <v>社宅基準の内容について確認しました</v>
      </c>
      <c r="AG366" s="6" t="str">
        <f aca="false">IFERROR(__xludf.dummyfunction("""COMPUTED_VALUE"""),"入居のしおりの内容についてご確認しました")</f>
        <v>入居のしおりの内容についてご確認しました</v>
      </c>
      <c r="AH366" s="6" t="str">
        <f aca="false">IFERROR(__xludf.dummyfunction("""COMPUTED_VALUE"""),"確認しました")</f>
        <v>確認しました</v>
      </c>
      <c r="AI366" s="6"/>
      <c r="AJ366" s="6" t="str">
        <v/>
      </c>
      <c r="AK366" s="6" t="str">
        <v/>
      </c>
      <c r="AL366" s="6" t="str">
        <v/>
      </c>
      <c r="AM366" s="6" t="str">
        <v/>
      </c>
      <c r="AN366" s="6" t="n">
        <f aca="false">TRUE()</f>
        <v>1</v>
      </c>
    </row>
    <row r="367" customFormat="false" ht="52.5" hidden="false" customHeight="true" outlineLevel="0" collapsed="false">
      <c r="A367" s="6" t="str">
        <f aca="false">IFERROR(__xludf.dummyfunction("""COMPUTED_VALUE"""),"2026/03/13 20:41:04")</f>
        <v>2026/03/13 20:41:04</v>
      </c>
      <c r="B367" s="6"/>
      <c r="C367" s="6" t="str">
        <f aca="false">IFERROR(__xludf.dummyfunction("""COMPUTED_VALUE"""),"71309")</f>
        <v>71309</v>
      </c>
      <c r="D367" s="6"/>
      <c r="E367" s="6"/>
      <c r="F367" s="6"/>
      <c r="G367" s="6" t="str">
        <f aca="false">IFERROR(__xludf.dummyfunction("""COMPUTED_VALUE"""),"2026/04/16")</f>
        <v>2026/04/16</v>
      </c>
      <c r="H367" s="6" t="str">
        <f aca="false">IFERROR(__xludf.dummyfunction("""COMPUTED_VALUE"""),"必要")</f>
        <v>必要</v>
      </c>
      <c r="I367" s="6" t="str">
        <f aca="false">IFERROR(__xludf.dummyfunction("""COMPUTED_VALUE"""),"男性")</f>
        <v>男性</v>
      </c>
      <c r="J367" s="6" t="str">
        <f aca="false">IFERROR(__xludf.dummyfunction("""COMPUTED_VALUE"""),"日本")</f>
        <v>日本</v>
      </c>
      <c r="K367" s="6" t="str">
        <f aca="false">IFERROR(__xludf.dummyfunction("""COMPUTED_VALUE"""),"8")</f>
        <v>8</v>
      </c>
      <c r="L367" s="6" t="str">
        <f aca="false">IFERROR(__xludf.dummyfunction("""COMPUTED_VALUE"""),"冷蔵庫2ドア
洗濯機
電子レンジ")</f>
        <v>冷蔵庫2ドア
洗濯機
電子レンジ</v>
      </c>
      <c r="M367" s="6" t="str">
        <f aca="false">IFERROR(__xludf.dummyfunction("""COMPUTED_VALUE"""),"なし")</f>
        <v>なし</v>
      </c>
      <c r="N367" s="6"/>
      <c r="O367" s="6" t="str">
        <f aca="false">IFERROR(__xludf.dummyfunction("""COMPUTED_VALUE"""),"必要")</f>
        <v>必要</v>
      </c>
      <c r="P367" s="6" t="str">
        <f aca="false">IFERROR(__xludf.dummyfunction("""COMPUTED_VALUE"""),"n-one")</f>
        <v>n-one</v>
      </c>
      <c r="Q367" s="6" t="str">
        <f aca="false">IFERROR(__xludf.dummyfunction("""COMPUTED_VALUE"""),"や11-75")</f>
        <v>や11-75</v>
      </c>
      <c r="R367" s="6" t="str">
        <f aca="false">IFERROR(__xludf.dummyfunction("""COMPUTED_VALUE"""),"白")</f>
        <v>白</v>
      </c>
      <c r="S367" s="6" t="str">
        <f aca="false">IFERROR(__xludf.dummyfunction("""COMPUTED_VALUE"""),"家具家電なし社宅")</f>
        <v>家具家電なし社宅</v>
      </c>
      <c r="T367" s="6" t="str">
        <f aca="false">IFERROR(__xludf.dummyfunction("""COMPUTED_VALUE"""),"利用しない")</f>
        <v>利用しない</v>
      </c>
      <c r="U367" s="6"/>
      <c r="V367" s="6" t="str">
        <f aca="false">IFERROR(__xludf.dummyfunction("""COMPUTED_VALUE"""),"徒歩, 社用バス")</f>
        <v>徒歩, 社用バス</v>
      </c>
      <c r="W367" s="6"/>
      <c r="X367" s="6" t="str">
        <f aca="false">IFERROR(__xludf.dummyfunction("""COMPUTED_VALUE"""),"実家")</f>
        <v>実家</v>
      </c>
      <c r="Y367" s="6"/>
      <c r="Z367" s="6" t="str">
        <f aca="false">IFERROR(__xludf.dummyfunction("""COMPUTED_VALUE"""),"希望する")</f>
        <v>希望する</v>
      </c>
      <c r="AA367" s="6" t="str">
        <f aca="false">IFERROR(__xludf.dummyfunction("""COMPUTED_VALUE"""),"単身")</f>
        <v>単身</v>
      </c>
      <c r="AB367" s="6"/>
      <c r="AC367" s="6"/>
      <c r="AD367" s="6"/>
      <c r="AE367" s="6" t="str">
        <f aca="false">IFERROR(__xludf.dummyfunction("""COMPUTED_VALUE"""),"確認しました。")</f>
        <v>確認しました。</v>
      </c>
      <c r="AF367" s="6" t="str">
        <f aca="false">IFERROR(__xludf.dummyfunction("""COMPUTED_VALUE"""),"社宅基準の内容について確認しました")</f>
        <v>社宅基準の内容について確認しました</v>
      </c>
      <c r="AG367" s="6" t="str">
        <f aca="false">IFERROR(__xludf.dummyfunction("""COMPUTED_VALUE"""),"入居のしおりの内容についてご確認しました")</f>
        <v>入居のしおりの内容についてご確認しました</v>
      </c>
      <c r="AH367" s="6" t="str">
        <f aca="false">IFERROR(__xludf.dummyfunction("""COMPUTED_VALUE"""),"確認しました")</f>
        <v>確認しました</v>
      </c>
      <c r="AI367" s="6"/>
      <c r="AJ367" s="6" t="str">
        <v/>
      </c>
      <c r="AK367" s="6" t="str">
        <v/>
      </c>
      <c r="AL367" s="6" t="str">
        <v/>
      </c>
      <c r="AM367" s="6" t="str">
        <v/>
      </c>
      <c r="AN367" s="6" t="n">
        <f aca="false">FALSE()</f>
        <v>0</v>
      </c>
    </row>
    <row r="368" customFormat="false" ht="52.5" hidden="false" customHeight="true" outlineLevel="0" collapsed="false">
      <c r="A368" s="6" t="str">
        <f aca="false">IFERROR(__xludf.dummyfunction("""COMPUTED_VALUE"""),"2026/03/13 21:04:06")</f>
        <v>2026/03/13 21:04:06</v>
      </c>
      <c r="B368" s="6"/>
      <c r="C368" s="6" t="str">
        <f aca="false">IFERROR(__xludf.dummyfunction("""COMPUTED_VALUE"""),"71397")</f>
        <v>71397</v>
      </c>
      <c r="D368" s="6"/>
      <c r="E368" s="6"/>
      <c r="F368" s="6"/>
      <c r="G368" s="6" t="str">
        <f aca="false">IFERROR(__xludf.dummyfunction("""COMPUTED_VALUE"""),"2026/03/26")</f>
        <v>2026/03/26</v>
      </c>
      <c r="H368" s="6" t="str">
        <f aca="false">IFERROR(__xludf.dummyfunction("""COMPUTED_VALUE"""),"必要")</f>
        <v>必要</v>
      </c>
      <c r="I368" s="6" t="str">
        <f aca="false">IFERROR(__xludf.dummyfunction("""COMPUTED_VALUE"""),"男性")</f>
        <v>男性</v>
      </c>
      <c r="J368" s="6" t="str">
        <f aca="false">IFERROR(__xludf.dummyfunction("""COMPUTED_VALUE"""),"日本")</f>
        <v>日本</v>
      </c>
      <c r="K368" s="6" t="str">
        <f aca="false">IFERROR(__xludf.dummyfunction("""COMPUTED_VALUE"""),"30")</f>
        <v>30</v>
      </c>
      <c r="L368" s="6" t="str">
        <f aca="false">IFERROR(__xludf.dummyfunction("""COMPUTED_VALUE"""),"単身用冷蔵庫、洗濯機、電子レンジ、WiFiルーター")</f>
        <v>単身用冷蔵庫、洗濯機、電子レンジ、WiFiルーター</v>
      </c>
      <c r="M368" s="6" t="str">
        <f aca="false">IFERROR(__xludf.dummyfunction("""COMPUTED_VALUE"""),"キッチンラック、洗濯機ラック(幅650〜950mm×奥行460mm×高さ1860mm)、突っ張りシェルフ(幅920〜1460mm×奥行350mm×高さ2100〜2600mm)、折りたたみ式シングルマットレス(幅1000mm奥行350mm×高さ650mm)、折りたたみ式一畳の畳、掛け布団、枕、抱き枕(幅400mm×奥行300mm×高さ1500mm)、クッション、衣装ケース×3(幅390mm×奥行740mm×高さ660mm が1つ、幅440mm×奥行740mm×高さ230mmが2つ)、テーブル(幅70mm×5"&amp;"0mm×高さ39mm)、ローボード(幅1000〜1550mm×奥行365mm×高さ400mm)、木製3段ボックス(幅419mm×奥行298mm×高さ878mm)、押し入れ用ハンガーラック(幅735〜1235mm×奥行400mm×高さ775〜1100mm)、小ラック(幅400mm×奥行470mm×高さ430mm)、扇風機(幅240mm×奥行240mm×高さ600mm ※停止時、電源コード含まず)、3段ワゴン(幅350mm×奥行630mm×高さ810mm)、ゴミ箱×2(中程度と小)、折りたたみチェア(幅390"&amp;"mm×奥行550mm×高さ830mm)、ワンタッチＩ型物干し HWAT(幅770mm×奥行130mm×高さ157mm)、体重計")</f>
        <v>キッチンラック、洗濯機ラック(幅650〜950mm×奥行460mm×高さ1860mm)、突っ張りシェルフ(幅920〜1460mm×奥行350mm×高さ2100〜2600mm)、折りたたみ式シングルマットレス(幅1000mm奥行350mm×高さ650mm)、折りたたみ式一畳の畳、掛け布団、枕、抱き枕(幅400mm×奥行300mm×高さ1500mm)、クッション、衣装ケース×3(幅390mm×奥行740mm×高さ660mm が1つ、幅440mm×奥行740mm×高さ230mmが2つ)、テーブル(幅70mm×50mm×高さ39mm)、ローボード(幅1000〜1550mm×奥行365mm×高さ400mm)、木製3段ボックス(幅419mm×奥行298mm×高さ878mm)、押し入れ用ハンガーラック(幅735〜1235mm×奥行400mm×高さ775〜1100mm)、小ラック(幅400mm×奥行470mm×高さ430mm)、扇風機(幅240mm×奥行240mm×高さ600mm ※停止時、電源コード含まず)、3段ワゴン(幅350mm×奥行630mm×高さ810mm)、ゴミ箱×2(中程度と小)、折りたたみチェア(幅390mm×奥行550mm×高さ830mm)、ワンタッチＩ型物干し HWAT(幅770mm×奥行130mm×高さ157mm)、体重計</v>
      </c>
      <c r="N368" s="6" t="str">
        <f aca="false">IFERROR(__xludf.dummyfunction("""COMPUTED_VALUE"""),"自転車")</f>
        <v>自転車</v>
      </c>
      <c r="O368" s="6" t="str">
        <f aca="false">IFERROR(__xludf.dummyfunction("""COMPUTED_VALUE"""),"不要")</f>
        <v>不要</v>
      </c>
      <c r="P368" s="6"/>
      <c r="Q368" s="6"/>
      <c r="R368" s="6"/>
      <c r="S368" s="6" t="str">
        <f aca="false">IFERROR(__xludf.dummyfunction("""COMPUTED_VALUE"""),"家具家電なし社宅")</f>
        <v>家具家電なし社宅</v>
      </c>
      <c r="T368" s="6" t="str">
        <f aca="false">IFERROR(__xludf.dummyfunction("""COMPUTED_VALUE"""),"利用しない")</f>
        <v>利用しない</v>
      </c>
      <c r="U368" s="6"/>
      <c r="V368" s="6" t="str">
        <f aca="false">IFERROR(__xludf.dummyfunction("""COMPUTED_VALUE"""),"徒歩, 自転車, バス")</f>
        <v>徒歩, 自転車, バス</v>
      </c>
      <c r="W368" s="6"/>
      <c r="X368" s="6" t="str">
        <f aca="false">IFERROR(__xludf.dummyfunction("""COMPUTED_VALUE"""),"株式会社ビーネックステクノロジーズの社宅")</f>
        <v>株式会社ビーネックステクノロジーズの社宅</v>
      </c>
      <c r="Y368" s="6" t="str">
        <f aca="false">IFERROR(__xludf.dummyfunction("""COMPUTED_VALUE"""),"利用なし")</f>
        <v>利用なし</v>
      </c>
      <c r="Z368" s="6" t="str">
        <f aca="false">IFERROR(__xludf.dummyfunction("""COMPUTED_VALUE"""),"希望する")</f>
        <v>希望する</v>
      </c>
      <c r="AA368" s="6" t="str">
        <f aca="false">IFERROR(__xludf.dummyfunction("""COMPUTED_VALUE"""),"単身")</f>
        <v>単身</v>
      </c>
      <c r="AB368" s="6"/>
      <c r="AC368" s="6"/>
      <c r="AD368" s="6" t="str">
        <f aca="false">IFERROR(__xludf.dummyfunction("""COMPUTED_VALUE"""),"駐輪場がある場所")</f>
        <v>駐輪場がある場所</v>
      </c>
      <c r="AE368" s="6" t="str">
        <f aca="false">IFERROR(__xludf.dummyfunction("""COMPUTED_VALUE"""),"確認しました。")</f>
        <v>確認しました。</v>
      </c>
      <c r="AF368" s="6" t="str">
        <f aca="false">IFERROR(__xludf.dummyfunction("""COMPUTED_VALUE"""),"社宅基準の内容について確認しました")</f>
        <v>社宅基準の内容について確認しました</v>
      </c>
      <c r="AG368" s="6" t="str">
        <f aca="false">IFERROR(__xludf.dummyfunction("""COMPUTED_VALUE"""),"入居のしおりの内容についてご確認しました")</f>
        <v>入居のしおりの内容についてご確認しました</v>
      </c>
      <c r="AH368" s="6" t="str">
        <f aca="false">IFERROR(__xludf.dummyfunction("""COMPUTED_VALUE"""),"確認しました")</f>
        <v>確認しました</v>
      </c>
      <c r="AI368" s="6"/>
      <c r="AJ368" s="6" t="str">
        <v/>
      </c>
      <c r="AK368" s="6" t="str">
        <v/>
      </c>
      <c r="AL368" s="6" t="str">
        <v/>
      </c>
      <c r="AM368" s="6" t="str">
        <v/>
      </c>
      <c r="AN368" s="6" t="n">
        <f aca="false">FALSE()</f>
        <v>0</v>
      </c>
    </row>
    <row r="369" customFormat="false" ht="52.5" hidden="false" customHeight="true" outlineLevel="0" collapsed="false">
      <c r="A369" s="6" t="str">
        <f aca="false">IFERROR(__xludf.dummyfunction("""COMPUTED_VALUE"""),"2026/03/13 22:15:33")</f>
        <v>2026/03/13 22:15:33</v>
      </c>
      <c r="B369" s="6"/>
      <c r="C369" s="6" t="str">
        <f aca="false">IFERROR(__xludf.dummyfunction("""COMPUTED_VALUE"""),"71408")</f>
        <v>71408</v>
      </c>
      <c r="D369" s="6"/>
      <c r="E369" s="6"/>
      <c r="F369" s="6"/>
      <c r="G369" s="6" t="str">
        <f aca="false">IFERROR(__xludf.dummyfunction("""COMPUTED_VALUE"""),"2026/03/30")</f>
        <v>2026/03/30</v>
      </c>
      <c r="H369" s="6" t="str">
        <f aca="false">IFERROR(__xludf.dummyfunction("""COMPUTED_VALUE"""),"必要")</f>
        <v>必要</v>
      </c>
      <c r="I369" s="6" t="str">
        <f aca="false">IFERROR(__xludf.dummyfunction("""COMPUTED_VALUE"""),"男性")</f>
        <v>男性</v>
      </c>
      <c r="J369" s="6" t="str">
        <f aca="false">IFERROR(__xludf.dummyfunction("""COMPUTED_VALUE"""),"日本")</f>
        <v>日本</v>
      </c>
      <c r="K369" s="6" t="str">
        <f aca="false">IFERROR(__xludf.dummyfunction("""COMPUTED_VALUE"""),"15")</f>
        <v>15</v>
      </c>
      <c r="L369" s="6" t="str">
        <f aca="false">IFERROR(__xludf.dummyfunction("""COMPUTED_VALUE"""),"冷蔵庫(単身用)
洗濯機、テレビ")</f>
        <v>冷蔵庫(単身用)
洗濯機、テレビ</v>
      </c>
      <c r="M369" s="6" t="str">
        <f aca="false">IFERROR(__xludf.dummyfunction("""COMPUTED_VALUE"""),"折りたたみ机
")</f>
        <v>折りたたみ机
</v>
      </c>
      <c r="N369" s="6"/>
      <c r="O369" s="6" t="str">
        <f aca="false">IFERROR(__xludf.dummyfunction("""COMPUTED_VALUE"""),"不要")</f>
        <v>不要</v>
      </c>
      <c r="P369" s="6"/>
      <c r="Q369" s="6"/>
      <c r="R369" s="6"/>
      <c r="S369" s="6" t="str">
        <f aca="false">IFERROR(__xludf.dummyfunction("""COMPUTED_VALUE"""),"家具家電なし社宅")</f>
        <v>家具家電なし社宅</v>
      </c>
      <c r="T369" s="6" t="str">
        <f aca="false">IFERROR(__xludf.dummyfunction("""COMPUTED_VALUE"""),"利用しない")</f>
        <v>利用しない</v>
      </c>
      <c r="U369" s="6"/>
      <c r="V369" s="6" t="str">
        <f aca="false">IFERROR(__xludf.dummyfunction("""COMPUTED_VALUE"""),"自転車, バイク")</f>
        <v>自転車, バイク</v>
      </c>
      <c r="W369" s="6"/>
      <c r="X369" s="6" t="str">
        <f aca="false">IFERROR(__xludf.dummyfunction("""COMPUTED_VALUE"""),"実家")</f>
        <v>実家</v>
      </c>
      <c r="Y369" s="6"/>
      <c r="Z369" s="6" t="str">
        <f aca="false">IFERROR(__xludf.dummyfunction("""COMPUTED_VALUE"""),"希望する")</f>
        <v>希望する</v>
      </c>
      <c r="AA369" s="6" t="str">
        <f aca="false">IFERROR(__xludf.dummyfunction("""COMPUTED_VALUE"""),"単身")</f>
        <v>単身</v>
      </c>
      <c r="AB369" s="6"/>
      <c r="AC369" s="6"/>
      <c r="AD369" s="6"/>
      <c r="AE369" s="6" t="str">
        <f aca="false">IFERROR(__xludf.dummyfunction("""COMPUTED_VALUE"""),"確認しました。")</f>
        <v>確認しました。</v>
      </c>
      <c r="AF369" s="6" t="str">
        <f aca="false">IFERROR(__xludf.dummyfunction("""COMPUTED_VALUE"""),"社宅基準の内容について確認しました")</f>
        <v>社宅基準の内容について確認しました</v>
      </c>
      <c r="AG369" s="6" t="str">
        <f aca="false">IFERROR(__xludf.dummyfunction("""COMPUTED_VALUE"""),"入居のしおりの内容についてご確認しました")</f>
        <v>入居のしおりの内容についてご確認しました</v>
      </c>
      <c r="AH369" s="6" t="str">
        <f aca="false">IFERROR(__xludf.dummyfunction("""COMPUTED_VALUE"""),"確認しました")</f>
        <v>確認しました</v>
      </c>
      <c r="AI369" s="6"/>
      <c r="AJ369" s="6" t="str">
        <v/>
      </c>
      <c r="AK369" s="6" t="str">
        <v/>
      </c>
      <c r="AL369" s="6" t="str">
        <v/>
      </c>
      <c r="AM369" s="6" t="str">
        <v/>
      </c>
      <c r="AN369" s="6" t="n">
        <f aca="false">TRUE()</f>
        <v>1</v>
      </c>
    </row>
    <row r="370" customFormat="false" ht="52.5" hidden="false" customHeight="true" outlineLevel="0" collapsed="false">
      <c r="A370" s="6" t="str">
        <f aca="false">IFERROR(__xludf.dummyfunction("""COMPUTED_VALUE"""),"2026/03/13 22:45:32")</f>
        <v>2026/03/13 22:45:32</v>
      </c>
      <c r="B370" s="6"/>
      <c r="C370" s="6" t="str">
        <f aca="false">IFERROR(__xludf.dummyfunction("""COMPUTED_VALUE"""),"71334")</f>
        <v>71334</v>
      </c>
      <c r="D370" s="6"/>
      <c r="E370" s="6"/>
      <c r="F370" s="6"/>
      <c r="G370" s="6" t="str">
        <f aca="false">IFERROR(__xludf.dummyfunction("""COMPUTED_VALUE"""),"2026/04/25")</f>
        <v>2026/04/25</v>
      </c>
      <c r="H370" s="6" t="str">
        <f aca="false">IFERROR(__xludf.dummyfunction("""COMPUTED_VALUE"""),"必要")</f>
        <v>必要</v>
      </c>
      <c r="I370" s="6" t="str">
        <f aca="false">IFERROR(__xludf.dummyfunction("""COMPUTED_VALUE"""),"男性")</f>
        <v>男性</v>
      </c>
      <c r="J370" s="6" t="str">
        <f aca="false">IFERROR(__xludf.dummyfunction("""COMPUTED_VALUE"""),"日本")</f>
        <v>日本</v>
      </c>
      <c r="K370" s="6" t="str">
        <f aca="false">IFERROR(__xludf.dummyfunction("""COMPUTED_VALUE"""),"20")</f>
        <v>20</v>
      </c>
      <c r="L370" s="6" t="str">
        <f aca="false">IFERROR(__xludf.dummyfunction("""COMPUTED_VALUE"""),"冷蔵庫(2ドア180ℓ)洗濯機、レンジ、炊飯器、シュレッダー(小さめ)、トースター(小さめ)")</f>
        <v>冷蔵庫(2ドア180ℓ)洗濯機、レンジ、炊飯器、シュレッダー(小さめ)、トースター(小さめ)</v>
      </c>
      <c r="M370" s="6" t="str">
        <f aca="false">IFERROR(__xludf.dummyfunction("""COMPUTED_VALUE"""),"本棚(小さめ)、机(横100奥行60高さ70)本棚(横30奥行70高さ150)、モニター(32インチ)、ライト(机用)、ワゴン(横45奥行50高さ70)、ラック(小さめ)")</f>
        <v>本棚(小さめ)、机(横100奥行60高さ70)本棚(横30奥行70高さ150)、モニター(32インチ)、ライト(机用)、ワゴン(横45奥行50高さ70)、ラック(小さめ)</v>
      </c>
      <c r="N370" s="6" t="str">
        <f aca="false">IFERROR(__xludf.dummyfunction("""COMPUTED_VALUE"""),"なし")</f>
        <v>なし</v>
      </c>
      <c r="O370" s="6" t="str">
        <f aca="false">IFERROR(__xludf.dummyfunction("""COMPUTED_VALUE"""),"必要")</f>
        <v>必要</v>
      </c>
      <c r="P370" s="6" t="str">
        <f aca="false">IFERROR(__xludf.dummyfunction("""COMPUTED_VALUE"""),"RAV4")</f>
        <v>RAV4</v>
      </c>
      <c r="Q370" s="6" t="str">
        <f aca="false">IFERROR(__xludf.dummyfunction("""COMPUTED_VALUE"""),"の4-20")</f>
        <v>の4-20</v>
      </c>
      <c r="R370" s="6" t="str">
        <f aca="false">IFERROR(__xludf.dummyfunction("""COMPUTED_VALUE"""),"白")</f>
        <v>白</v>
      </c>
      <c r="S370" s="6" t="str">
        <f aca="false">IFERROR(__xludf.dummyfunction("""COMPUTED_VALUE"""),"家具家電なし社宅")</f>
        <v>家具家電なし社宅</v>
      </c>
      <c r="T370" s="6" t="str">
        <f aca="false">IFERROR(__xludf.dummyfunction("""COMPUTED_VALUE"""),"利用しない")</f>
        <v>利用しない</v>
      </c>
      <c r="U370" s="6"/>
      <c r="V370" s="6" t="str">
        <f aca="false">IFERROR(__xludf.dummyfunction("""COMPUTED_VALUE"""),"自動車")</f>
        <v>自動車</v>
      </c>
      <c r="W370" s="6"/>
      <c r="X370" s="6" t="str">
        <f aca="false">IFERROR(__xludf.dummyfunction("""COMPUTED_VALUE"""),"株式会社ビーネックステクノロジーズの社宅")</f>
        <v>株式会社ビーネックステクノロジーズの社宅</v>
      </c>
      <c r="Y370" s="6" t="str">
        <f aca="false">IFERROR(__xludf.dummyfunction("""COMPUTED_VALUE"""),"利用なし")</f>
        <v>利用なし</v>
      </c>
      <c r="Z370" s="6" t="str">
        <f aca="false">IFERROR(__xludf.dummyfunction("""COMPUTED_VALUE"""),"希望する")</f>
        <v>希望する</v>
      </c>
      <c r="AA370" s="6" t="str">
        <f aca="false">IFERROR(__xludf.dummyfunction("""COMPUTED_VALUE"""),"単身")</f>
        <v>単身</v>
      </c>
      <c r="AB370" s="6"/>
      <c r="AC370" s="6"/>
      <c r="AD370" s="6" t="str">
        <f aca="false">IFERROR(__xludf.dummyfunction("""COMPUTED_VALUE"""),"遅くても4/26までに引っ越し完了")</f>
        <v>遅くても4/26までに引っ越し完了</v>
      </c>
      <c r="AE370" s="6" t="str">
        <f aca="false">IFERROR(__xludf.dummyfunction("""COMPUTED_VALUE"""),"確認しました。, 車の中にあるので明日中には提出可")</f>
        <v>確認しました。, 車の中にあるので明日中には提出可</v>
      </c>
      <c r="AF370" s="6" t="str">
        <f aca="false">IFERROR(__xludf.dummyfunction("""COMPUTED_VALUE"""),"社宅基準の内容について確認しました")</f>
        <v>社宅基準の内容について確認しました</v>
      </c>
      <c r="AG370" s="6" t="str">
        <f aca="false">IFERROR(__xludf.dummyfunction("""COMPUTED_VALUE"""),"入居のしおりの内容についてご確認しました")</f>
        <v>入居のしおりの内容についてご確認しました</v>
      </c>
      <c r="AH370" s="6" t="str">
        <f aca="false">IFERROR(__xludf.dummyfunction("""COMPUTED_VALUE"""),"確認しました")</f>
        <v>確認しました</v>
      </c>
      <c r="AI370" s="6"/>
      <c r="AJ370" s="6" t="str">
        <v/>
      </c>
      <c r="AK370" s="6" t="str">
        <v/>
      </c>
      <c r="AL370" s="6" t="str">
        <v/>
      </c>
      <c r="AM370" s="6" t="str">
        <v/>
      </c>
      <c r="AN370" s="6" t="n">
        <f aca="false">FALSE()</f>
        <v>0</v>
      </c>
    </row>
    <row r="371" customFormat="false" ht="52.5" hidden="false" customHeight="true" outlineLevel="0" collapsed="false">
      <c r="A371" s="6" t="str">
        <f aca="false">IFERROR(__xludf.dummyfunction("""COMPUTED_VALUE"""),"2026/03/13 23:35:51")</f>
        <v>2026/03/13 23:35:51</v>
      </c>
      <c r="B371" s="6"/>
      <c r="C371" s="6" t="str">
        <f aca="false">IFERROR(__xludf.dummyfunction("""COMPUTED_VALUE"""),"71381")</f>
        <v>71381</v>
      </c>
      <c r="D371" s="6"/>
      <c r="E371" s="6"/>
      <c r="F371" s="6"/>
      <c r="G371" s="6" t="str">
        <f aca="false">IFERROR(__xludf.dummyfunction("""COMPUTED_VALUE"""),"2026/03/20")</f>
        <v>2026/03/20</v>
      </c>
      <c r="H371" s="6" t="str">
        <f aca="false">IFERROR(__xludf.dummyfunction("""COMPUTED_VALUE"""),"不要")</f>
        <v>不要</v>
      </c>
      <c r="I371" s="6" t="str">
        <f aca="false">IFERROR(__xludf.dummyfunction("""COMPUTED_VALUE"""),"男性")</f>
        <v>男性</v>
      </c>
      <c r="J371" s="6" t="str">
        <f aca="false">IFERROR(__xludf.dummyfunction("""COMPUTED_VALUE"""),"日本")</f>
        <v>日本</v>
      </c>
      <c r="K371" s="6"/>
      <c r="L371" s="6"/>
      <c r="M371" s="6"/>
      <c r="N371" s="6"/>
      <c r="O371" s="6" t="str">
        <f aca="false">IFERROR(__xludf.dummyfunction("""COMPUTED_VALUE"""),"不要")</f>
        <v>不要</v>
      </c>
      <c r="P371" s="6"/>
      <c r="Q371" s="6"/>
      <c r="R371" s="6"/>
      <c r="S371" s="6" t="str">
        <f aca="false">IFERROR(__xludf.dummyfunction("""COMPUTED_VALUE"""),"家具家電なし社宅")</f>
        <v>家具家電なし社宅</v>
      </c>
      <c r="T371" s="6" t="str">
        <f aca="false">IFERROR(__xludf.dummyfunction("""COMPUTED_VALUE"""),"利用しない")</f>
        <v>利用しない</v>
      </c>
      <c r="U371" s="6"/>
      <c r="V371" s="6" t="str">
        <f aca="false">IFERROR(__xludf.dummyfunction("""COMPUTED_VALUE"""),"徒歩, 自転車, 電車, バス, 社用バス")</f>
        <v>徒歩, 自転車, 電車, バス, 社用バス</v>
      </c>
      <c r="W371" s="6"/>
      <c r="X371" s="6" t="str">
        <f aca="false">IFERROR(__xludf.dummyfunction("""COMPUTED_VALUE"""),"ご自身で契約中の物件")</f>
        <v>ご自身で契約中の物件</v>
      </c>
      <c r="Y371" s="6"/>
      <c r="Z371" s="6" t="str">
        <f aca="false">IFERROR(__xludf.dummyfunction("""COMPUTED_VALUE"""),"希望する")</f>
        <v>希望する</v>
      </c>
      <c r="AA371" s="6" t="str">
        <f aca="false">IFERROR(__xludf.dummyfunction("""COMPUTED_VALUE"""),"単身")</f>
        <v>単身</v>
      </c>
      <c r="AB371" s="6"/>
      <c r="AC371" s="6"/>
      <c r="AD371" s="6" t="str">
        <f aca="false">IFERROR(__xludf.dummyfunction("""COMPUTED_VALUE"""),"引越し予定日が3/20と入力してありますが、それ以降となる場合、引越し業者が必要になる可能性があります。")</f>
        <v>引越し予定日が3/20と入力してありますが、それ以降となる場合、引越し業者が必要になる可能性があります。</v>
      </c>
      <c r="AE371" s="6" t="str">
        <f aca="false">IFERROR(__xludf.dummyfunction("""COMPUTED_VALUE"""),"確認しました。")</f>
        <v>確認しました。</v>
      </c>
      <c r="AF371" s="6" t="str">
        <f aca="false">IFERROR(__xludf.dummyfunction("""COMPUTED_VALUE"""),"社宅基準の内容について確認しました")</f>
        <v>社宅基準の内容について確認しました</v>
      </c>
      <c r="AG371" s="6" t="str">
        <f aca="false">IFERROR(__xludf.dummyfunction("""COMPUTED_VALUE"""),"入居のしおりの内容についてご確認しました")</f>
        <v>入居のしおりの内容についてご確認しました</v>
      </c>
      <c r="AH371" s="6" t="str">
        <f aca="false">IFERROR(__xludf.dummyfunction("""COMPUTED_VALUE"""),"確認しました")</f>
        <v>確認しました</v>
      </c>
      <c r="AI371" s="6"/>
      <c r="AJ371" s="6" t="str">
        <v/>
      </c>
      <c r="AK371" s="6" t="str">
        <v/>
      </c>
      <c r="AL371" s="6" t="str">
        <v/>
      </c>
      <c r="AM371" s="6" t="str">
        <v/>
      </c>
      <c r="AN371" s="6" t="n">
        <f aca="false">FALSE()</f>
        <v>0</v>
      </c>
    </row>
    <row r="372" customFormat="false" ht="52.5" hidden="false" customHeight="true" outlineLevel="0" collapsed="false">
      <c r="A372" s="6" t="str">
        <f aca="false">IFERROR(__xludf.dummyfunction("""COMPUTED_VALUE"""),"2026/03/14 0:28:45")</f>
        <v>2026/03/14 0:28:45</v>
      </c>
      <c r="B372" s="6"/>
      <c r="C372" s="6" t="str">
        <f aca="false">IFERROR(__xludf.dummyfunction("""COMPUTED_VALUE"""),"71313")</f>
        <v>71313</v>
      </c>
      <c r="D372" s="6"/>
      <c r="E372" s="6"/>
      <c r="F372" s="6"/>
      <c r="G372" s="6" t="str">
        <f aca="false">IFERROR(__xludf.dummyfunction("""COMPUTED_VALUE"""),"2026/03/29")</f>
        <v>2026/03/29</v>
      </c>
      <c r="H372" s="6" t="str">
        <f aca="false">IFERROR(__xludf.dummyfunction("""COMPUTED_VALUE"""),"必要")</f>
        <v>必要</v>
      </c>
      <c r="I372" s="6" t="str">
        <f aca="false">IFERROR(__xludf.dummyfunction("""COMPUTED_VALUE"""),"女性")</f>
        <v>女性</v>
      </c>
      <c r="J372" s="6" t="str">
        <f aca="false">IFERROR(__xludf.dummyfunction("""COMPUTED_VALUE"""),"日本")</f>
        <v>日本</v>
      </c>
      <c r="K372" s="6" t="str">
        <f aca="false">IFERROR(__xludf.dummyfunction("""COMPUTED_VALUE"""),"10")</f>
        <v>10</v>
      </c>
      <c r="L372" s="6" t="str">
        <f aca="false">IFERROR(__xludf.dummyfunction("""COMPUTED_VALUE"""),"無し")</f>
        <v>無し</v>
      </c>
      <c r="M372" s="6" t="str">
        <f aca="false">IFERROR(__xludf.dummyfunction("""COMPUTED_VALUE"""),"無し")</f>
        <v>無し</v>
      </c>
      <c r="N372" s="6"/>
      <c r="O372" s="6" t="str">
        <f aca="false">IFERROR(__xludf.dummyfunction("""COMPUTED_VALUE"""),"不要")</f>
        <v>不要</v>
      </c>
      <c r="P372" s="6"/>
      <c r="Q372" s="6"/>
      <c r="R372" s="6"/>
      <c r="S372" s="6" t="str">
        <f aca="false">IFERROR(__xludf.dummyfunction("""COMPUTED_VALUE"""),"家具家電なし社宅")</f>
        <v>家具家電なし社宅</v>
      </c>
      <c r="T372" s="6" t="str">
        <f aca="false">IFERROR(__xludf.dummyfunction("""COMPUTED_VALUE"""),"利用する")</f>
        <v>利用する</v>
      </c>
      <c r="U372" s="6" t="str">
        <f aca="false">IFERROR(__xludf.dummyfunction("""COMPUTED_VALUE"""),"照明器具、冷蔵庫、洗濯機、電子レンジ、炊飯器、テレビ、掃除機")</f>
        <v>照明器具、冷蔵庫、洗濯機、電子レンジ、炊飯器、テレビ、掃除機</v>
      </c>
      <c r="V372" s="6" t="str">
        <f aca="false">IFERROR(__xludf.dummyfunction("""COMPUTED_VALUE"""),"徒歩, 電車")</f>
        <v>徒歩, 電車</v>
      </c>
      <c r="W372" s="6"/>
      <c r="X372" s="6" t="str">
        <f aca="false">IFERROR(__xludf.dummyfunction("""COMPUTED_VALUE"""),"実家")</f>
        <v>実家</v>
      </c>
      <c r="Y372" s="6"/>
      <c r="Z372" s="6" t="str">
        <f aca="false">IFERROR(__xludf.dummyfunction("""COMPUTED_VALUE"""),"希望する")</f>
        <v>希望する</v>
      </c>
      <c r="AA372" s="6" t="str">
        <f aca="false">IFERROR(__xludf.dummyfunction("""COMPUTED_VALUE"""),"単身")</f>
        <v>単身</v>
      </c>
      <c r="AB372" s="6"/>
      <c r="AC372" s="6"/>
      <c r="AD372" s="6"/>
      <c r="AE372" s="6" t="str">
        <f aca="false">IFERROR(__xludf.dummyfunction("""COMPUTED_VALUE"""),"確認しました。")</f>
        <v>確認しました。</v>
      </c>
      <c r="AF372" s="6" t="str">
        <f aca="false">IFERROR(__xludf.dummyfunction("""COMPUTED_VALUE"""),"社宅基準の内容について確認しました")</f>
        <v>社宅基準の内容について確認しました</v>
      </c>
      <c r="AG372" s="6" t="str">
        <f aca="false">IFERROR(__xludf.dummyfunction("""COMPUTED_VALUE"""),"入居のしおりの内容についてご確認しました")</f>
        <v>入居のしおりの内容についてご確認しました</v>
      </c>
      <c r="AH372" s="6" t="str">
        <f aca="false">IFERROR(__xludf.dummyfunction("""COMPUTED_VALUE"""),"確認しました")</f>
        <v>確認しました</v>
      </c>
      <c r="AI372" s="6"/>
      <c r="AJ372" s="6" t="str">
        <v/>
      </c>
      <c r="AK372" s="6" t="str">
        <v/>
      </c>
      <c r="AL372" s="6" t="str">
        <v/>
      </c>
      <c r="AM372" s="6" t="str">
        <v/>
      </c>
      <c r="AN372" s="6" t="n">
        <f aca="false">FALSE()</f>
        <v>0</v>
      </c>
    </row>
    <row r="373" customFormat="false" ht="52.5" hidden="false" customHeight="true" outlineLevel="0" collapsed="false">
      <c r="A373" s="6" t="str">
        <f aca="false">IFERROR(__xludf.dummyfunction("""COMPUTED_VALUE"""),"2026/03/14 9:51:42")</f>
        <v>2026/03/14 9:51:42</v>
      </c>
      <c r="B373" s="6"/>
      <c r="C373" s="6" t="str">
        <f aca="false">IFERROR(__xludf.dummyfunction("""COMPUTED_VALUE"""),"71319")</f>
        <v>71319</v>
      </c>
      <c r="D373" s="6"/>
      <c r="E373" s="6"/>
      <c r="F373" s="6"/>
      <c r="G373" s="6" t="str">
        <f aca="false">IFERROR(__xludf.dummyfunction("""COMPUTED_VALUE"""),"2026/03/27")</f>
        <v>2026/03/27</v>
      </c>
      <c r="H373" s="6" t="str">
        <f aca="false">IFERROR(__xludf.dummyfunction("""COMPUTED_VALUE"""),"必要")</f>
        <v>必要</v>
      </c>
      <c r="I373" s="6" t="str">
        <f aca="false">IFERROR(__xludf.dummyfunction("""COMPUTED_VALUE"""),"男性")</f>
        <v>男性</v>
      </c>
      <c r="J373" s="6" t="str">
        <f aca="false">IFERROR(__xludf.dummyfunction("""COMPUTED_VALUE"""),"日本")</f>
        <v>日本</v>
      </c>
      <c r="K373" s="6" t="str">
        <f aca="false">IFERROR(__xludf.dummyfunction("""COMPUTED_VALUE"""),"15")</f>
        <v>15</v>
      </c>
      <c r="L373" s="6" t="str">
        <f aca="false">IFERROR(__xludf.dummyfunction("""COMPUTED_VALUE"""),"冷蔵庫（2ドア）
洗濯機　約540×880×540mm
ケトル
電子レンジ
掃除機")</f>
        <v>冷蔵庫（2ドア）
洗濯機　約540×880×540mm
ケトル
電子レンジ
掃除機</v>
      </c>
      <c r="M373" s="6" t="str">
        <f aca="false">IFERROR(__xludf.dummyfunction("""COMPUTED_VALUE"""),"コレクションケース　幅42.5×奥行36.5×高さ86cm
ベッド　シングル
テーブル　80×60×40")</f>
        <v>コレクションケース　幅42.5×奥行36.5×高さ86cm
ベッド　シングル
テーブル　80×60×40</v>
      </c>
      <c r="N373" s="6" t="str">
        <f aca="false">IFERROR(__xludf.dummyfunction("""COMPUTED_VALUE"""),"自転車")</f>
        <v>自転車</v>
      </c>
      <c r="O373" s="6" t="str">
        <f aca="false">IFERROR(__xludf.dummyfunction("""COMPUTED_VALUE"""),"不要")</f>
        <v>不要</v>
      </c>
      <c r="P373" s="6"/>
      <c r="Q373" s="6"/>
      <c r="R373" s="6"/>
      <c r="S373" s="6" t="str">
        <f aca="false">IFERROR(__xludf.dummyfunction("""COMPUTED_VALUE"""),"家具家電なし社宅")</f>
        <v>家具家電なし社宅</v>
      </c>
      <c r="T373" s="6" t="str">
        <f aca="false">IFERROR(__xludf.dummyfunction("""COMPUTED_VALUE"""),"利用しない")</f>
        <v>利用しない</v>
      </c>
      <c r="U373" s="6"/>
      <c r="V373" s="6" t="str">
        <f aca="false">IFERROR(__xludf.dummyfunction("""COMPUTED_VALUE"""),"徒歩, 自転車, 電車, バス")</f>
        <v>徒歩, 自転車, 電車, バス</v>
      </c>
      <c r="W373" s="6"/>
      <c r="X373" s="6" t="str">
        <f aca="false">IFERROR(__xludf.dummyfunction("""COMPUTED_VALUE"""),"ご自身で契約中の物件")</f>
        <v>ご自身で契約中の物件</v>
      </c>
      <c r="Y373" s="6"/>
      <c r="Z373" s="6" t="str">
        <f aca="false">IFERROR(__xludf.dummyfunction("""COMPUTED_VALUE"""),"希望する")</f>
        <v>希望する</v>
      </c>
      <c r="AA373" s="6" t="str">
        <f aca="false">IFERROR(__xludf.dummyfunction("""COMPUTED_VALUE"""),"単身")</f>
        <v>単身</v>
      </c>
      <c r="AB373" s="6"/>
      <c r="AC373" s="6"/>
      <c r="AD373" s="6"/>
      <c r="AE373" s="6" t="str">
        <f aca="false">IFERROR(__xludf.dummyfunction("""COMPUTED_VALUE"""),"確認しました。")</f>
        <v>確認しました。</v>
      </c>
      <c r="AF373" s="6" t="str">
        <f aca="false">IFERROR(__xludf.dummyfunction("""COMPUTED_VALUE"""),"社宅基準の内容について確認しました")</f>
        <v>社宅基準の内容について確認しました</v>
      </c>
      <c r="AG373" s="6" t="str">
        <f aca="false">IFERROR(__xludf.dummyfunction("""COMPUTED_VALUE"""),"入居のしおりの内容についてご確認しました")</f>
        <v>入居のしおりの内容についてご確認しました</v>
      </c>
      <c r="AH373" s="6" t="str">
        <f aca="false">IFERROR(__xludf.dummyfunction("""COMPUTED_VALUE"""),"確認しました")</f>
        <v>確認しました</v>
      </c>
      <c r="AI373" s="6"/>
      <c r="AJ373" s="6" t="str">
        <v/>
      </c>
      <c r="AK373" s="6" t="str">
        <v/>
      </c>
      <c r="AL373" s="6" t="str">
        <v/>
      </c>
      <c r="AM373" s="6" t="str">
        <v/>
      </c>
      <c r="AN373" s="6" t="n">
        <f aca="false">FALSE()</f>
        <v>0</v>
      </c>
    </row>
    <row r="374" customFormat="false" ht="52.5" hidden="false" customHeight="true" outlineLevel="0" collapsed="false">
      <c r="A374" s="6" t="str">
        <f aca="false">IFERROR(__xludf.dummyfunction("""COMPUTED_VALUE"""),"2026/03/14 13:26:57")</f>
        <v>2026/03/14 13:26:57</v>
      </c>
      <c r="B374" s="6"/>
      <c r="C374" s="6" t="str">
        <f aca="false">IFERROR(__xludf.dummyfunction("""COMPUTED_VALUE"""),"71317")</f>
        <v>71317</v>
      </c>
      <c r="D374" s="6"/>
      <c r="E374" s="6"/>
      <c r="F374" s="6"/>
      <c r="G374" s="6" t="str">
        <f aca="false">IFERROR(__xludf.dummyfunction("""COMPUTED_VALUE"""),"2026/03/23")</f>
        <v>2026/03/23</v>
      </c>
      <c r="H374" s="6" t="str">
        <f aca="false">IFERROR(__xludf.dummyfunction("""COMPUTED_VALUE"""),"必要")</f>
        <v>必要</v>
      </c>
      <c r="I374" s="6" t="str">
        <f aca="false">IFERROR(__xludf.dummyfunction("""COMPUTED_VALUE"""),"男性")</f>
        <v>男性</v>
      </c>
      <c r="J374" s="6" t="str">
        <f aca="false">IFERROR(__xludf.dummyfunction("""COMPUTED_VALUE"""),"日本")</f>
        <v>日本</v>
      </c>
      <c r="K374" s="6" t="str">
        <f aca="false">IFERROR(__xludf.dummyfunction("""COMPUTED_VALUE"""),"25")</f>
        <v>25</v>
      </c>
      <c r="L374" s="6" t="str">
        <f aca="false">IFERROR(__xludf.dummyfunction("""COMPUTED_VALUE"""),"106Ｌ冷蔵庫(2ドア)、6kg全自動洗濯機、電子レンジ")</f>
        <v>106Ｌ冷蔵庫(2ドア)、6kg全自動洗濯機、電子レンジ</v>
      </c>
      <c r="M374" s="6" t="str">
        <f aca="false">IFERROR(__xludf.dummyfunction("""COMPUTED_VALUE"""),"机(幅100×奥行60cm)、ラック型の棚、シングルパイプベッド、デスクトップPC、モニター")</f>
        <v>机(幅100×奥行60cm)、ラック型の棚、シングルパイプベッド、デスクトップPC、モニター</v>
      </c>
      <c r="N374" s="6"/>
      <c r="O374" s="6" t="str">
        <f aca="false">IFERROR(__xludf.dummyfunction("""COMPUTED_VALUE"""),"不要")</f>
        <v>不要</v>
      </c>
      <c r="P374" s="6"/>
      <c r="Q374" s="6"/>
      <c r="R374" s="6"/>
      <c r="S374" s="6" t="str">
        <f aca="false">IFERROR(__xludf.dummyfunction("""COMPUTED_VALUE"""),"家具家電なし社宅")</f>
        <v>家具家電なし社宅</v>
      </c>
      <c r="T374" s="6"/>
      <c r="U374" s="6" t="str">
        <f aca="false">IFERROR(__xludf.dummyfunction("""COMPUTED_VALUE"""),"なし")</f>
        <v>なし</v>
      </c>
      <c r="V374" s="6" t="str">
        <f aca="false">IFERROR(__xludf.dummyfunction("""COMPUTED_VALUE"""),"徒歩, 自転車, 電車")</f>
        <v>徒歩, 自転車, 電車</v>
      </c>
      <c r="W374" s="6"/>
      <c r="X374" s="6" t="str">
        <f aca="false">IFERROR(__xludf.dummyfunction("""COMPUTED_VALUE"""),"ご自身で契約中の物件")</f>
        <v>ご自身で契約中の物件</v>
      </c>
      <c r="Y374" s="6"/>
      <c r="Z374" s="6" t="str">
        <f aca="false">IFERROR(__xludf.dummyfunction("""COMPUTED_VALUE"""),"希望しない")</f>
        <v>希望しない</v>
      </c>
      <c r="AA374" s="6" t="str">
        <f aca="false">IFERROR(__xludf.dummyfunction("""COMPUTED_VALUE"""),"単身")</f>
        <v>単身</v>
      </c>
      <c r="AB374" s="6"/>
      <c r="AC374" s="6"/>
      <c r="AD374" s="6" t="str">
        <f aca="false">IFERROR(__xludf.dummyfunction("""COMPUTED_VALUE"""),"・トイレとお風呂がセパレート式
・インターネット回線を個人契約可(工事の有無)
・キッチンはIHコンロ付き(可能なら少し広め希望)
・可能ならエアコン付き(厳しければレンタルさせていただきます)
※現在の家を契約で24日までしか住めないため、25日以降の引越しとなる場合は、実家からの引越しとなります。(実家住所: 広島県福山市赤坂町赤坂1837-1)")</f>
        <v>・トイレとお風呂がセパレート式
・インターネット回線を個人契約可(工事の有無)
・キッチンはIHコンロ付き(可能なら少し広め希望)
・可能ならエアコン付き(厳しければレンタルさせていただきます)
※現在の家を契約で24日までしか住めないため、25日以降の引越しとなる場合は、実家からの引越しとなります。(実家住所: 広島県福山市赤坂町赤坂1837-1)</v>
      </c>
      <c r="AE374" s="6" t="str">
        <f aca="false">IFERROR(__xludf.dummyfunction("""COMPUTED_VALUE"""),"確認しました。")</f>
        <v>確認しました。</v>
      </c>
      <c r="AF374" s="6" t="str">
        <f aca="false">IFERROR(__xludf.dummyfunction("""COMPUTED_VALUE"""),"社宅基準の内容について確認しました")</f>
        <v>社宅基準の内容について確認しました</v>
      </c>
      <c r="AG374" s="6" t="str">
        <f aca="false">IFERROR(__xludf.dummyfunction("""COMPUTED_VALUE"""),"入居のしおりの内容についてご確認しました")</f>
        <v>入居のしおりの内容についてご確認しました</v>
      </c>
      <c r="AH374" s="6" t="str">
        <f aca="false">IFERROR(__xludf.dummyfunction("""COMPUTED_VALUE"""),"確認しました")</f>
        <v>確認しました</v>
      </c>
      <c r="AI374" s="6"/>
      <c r="AJ374" s="6" t="str">
        <v/>
      </c>
      <c r="AK374" s="6" t="str">
        <v/>
      </c>
      <c r="AL374" s="6" t="str">
        <v/>
      </c>
      <c r="AM374" s="6" t="str">
        <v/>
      </c>
      <c r="AN374" s="6" t="n">
        <f aca="false">TRUE()</f>
        <v>1</v>
      </c>
    </row>
    <row r="375" customFormat="false" ht="52.5" hidden="false" customHeight="true" outlineLevel="0" collapsed="false">
      <c r="A375" s="6" t="str">
        <f aca="false">IFERROR(__xludf.dummyfunction("""COMPUTED_VALUE"""),"2026/03/14 16:25:00")</f>
        <v>2026/03/14 16:25:00</v>
      </c>
      <c r="B375" s="6"/>
      <c r="C375" s="6" t="str">
        <f aca="false">IFERROR(__xludf.dummyfunction("""COMPUTED_VALUE"""),"71405")</f>
        <v>71405</v>
      </c>
      <c r="D375" s="6"/>
      <c r="E375" s="6"/>
      <c r="F375" s="6"/>
      <c r="G375" s="6" t="str">
        <f aca="false">IFERROR(__xludf.dummyfunction("""COMPUTED_VALUE"""),"2026/03/27")</f>
        <v>2026/03/27</v>
      </c>
      <c r="H375" s="6" t="str">
        <f aca="false">IFERROR(__xludf.dummyfunction("""COMPUTED_VALUE"""),"必要")</f>
        <v>必要</v>
      </c>
      <c r="I375" s="6" t="str">
        <f aca="false">IFERROR(__xludf.dummyfunction("""COMPUTED_VALUE"""),"女性")</f>
        <v>女性</v>
      </c>
      <c r="J375" s="6" t="str">
        <f aca="false">IFERROR(__xludf.dummyfunction("""COMPUTED_VALUE"""),"日本")</f>
        <v>日本</v>
      </c>
      <c r="K375" s="6" t="str">
        <f aca="false">IFERROR(__xludf.dummyfunction("""COMPUTED_VALUE"""),"15")</f>
        <v>15</v>
      </c>
      <c r="L375" s="6" t="str">
        <f aca="false">IFERROR(__xludf.dummyfunction("""COMPUTED_VALUE"""),"シングルマットレス")</f>
        <v>シングルマットレス</v>
      </c>
      <c r="M375" s="6" t="str">
        <f aca="false">IFERROR(__xludf.dummyfunction("""COMPUTED_VALUE"""),"なし")</f>
        <v>なし</v>
      </c>
      <c r="N375" s="6"/>
      <c r="O375" s="6" t="str">
        <f aca="false">IFERROR(__xludf.dummyfunction("""COMPUTED_VALUE"""),"不要")</f>
        <v>不要</v>
      </c>
      <c r="P375" s="6"/>
      <c r="Q375" s="6"/>
      <c r="R375" s="6"/>
      <c r="S375" s="6" t="str">
        <f aca="false">IFERROR(__xludf.dummyfunction("""COMPUTED_VALUE"""),"家具家電なし社宅")</f>
        <v>家具家電なし社宅</v>
      </c>
      <c r="T375" s="6" t="str">
        <f aca="false">IFERROR(__xludf.dummyfunction("""COMPUTED_VALUE"""),"利用しない")</f>
        <v>利用しない</v>
      </c>
      <c r="U375" s="6"/>
      <c r="V375" s="6" t="str">
        <f aca="false">IFERROR(__xludf.dummyfunction("""COMPUTED_VALUE"""),"バス")</f>
        <v>バス</v>
      </c>
      <c r="W375" s="6"/>
      <c r="X375" s="6" t="str">
        <f aca="false">IFERROR(__xludf.dummyfunction("""COMPUTED_VALUE"""),"実家")</f>
        <v>実家</v>
      </c>
      <c r="Y375" s="6"/>
      <c r="Z375" s="6" t="str">
        <f aca="false">IFERROR(__xludf.dummyfunction("""COMPUTED_VALUE"""),"希望する")</f>
        <v>希望する</v>
      </c>
      <c r="AA375" s="6" t="str">
        <f aca="false">IFERROR(__xludf.dummyfunction("""COMPUTED_VALUE"""),"単身")</f>
        <v>単身</v>
      </c>
      <c r="AB375" s="6"/>
      <c r="AC375" s="6"/>
      <c r="AD375" s="6"/>
      <c r="AE375" s="6" t="str">
        <f aca="false">IFERROR(__xludf.dummyfunction("""COMPUTED_VALUE"""),"確認しました。")</f>
        <v>確認しました。</v>
      </c>
      <c r="AF375" s="6" t="str">
        <f aca="false">IFERROR(__xludf.dummyfunction("""COMPUTED_VALUE"""),"社宅基準の内容について確認しました")</f>
        <v>社宅基準の内容について確認しました</v>
      </c>
      <c r="AG375" s="6" t="str">
        <f aca="false">IFERROR(__xludf.dummyfunction("""COMPUTED_VALUE"""),"入居のしおりの内容についてご確認しました")</f>
        <v>入居のしおりの内容についてご確認しました</v>
      </c>
      <c r="AH375" s="6" t="str">
        <f aca="false">IFERROR(__xludf.dummyfunction("""COMPUTED_VALUE"""),"確認しました")</f>
        <v>確認しました</v>
      </c>
      <c r="AI375" s="6"/>
      <c r="AJ375" s="6" t="str">
        <v/>
      </c>
      <c r="AK375" s="6" t="str">
        <v/>
      </c>
      <c r="AL375" s="6" t="str">
        <v/>
      </c>
      <c r="AM375" s="6" t="str">
        <v/>
      </c>
      <c r="AN375" s="6" t="n">
        <f aca="false">FALSE()</f>
        <v>0</v>
      </c>
    </row>
    <row r="376" customFormat="false" ht="52.5" hidden="false" customHeight="true" outlineLevel="0" collapsed="false">
      <c r="A376" s="6" t="str">
        <f aca="false">IFERROR(__xludf.dummyfunction("""COMPUTED_VALUE"""),"2026/03/14 16:37:14")</f>
        <v>2026/03/14 16:37:14</v>
      </c>
      <c r="B376" s="6"/>
      <c r="C376" s="6" t="str">
        <f aca="false">IFERROR(__xludf.dummyfunction("""COMPUTED_VALUE"""),"71369")</f>
        <v>71369</v>
      </c>
      <c r="D376" s="6"/>
      <c r="E376" s="6"/>
      <c r="F376" s="6"/>
      <c r="G376" s="6" t="str">
        <f aca="false">IFERROR(__xludf.dummyfunction("""COMPUTED_VALUE"""),"2026/03/30")</f>
        <v>2026/03/30</v>
      </c>
      <c r="H376" s="6" t="str">
        <f aca="false">IFERROR(__xludf.dummyfunction("""COMPUTED_VALUE"""),"必要")</f>
        <v>必要</v>
      </c>
      <c r="I376" s="6" t="str">
        <f aca="false">IFERROR(__xludf.dummyfunction("""COMPUTED_VALUE"""),"男性")</f>
        <v>男性</v>
      </c>
      <c r="J376" s="6" t="str">
        <f aca="false">IFERROR(__xludf.dummyfunction("""COMPUTED_VALUE"""),"日本")</f>
        <v>日本</v>
      </c>
      <c r="K376" s="6" t="str">
        <f aca="false">IFERROR(__xludf.dummyfunction("""COMPUTED_VALUE"""),"8")</f>
        <v>8</v>
      </c>
      <c r="L376" s="6" t="str">
        <f aca="false">IFERROR(__xludf.dummyfunction("""COMPUTED_VALUE"""),"掃除機")</f>
        <v>掃除機</v>
      </c>
      <c r="M376" s="6" t="str">
        <f aca="false">IFERROR(__xludf.dummyfunction("""COMPUTED_VALUE"""),"- ゲーミングチェア（座面とキャスター分解可能、座高78cm）
- 組み立て式ベッド（シングル、マットレス折り畳み）
組み立て後サイズ：横幅100cm × 奥行200cm × 高さ65cm
- 折り畳み机（横幅70cm × 奥行45cm × 高さ65cm）
- コートツリー（高さ130cm）
")</f>
        <v>- ゲーミングチェア（座面とキャスター分解可能、座高78cm）
- 組み立て式ベッド（シングル、マットレス折り畳み）
組み立て後サイズ：横幅100cm × 奥行200cm × 高さ65cm
- 折り畳み机（横幅70cm × 奥行45cm × 高さ65cm）
- コートツリー（高さ130cm）
</v>
      </c>
      <c r="N376" s="6" t="str">
        <f aca="false">IFERROR(__xludf.dummyfunction("""COMPUTED_VALUE"""),"自転車")</f>
        <v>自転車</v>
      </c>
      <c r="O376" s="6" t="str">
        <f aca="false">IFERROR(__xludf.dummyfunction("""COMPUTED_VALUE"""),"不要")</f>
        <v>不要</v>
      </c>
      <c r="P376" s="6"/>
      <c r="Q376" s="6"/>
      <c r="R376" s="6"/>
      <c r="S376" s="6" t="str">
        <f aca="false">IFERROR(__xludf.dummyfunction("""COMPUTED_VALUE"""),"家具家電付き社宅")</f>
        <v>家具家電付き社宅</v>
      </c>
      <c r="T376" s="6" t="str">
        <f aca="false">IFERROR(__xludf.dummyfunction("""COMPUTED_VALUE"""),"利用しない")</f>
        <v>利用しない</v>
      </c>
      <c r="U376" s="6"/>
      <c r="V376" s="6" t="str">
        <f aca="false">IFERROR(__xludf.dummyfunction("""COMPUTED_VALUE"""),"徒歩, 自転車")</f>
        <v>徒歩, 自転車</v>
      </c>
      <c r="W376" s="6"/>
      <c r="X376" s="6" t="str">
        <f aca="false">IFERROR(__xludf.dummyfunction("""COMPUTED_VALUE"""),"実家")</f>
        <v>実家</v>
      </c>
      <c r="Y376" s="6"/>
      <c r="Z376" s="6" t="str">
        <f aca="false">IFERROR(__xludf.dummyfunction("""COMPUTED_VALUE"""),"希望する")</f>
        <v>希望する</v>
      </c>
      <c r="AA376" s="6" t="str">
        <f aca="false">IFERROR(__xludf.dummyfunction("""COMPUTED_VALUE"""),"単身")</f>
        <v>単身</v>
      </c>
      <c r="AB376" s="6"/>
      <c r="AC376" s="6"/>
      <c r="AD376" s="6"/>
      <c r="AE376" s="6" t="str">
        <f aca="false">IFERROR(__xludf.dummyfunction("""COMPUTED_VALUE"""),"確認しました。")</f>
        <v>確認しました。</v>
      </c>
      <c r="AF376" s="6" t="str">
        <f aca="false">IFERROR(__xludf.dummyfunction("""COMPUTED_VALUE"""),"社宅基準の内容について確認しました")</f>
        <v>社宅基準の内容について確認しました</v>
      </c>
      <c r="AG376" s="6" t="str">
        <f aca="false">IFERROR(__xludf.dummyfunction("""COMPUTED_VALUE"""),"入居のしおりの内容についてご確認しました")</f>
        <v>入居のしおりの内容についてご確認しました</v>
      </c>
      <c r="AH376" s="6" t="str">
        <f aca="false">IFERROR(__xludf.dummyfunction("""COMPUTED_VALUE"""),"確認しました")</f>
        <v>確認しました</v>
      </c>
      <c r="AI376" s="6"/>
      <c r="AJ376" s="6" t="str">
        <v/>
      </c>
      <c r="AK376" s="6" t="str">
        <v/>
      </c>
      <c r="AL376" s="6" t="str">
        <v/>
      </c>
      <c r="AM376" s="6" t="str">
        <v/>
      </c>
      <c r="AN376" s="6" t="n">
        <f aca="false">FALSE()</f>
        <v>0</v>
      </c>
    </row>
    <row r="377" customFormat="false" ht="52.5" hidden="false" customHeight="true" outlineLevel="0" collapsed="false">
      <c r="A377" s="6" t="str">
        <f aca="false">IFERROR(__xludf.dummyfunction("""COMPUTED_VALUE"""),"2026/03/14 17:31:35")</f>
        <v>2026/03/14 17:31:35</v>
      </c>
      <c r="B377" s="6"/>
      <c r="C377" s="6" t="str">
        <f aca="false">IFERROR(__xludf.dummyfunction("""COMPUTED_VALUE"""),"71361")</f>
        <v>71361</v>
      </c>
      <c r="D377" s="6"/>
      <c r="E377" s="6"/>
      <c r="F377" s="6"/>
      <c r="G377" s="6" t="str">
        <f aca="false">IFERROR(__xludf.dummyfunction("""COMPUTED_VALUE"""),"2026/03/20")</f>
        <v>2026/03/20</v>
      </c>
      <c r="H377" s="6" t="str">
        <f aca="false">IFERROR(__xludf.dummyfunction("""COMPUTED_VALUE"""),"不要")</f>
        <v>不要</v>
      </c>
      <c r="I377" s="6" t="str">
        <f aca="false">IFERROR(__xludf.dummyfunction("""COMPUTED_VALUE"""),"男性")</f>
        <v>男性</v>
      </c>
      <c r="J377" s="6" t="str">
        <f aca="false">IFERROR(__xludf.dummyfunction("""COMPUTED_VALUE"""),"日本")</f>
        <v>日本</v>
      </c>
      <c r="K377" s="6"/>
      <c r="L377" s="6"/>
      <c r="M377" s="6"/>
      <c r="N377" s="6"/>
      <c r="O377" s="6" t="str">
        <f aca="false">IFERROR(__xludf.dummyfunction("""COMPUTED_VALUE"""),"必要")</f>
        <v>必要</v>
      </c>
      <c r="P377" s="6" t="str">
        <f aca="false">IFERROR(__xludf.dummyfunction("""COMPUTED_VALUE"""),"トール")</f>
        <v>トール</v>
      </c>
      <c r="Q377" s="6" t="str">
        <f aca="false">IFERROR(__xludf.dummyfunction("""COMPUTED_VALUE"""),"そ50-29")</f>
        <v>そ50-29</v>
      </c>
      <c r="R377" s="6" t="str">
        <f aca="false">IFERROR(__xludf.dummyfunction("""COMPUTED_VALUE"""),"シルバー")</f>
        <v>シルバー</v>
      </c>
      <c r="S377" s="6" t="str">
        <f aca="false">IFERROR(__xludf.dummyfunction("""COMPUTED_VALUE"""),"家具家電付き社宅")</f>
        <v>家具家電付き社宅</v>
      </c>
      <c r="T377" s="6" t="str">
        <f aca="false">IFERROR(__xludf.dummyfunction("""COMPUTED_VALUE"""),"利用しない")</f>
        <v>利用しない</v>
      </c>
      <c r="U377" s="6"/>
      <c r="V377" s="6" t="str">
        <f aca="false">IFERROR(__xludf.dummyfunction("""COMPUTED_VALUE"""),"自動車, 自転車")</f>
        <v>自動車, 自転車</v>
      </c>
      <c r="W377" s="6"/>
      <c r="X377" s="6" t="str">
        <f aca="false">IFERROR(__xludf.dummyfunction("""COMPUTED_VALUE"""),"実家")</f>
        <v>実家</v>
      </c>
      <c r="Y377" s="6"/>
      <c r="Z377" s="6" t="str">
        <f aca="false">IFERROR(__xludf.dummyfunction("""COMPUTED_VALUE"""),"希望する")</f>
        <v>希望する</v>
      </c>
      <c r="AA377" s="6" t="str">
        <f aca="false">IFERROR(__xludf.dummyfunction("""COMPUTED_VALUE"""),"単身")</f>
        <v>単身</v>
      </c>
      <c r="AB377" s="6"/>
      <c r="AC377" s="6"/>
      <c r="AD377" s="6"/>
      <c r="AE377" s="6" t="str">
        <f aca="false">IFERROR(__xludf.dummyfunction("""COMPUTED_VALUE"""),"確認しました。")</f>
        <v>確認しました。</v>
      </c>
      <c r="AF377" s="6" t="str">
        <f aca="false">IFERROR(__xludf.dummyfunction("""COMPUTED_VALUE"""),"社宅基準の内容について確認しました")</f>
        <v>社宅基準の内容について確認しました</v>
      </c>
      <c r="AG377" s="6" t="str">
        <f aca="false">IFERROR(__xludf.dummyfunction("""COMPUTED_VALUE"""),"入居のしおりの内容についてご確認しました")</f>
        <v>入居のしおりの内容についてご確認しました</v>
      </c>
      <c r="AH377" s="6" t="str">
        <f aca="false">IFERROR(__xludf.dummyfunction("""COMPUTED_VALUE"""),"確認しました")</f>
        <v>確認しました</v>
      </c>
      <c r="AI377" s="6"/>
      <c r="AJ377" s="6" t="str">
        <v/>
      </c>
      <c r="AK377" s="6" t="str">
        <v/>
      </c>
      <c r="AL377" s="6" t="str">
        <v/>
      </c>
      <c r="AM377" s="6" t="str">
        <v/>
      </c>
      <c r="AN377" s="6" t="n">
        <f aca="false">FALSE()</f>
        <v>0</v>
      </c>
    </row>
    <row r="378" customFormat="false" ht="52.5" hidden="false" customHeight="true" outlineLevel="0" collapsed="false">
      <c r="A378" s="6" t="str">
        <f aca="false">IFERROR(__xludf.dummyfunction("""COMPUTED_VALUE"""),"2026/03/14 20:10:31")</f>
        <v>2026/03/14 20:10:31</v>
      </c>
      <c r="B378" s="6"/>
      <c r="C378" s="6" t="str">
        <f aca="false">IFERROR(__xludf.dummyfunction("""COMPUTED_VALUE"""),"71389")</f>
        <v>71389</v>
      </c>
      <c r="D378" s="6"/>
      <c r="E378" s="6"/>
      <c r="F378" s="6"/>
      <c r="G378" s="6" t="str">
        <f aca="false">IFERROR(__xludf.dummyfunction("""COMPUTED_VALUE"""),"2026/04/01")</f>
        <v>2026/04/01</v>
      </c>
      <c r="H378" s="6" t="str">
        <f aca="false">IFERROR(__xludf.dummyfunction("""COMPUTED_VALUE"""),"不要")</f>
        <v>不要</v>
      </c>
      <c r="I378" s="6" t="str">
        <f aca="false">IFERROR(__xludf.dummyfunction("""COMPUTED_VALUE"""),"男性")</f>
        <v>男性</v>
      </c>
      <c r="J378" s="6" t="str">
        <f aca="false">IFERROR(__xludf.dummyfunction("""COMPUTED_VALUE"""),"ブラジル")</f>
        <v>ブラジル</v>
      </c>
      <c r="K378" s="6"/>
      <c r="L378" s="6"/>
      <c r="M378" s="6"/>
      <c r="N378" s="6"/>
      <c r="O378" s="6" t="str">
        <f aca="false">IFERROR(__xludf.dummyfunction("""COMPUTED_VALUE"""),"不要")</f>
        <v>不要</v>
      </c>
      <c r="P378" s="6"/>
      <c r="Q378" s="6"/>
      <c r="R378" s="6"/>
      <c r="S378" s="6" t="str">
        <f aca="false">IFERROR(__xludf.dummyfunction("""COMPUTED_VALUE"""),"家具家電付き社宅")</f>
        <v>家具家電付き社宅</v>
      </c>
      <c r="T378" s="6" t="str">
        <f aca="false">IFERROR(__xludf.dummyfunction("""COMPUTED_VALUE"""),"利用しない")</f>
        <v>利用しない</v>
      </c>
      <c r="U378" s="6"/>
      <c r="V378" s="6" t="str">
        <f aca="false">IFERROR(__xludf.dummyfunction("""COMPUTED_VALUE"""),"徒歩, 電車, バス, 社用バス")</f>
        <v>徒歩, 電車, バス, 社用バス</v>
      </c>
      <c r="W378" s="6"/>
      <c r="X378" s="6" t="str">
        <f aca="false">IFERROR(__xludf.dummyfunction("""COMPUTED_VALUE"""),"実家")</f>
        <v>実家</v>
      </c>
      <c r="Y378" s="6"/>
      <c r="Z378" s="6" t="str">
        <f aca="false">IFERROR(__xludf.dummyfunction("""COMPUTED_VALUE"""),"希望する")</f>
        <v>希望する</v>
      </c>
      <c r="AA378" s="6" t="str">
        <f aca="false">IFERROR(__xludf.dummyfunction("""COMPUTED_VALUE"""),"単身")</f>
        <v>単身</v>
      </c>
      <c r="AB378" s="6"/>
      <c r="AC378" s="6"/>
      <c r="AD378" s="6"/>
      <c r="AE378" s="6" t="str">
        <f aca="false">IFERROR(__xludf.dummyfunction("""COMPUTED_VALUE"""),"確認しました。")</f>
        <v>確認しました。</v>
      </c>
      <c r="AF378" s="6" t="str">
        <f aca="false">IFERROR(__xludf.dummyfunction("""COMPUTED_VALUE"""),"社宅基準の内容について確認しました")</f>
        <v>社宅基準の内容について確認しました</v>
      </c>
      <c r="AG378" s="6" t="str">
        <f aca="false">IFERROR(__xludf.dummyfunction("""COMPUTED_VALUE"""),"入居のしおりの内容についてご確認しました")</f>
        <v>入居のしおりの内容についてご確認しました</v>
      </c>
      <c r="AH378" s="6" t="str">
        <f aca="false">IFERROR(__xludf.dummyfunction("""COMPUTED_VALUE"""),"確認しました")</f>
        <v>確認しました</v>
      </c>
      <c r="AI378" s="6"/>
      <c r="AJ378" s="6" t="str">
        <v/>
      </c>
      <c r="AK378" s="6" t="str">
        <v/>
      </c>
      <c r="AL378" s="6" t="str">
        <v/>
      </c>
      <c r="AM378" s="6" t="str">
        <v/>
      </c>
      <c r="AN378" s="6" t="n">
        <f aca="false">FALSE()</f>
        <v>0</v>
      </c>
    </row>
    <row r="379" customFormat="false" ht="52.5" hidden="false" customHeight="true" outlineLevel="0" collapsed="false">
      <c r="A379" s="6" t="str">
        <f aca="false">IFERROR(__xludf.dummyfunction("""COMPUTED_VALUE"""),"2026/03/14 22:05:38")</f>
        <v>2026/03/14 22:05:38</v>
      </c>
      <c r="B379" s="6"/>
      <c r="C379" s="6" t="str">
        <f aca="false">IFERROR(__xludf.dummyfunction("""COMPUTED_VALUE"""),"71249")</f>
        <v>71249</v>
      </c>
      <c r="D379" s="6"/>
      <c r="E379" s="6"/>
      <c r="F379" s="6"/>
      <c r="G379" s="6" t="str">
        <f aca="false">IFERROR(__xludf.dummyfunction("""COMPUTED_VALUE"""),"2026/03/30")</f>
        <v>2026/03/30</v>
      </c>
      <c r="H379" s="6" t="str">
        <f aca="false">IFERROR(__xludf.dummyfunction("""COMPUTED_VALUE"""),"必要")</f>
        <v>必要</v>
      </c>
      <c r="I379" s="6" t="str">
        <f aca="false">IFERROR(__xludf.dummyfunction("""COMPUTED_VALUE"""),"男性")</f>
        <v>男性</v>
      </c>
      <c r="J379" s="6" t="str">
        <f aca="false">IFERROR(__xludf.dummyfunction("""COMPUTED_VALUE"""),"日本")</f>
        <v>日本</v>
      </c>
      <c r="K379" s="6" t="str">
        <f aca="false">IFERROR(__xludf.dummyfunction("""COMPUTED_VALUE"""),"20")</f>
        <v>20</v>
      </c>
      <c r="L379" s="6" t="str">
        <f aca="false">IFERROR(__xludf.dummyfunction("""COMPUTED_VALUE"""),"電子レンジ、単身用冷蔵庫、洗濯機(引っ越し先に付いていない場合)")</f>
        <v>電子レンジ、単身用冷蔵庫、洗濯機(引っ越し先に付いていない場合)</v>
      </c>
      <c r="M379" s="6" t="str">
        <f aca="false">IFERROR(__xludf.dummyfunction("""COMPUTED_VALUE"""),"2人掛けテーブル(80×80×72)
椅子2脚
布団2セット")</f>
        <v>2人掛けテーブル(80×80×72)
椅子2脚
布団2セット</v>
      </c>
      <c r="N379" s="6" t="str">
        <f aca="false">IFERROR(__xludf.dummyfunction("""COMPUTED_VALUE"""),"自転車")</f>
        <v>自転車</v>
      </c>
      <c r="O379" s="6" t="str">
        <f aca="false">IFERROR(__xludf.dummyfunction("""COMPUTED_VALUE"""),"不要")</f>
        <v>不要</v>
      </c>
      <c r="P379" s="6"/>
      <c r="Q379" s="6"/>
      <c r="R379" s="6"/>
      <c r="S379" s="6" t="str">
        <f aca="false">IFERROR(__xludf.dummyfunction("""COMPUTED_VALUE"""),"家具家電付き社宅")</f>
        <v>家具家電付き社宅</v>
      </c>
      <c r="T379" s="6" t="str">
        <f aca="false">IFERROR(__xludf.dummyfunction("""COMPUTED_VALUE"""),"利用しない")</f>
        <v>利用しない</v>
      </c>
      <c r="U379" s="6"/>
      <c r="V379" s="6" t="str">
        <f aca="false">IFERROR(__xludf.dummyfunction("""COMPUTED_VALUE"""),"徒歩, 自転車")</f>
        <v>徒歩, 自転車</v>
      </c>
      <c r="W379" s="6"/>
      <c r="X379" s="6" t="str">
        <f aca="false">IFERROR(__xludf.dummyfunction("""COMPUTED_VALUE"""),"実家")</f>
        <v>実家</v>
      </c>
      <c r="Y379" s="6"/>
      <c r="Z379" s="6" t="str">
        <f aca="false">IFERROR(__xludf.dummyfunction("""COMPUTED_VALUE"""),"希望する")</f>
        <v>希望する</v>
      </c>
      <c r="AA379" s="6" t="str">
        <f aca="false">IFERROR(__xludf.dummyfunction("""COMPUTED_VALUE"""),"単身")</f>
        <v>単身</v>
      </c>
      <c r="AB379" s="6"/>
      <c r="AC379" s="6"/>
      <c r="AD379" s="6"/>
      <c r="AE379" s="6" t="str">
        <f aca="false">IFERROR(__xludf.dummyfunction("""COMPUTED_VALUE"""),"確認しました。")</f>
        <v>確認しました。</v>
      </c>
      <c r="AF379" s="6" t="str">
        <f aca="false">IFERROR(__xludf.dummyfunction("""COMPUTED_VALUE"""),"社宅基準の内容について確認しました")</f>
        <v>社宅基準の内容について確認しました</v>
      </c>
      <c r="AG379" s="6" t="str">
        <f aca="false">IFERROR(__xludf.dummyfunction("""COMPUTED_VALUE"""),"入居のしおりの内容についてご確認しました")</f>
        <v>入居のしおりの内容についてご確認しました</v>
      </c>
      <c r="AH379" s="6" t="str">
        <f aca="false">IFERROR(__xludf.dummyfunction("""COMPUTED_VALUE"""),"確認しました")</f>
        <v>確認しました</v>
      </c>
      <c r="AI379" s="6"/>
      <c r="AJ379" s="6" t="str">
        <v/>
      </c>
      <c r="AK379" s="6" t="str">
        <v/>
      </c>
      <c r="AL379" s="6" t="str">
        <v/>
      </c>
      <c r="AM379" s="6" t="str">
        <v/>
      </c>
      <c r="AN379" s="6" t="n">
        <f aca="false">FALSE()</f>
        <v>0</v>
      </c>
    </row>
    <row r="380" customFormat="false" ht="52.5" hidden="false" customHeight="true" outlineLevel="0" collapsed="false">
      <c r="A380" s="6" t="str">
        <f aca="false">IFERROR(__xludf.dummyfunction("""COMPUTED_VALUE"""),"2026/03/14 22:14:40")</f>
        <v>2026/03/14 22:14:40</v>
      </c>
      <c r="B380" s="6"/>
      <c r="C380" s="6" t="str">
        <f aca="false">IFERROR(__xludf.dummyfunction("""COMPUTED_VALUE"""),"71384")</f>
        <v>71384</v>
      </c>
      <c r="D380" s="6"/>
      <c r="E380" s="6"/>
      <c r="F380" s="6"/>
      <c r="G380" s="6" t="str">
        <f aca="false">IFERROR(__xludf.dummyfunction("""COMPUTED_VALUE"""),"2026/03/28")</f>
        <v>2026/03/28</v>
      </c>
      <c r="H380" s="6" t="str">
        <f aca="false">IFERROR(__xludf.dummyfunction("""COMPUTED_VALUE"""),"不要")</f>
        <v>不要</v>
      </c>
      <c r="I380" s="6" t="str">
        <f aca="false">IFERROR(__xludf.dummyfunction("""COMPUTED_VALUE"""),"男性")</f>
        <v>男性</v>
      </c>
      <c r="J380" s="6" t="str">
        <f aca="false">IFERROR(__xludf.dummyfunction("""COMPUTED_VALUE"""),"日本")</f>
        <v>日本</v>
      </c>
      <c r="K380" s="6"/>
      <c r="L380" s="6"/>
      <c r="M380" s="6"/>
      <c r="N380" s="6"/>
      <c r="O380" s="6" t="str">
        <f aca="false">IFERROR(__xludf.dummyfunction("""COMPUTED_VALUE"""),"不要")</f>
        <v>不要</v>
      </c>
      <c r="P380" s="6"/>
      <c r="Q380" s="6"/>
      <c r="R380" s="6"/>
      <c r="S380" s="6" t="str">
        <f aca="false">IFERROR(__xludf.dummyfunction("""COMPUTED_VALUE"""),"家具家電なし社宅")</f>
        <v>家具家電なし社宅</v>
      </c>
      <c r="T380" s="6" t="str">
        <f aca="false">IFERROR(__xludf.dummyfunction("""COMPUTED_VALUE"""),"利用しない")</f>
        <v>利用しない</v>
      </c>
      <c r="U380" s="6"/>
      <c r="V380" s="6" t="str">
        <f aca="false">IFERROR(__xludf.dummyfunction("""COMPUTED_VALUE"""),"徒歩")</f>
        <v>徒歩</v>
      </c>
      <c r="W380" s="6"/>
      <c r="X380" s="6" t="str">
        <f aca="false">IFERROR(__xludf.dummyfunction("""COMPUTED_VALUE"""),"実家")</f>
        <v>実家</v>
      </c>
      <c r="Y380" s="6"/>
      <c r="Z380" s="6" t="str">
        <f aca="false">IFERROR(__xludf.dummyfunction("""COMPUTED_VALUE"""),"希望する")</f>
        <v>希望する</v>
      </c>
      <c r="AA380" s="6" t="str">
        <f aca="false">IFERROR(__xludf.dummyfunction("""COMPUTED_VALUE"""),"単身")</f>
        <v>単身</v>
      </c>
      <c r="AB380" s="6"/>
      <c r="AC380" s="6"/>
      <c r="AD380" s="6" t="str">
        <f aca="false">IFERROR(__xludf.dummyfunction("""COMPUTED_VALUE"""),"最寄り駅まで徒歩10分以内")</f>
        <v>最寄り駅まで徒歩10分以内</v>
      </c>
      <c r="AE380" s="6" t="str">
        <f aca="false">IFERROR(__xludf.dummyfunction("""COMPUTED_VALUE"""),"確認しました。")</f>
        <v>確認しました。</v>
      </c>
      <c r="AF380" s="6" t="str">
        <f aca="false">IFERROR(__xludf.dummyfunction("""COMPUTED_VALUE"""),"社宅基準の内容について確認しました")</f>
        <v>社宅基準の内容について確認しました</v>
      </c>
      <c r="AG380" s="6" t="str">
        <f aca="false">IFERROR(__xludf.dummyfunction("""COMPUTED_VALUE"""),"入居のしおりの内容についてご確認しました")</f>
        <v>入居のしおりの内容についてご確認しました</v>
      </c>
      <c r="AH380" s="6" t="str">
        <f aca="false">IFERROR(__xludf.dummyfunction("""COMPUTED_VALUE"""),"確認しました")</f>
        <v>確認しました</v>
      </c>
      <c r="AI380" s="6"/>
      <c r="AJ380" s="6" t="str">
        <v/>
      </c>
      <c r="AK380" s="6" t="str">
        <v/>
      </c>
      <c r="AL380" s="6" t="str">
        <v/>
      </c>
      <c r="AM380" s="6" t="str">
        <v/>
      </c>
      <c r="AN380" s="6" t="n">
        <f aca="false">FALSE()</f>
        <v>0</v>
      </c>
    </row>
    <row r="381" customFormat="false" ht="52.5" hidden="false" customHeight="true" outlineLevel="0" collapsed="false">
      <c r="A381" s="6" t="str">
        <f aca="false">IFERROR(__xludf.dummyfunction("""COMPUTED_VALUE"""),"2026/03/15 8:36:23")</f>
        <v>2026/03/15 8:36:23</v>
      </c>
      <c r="B381" s="6"/>
      <c r="C381" s="6" t="str">
        <f aca="false">IFERROR(__xludf.dummyfunction("""COMPUTED_VALUE"""),"71326")</f>
        <v>71326</v>
      </c>
      <c r="D381" s="6"/>
      <c r="E381" s="6"/>
      <c r="F381" s="6"/>
      <c r="G381" s="6" t="str">
        <f aca="false">IFERROR(__xludf.dummyfunction("""COMPUTED_VALUE"""),"2026/04/03")</f>
        <v>2026/04/03</v>
      </c>
      <c r="H381" s="6" t="str">
        <f aca="false">IFERROR(__xludf.dummyfunction("""COMPUTED_VALUE"""),"必要")</f>
        <v>必要</v>
      </c>
      <c r="I381" s="6" t="str">
        <f aca="false">IFERROR(__xludf.dummyfunction("""COMPUTED_VALUE"""),"男性")</f>
        <v>男性</v>
      </c>
      <c r="J381" s="6" t="str">
        <f aca="false">IFERROR(__xludf.dummyfunction("""COMPUTED_VALUE"""),"日本")</f>
        <v>日本</v>
      </c>
      <c r="K381" s="6" t="str">
        <f aca="false">IFERROR(__xludf.dummyfunction("""COMPUTED_VALUE"""),"30")</f>
        <v>30</v>
      </c>
      <c r="L381" s="6" t="str">
        <f aca="false">IFERROR(__xludf.dummyfunction("""COMPUTED_VALUE"""),"洗濯機(5kg)")</f>
        <v>洗濯機(5kg)</v>
      </c>
      <c r="M381" s="6" t="str">
        <f aca="false">IFERROR(__xludf.dummyfunction("""COMPUTED_VALUE"""),"なし")</f>
        <v>なし</v>
      </c>
      <c r="N381" s="6" t="str">
        <f aca="false">IFERROR(__xludf.dummyfunction("""COMPUTED_VALUE"""),"自転車１台")</f>
        <v>自転車１台</v>
      </c>
      <c r="O381" s="6" t="str">
        <f aca="false">IFERROR(__xludf.dummyfunction("""COMPUTED_VALUE"""),"必要")</f>
        <v>必要</v>
      </c>
      <c r="P381" s="6" t="str">
        <f aca="false">IFERROR(__xludf.dummyfunction("""COMPUTED_VALUE"""),"アバルト595")</f>
        <v>アバルト595</v>
      </c>
      <c r="Q381" s="6" t="str">
        <f aca="false">IFERROR(__xludf.dummyfunction("""COMPUTED_VALUE"""),"2950")</f>
        <v>2950</v>
      </c>
      <c r="R381" s="6" t="str">
        <f aca="false">IFERROR(__xludf.dummyfunction("""COMPUTED_VALUE"""),"ライトグレー")</f>
        <v>ライトグレー</v>
      </c>
      <c r="S381" s="6" t="str">
        <f aca="false">IFERROR(__xludf.dummyfunction("""COMPUTED_VALUE"""),"家具家電付き社宅")</f>
        <v>家具家電付き社宅</v>
      </c>
      <c r="T381" s="6" t="str">
        <f aca="false">IFERROR(__xludf.dummyfunction("""COMPUTED_VALUE"""),"利用しない")</f>
        <v>利用しない</v>
      </c>
      <c r="U381" s="6"/>
      <c r="V381" s="6" t="str">
        <f aca="false">IFERROR(__xludf.dummyfunction("""COMPUTED_VALUE"""),"自動車")</f>
        <v>自動車</v>
      </c>
      <c r="W381" s="6"/>
      <c r="X381" s="6" t="str">
        <f aca="false">IFERROR(__xludf.dummyfunction("""COMPUTED_VALUE"""),"株式会社ビーネックステクノロジーズの社宅")</f>
        <v>株式会社ビーネックステクノロジーズの社宅</v>
      </c>
      <c r="Y381" s="6" t="str">
        <f aca="false">IFERROR(__xludf.dummyfunction("""COMPUTED_VALUE"""),"利用なし")</f>
        <v>利用なし</v>
      </c>
      <c r="Z381" s="6" t="str">
        <f aca="false">IFERROR(__xludf.dummyfunction("""COMPUTED_VALUE"""),"希望する")</f>
        <v>希望する</v>
      </c>
      <c r="AA381" s="6" t="str">
        <f aca="false">IFERROR(__xludf.dummyfunction("""COMPUTED_VALUE"""),"単身")</f>
        <v>単身</v>
      </c>
      <c r="AB381" s="6"/>
      <c r="AC381" s="6"/>
      <c r="AD381" s="6" t="str">
        <f aca="false">IFERROR(__xludf.dummyfunction("""COMPUTED_VALUE"""),"なし")</f>
        <v>なし</v>
      </c>
      <c r="AE381" s="6" t="str">
        <f aca="false">IFERROR(__xludf.dummyfunction("""COMPUTED_VALUE"""),"確認しました。")</f>
        <v>確認しました。</v>
      </c>
      <c r="AF381" s="6" t="str">
        <f aca="false">IFERROR(__xludf.dummyfunction("""COMPUTED_VALUE"""),"社宅基準の内容について確認しました")</f>
        <v>社宅基準の内容について確認しました</v>
      </c>
      <c r="AG381" s="6" t="str">
        <f aca="false">IFERROR(__xludf.dummyfunction("""COMPUTED_VALUE"""),"入居のしおりの内容についてご確認しました")</f>
        <v>入居のしおりの内容についてご確認しました</v>
      </c>
      <c r="AH381" s="6" t="str">
        <f aca="false">IFERROR(__xludf.dummyfunction("""COMPUTED_VALUE"""),"確認しました")</f>
        <v>確認しました</v>
      </c>
      <c r="AI381" s="6"/>
      <c r="AJ381" s="6" t="str">
        <v/>
      </c>
      <c r="AK381" s="6" t="str">
        <v/>
      </c>
      <c r="AL381" s="6" t="str">
        <v/>
      </c>
      <c r="AM381" s="6" t="str">
        <v/>
      </c>
      <c r="AN381" s="6" t="n">
        <f aca="false">FALSE()</f>
        <v>0</v>
      </c>
    </row>
    <row r="382" customFormat="false" ht="52.5" hidden="false" customHeight="true" outlineLevel="0" collapsed="false">
      <c r="A382" s="6" t="str">
        <f aca="false">IFERROR(__xludf.dummyfunction("""COMPUTED_VALUE"""),"2026/03/15 12:07:33")</f>
        <v>2026/03/15 12:07:33</v>
      </c>
      <c r="B382" s="6"/>
      <c r="C382" s="6" t="str">
        <f aca="false">IFERROR(__xludf.dummyfunction("""COMPUTED_VALUE"""),"71178")</f>
        <v>71178</v>
      </c>
      <c r="D382" s="6"/>
      <c r="E382" s="6"/>
      <c r="F382" s="6"/>
      <c r="G382" s="6" t="str">
        <f aca="false">IFERROR(__xludf.dummyfunction("""COMPUTED_VALUE"""),"2026/03/28")</f>
        <v>2026/03/28</v>
      </c>
      <c r="H382" s="6" t="str">
        <f aca="false">IFERROR(__xludf.dummyfunction("""COMPUTED_VALUE"""),"必要")</f>
        <v>必要</v>
      </c>
      <c r="I382" s="6" t="str">
        <f aca="false">IFERROR(__xludf.dummyfunction("""COMPUTED_VALUE"""),"男性")</f>
        <v>男性</v>
      </c>
      <c r="J382" s="6" t="str">
        <f aca="false">IFERROR(__xludf.dummyfunction("""COMPUTED_VALUE"""),"日本")</f>
        <v>日本</v>
      </c>
      <c r="K382" s="6" t="str">
        <f aca="false">IFERROR(__xludf.dummyfunction("""COMPUTED_VALUE"""),"5")</f>
        <v>5</v>
      </c>
      <c r="L382" s="6" t="str">
        <f aca="false">IFERROR(__xludf.dummyfunction("""COMPUTED_VALUE"""),"電子レンジ・冷蔵庫・洗濯機・ウォーターサーバー・テレビ")</f>
        <v>電子レンジ・冷蔵庫・洗濯機・ウォーターサーバー・テレビ</v>
      </c>
      <c r="M382" s="6" t="str">
        <f aca="false">IFERROR(__xludf.dummyfunction("""COMPUTED_VALUE"""),"衣装タンス・テレビ台・こたつ・机・カラーボックス3つ・丸椅子")</f>
        <v>衣装タンス・テレビ台・こたつ・机・カラーボックス3つ・丸椅子</v>
      </c>
      <c r="N382" s="6" t="str">
        <f aca="false">IFERROR(__xludf.dummyfunction("""COMPUTED_VALUE"""),"こたつ布団・布団類・食品類・洋服類・カーペット")</f>
        <v>こたつ布団・布団類・食品類・洋服類・カーペット</v>
      </c>
      <c r="O382" s="6" t="str">
        <f aca="false">IFERROR(__xludf.dummyfunction("""COMPUTED_VALUE"""),"不要")</f>
        <v>不要</v>
      </c>
      <c r="P382" s="6"/>
      <c r="Q382" s="6"/>
      <c r="R382" s="6"/>
      <c r="S382" s="6" t="str">
        <f aca="false">IFERROR(__xludf.dummyfunction("""COMPUTED_VALUE"""),"家具家電なし社宅")</f>
        <v>家具家電なし社宅</v>
      </c>
      <c r="T382" s="6" t="str">
        <f aca="false">IFERROR(__xludf.dummyfunction("""COMPUTED_VALUE"""),"利用する")</f>
        <v>利用する</v>
      </c>
      <c r="U382" s="6" t="str">
        <f aca="false">IFERROR(__xludf.dummyfunction("""COMPUTED_VALUE"""),"
自転車")</f>
        <v>
自転車</v>
      </c>
      <c r="V382" s="6" t="str">
        <f aca="false">IFERROR(__xludf.dummyfunction("""COMPUTED_VALUE"""),"自転車")</f>
        <v>自転車</v>
      </c>
      <c r="W382" s="6"/>
      <c r="X382" s="6" t="str">
        <f aca="false">IFERROR(__xludf.dummyfunction("""COMPUTED_VALUE"""),"株式会社ビーネックステクノロジーズの社宅")</f>
        <v>株式会社ビーネックステクノロジーズの社宅</v>
      </c>
      <c r="Y382" s="6" t="str">
        <f aca="false">IFERROR(__xludf.dummyfunction("""COMPUTED_VALUE"""),"冷蔵庫・洗濯機・電子レンジ
新社宅へ引き続き希望")</f>
        <v>冷蔵庫・洗濯機・電子レンジ
新社宅へ引き続き希望</v>
      </c>
      <c r="Z382" s="6" t="str">
        <f aca="false">IFERROR(__xludf.dummyfunction("""COMPUTED_VALUE"""),"希望する")</f>
        <v>希望する</v>
      </c>
      <c r="AA382" s="6" t="str">
        <f aca="false">IFERROR(__xludf.dummyfunction("""COMPUTED_VALUE"""),"単身")</f>
        <v>単身</v>
      </c>
      <c r="AB382" s="6"/>
      <c r="AC382" s="6"/>
      <c r="AD382" s="6"/>
      <c r="AE382" s="6" t="str">
        <f aca="false">IFERROR(__xludf.dummyfunction("""COMPUTED_VALUE"""),"確認しました。")</f>
        <v>確認しました。</v>
      </c>
      <c r="AF382" s="6" t="str">
        <f aca="false">IFERROR(__xludf.dummyfunction("""COMPUTED_VALUE"""),"社宅基準の内容について確認しました")</f>
        <v>社宅基準の内容について確認しました</v>
      </c>
      <c r="AG382" s="6" t="str">
        <f aca="false">IFERROR(__xludf.dummyfunction("""COMPUTED_VALUE"""),"入居のしおりの内容についてご確認しました")</f>
        <v>入居のしおりの内容についてご確認しました</v>
      </c>
      <c r="AH382" s="6" t="str">
        <f aca="false">IFERROR(__xludf.dummyfunction("""COMPUTED_VALUE"""),"確認しました")</f>
        <v>確認しました</v>
      </c>
      <c r="AI382" s="6"/>
      <c r="AJ382" s="6" t="str">
        <v/>
      </c>
      <c r="AK382" s="6" t="str">
        <v/>
      </c>
      <c r="AL382" s="6" t="str">
        <v/>
      </c>
      <c r="AM382" s="6" t="str">
        <v/>
      </c>
      <c r="AN382" s="6" t="n">
        <f aca="false">FALSE()</f>
        <v>0</v>
      </c>
    </row>
    <row r="383" customFormat="false" ht="52.5" hidden="false" customHeight="true" outlineLevel="0" collapsed="false">
      <c r="A383" s="6" t="str">
        <f aca="false">IFERROR(__xludf.dummyfunction("""COMPUTED_VALUE"""),"2026/03/15 15:03:19")</f>
        <v>2026/03/15 15:03:19</v>
      </c>
      <c r="B383" s="6"/>
      <c r="C383" s="6" t="str">
        <f aca="false">IFERROR(__xludf.dummyfunction("""COMPUTED_VALUE"""),"71386")</f>
        <v>71386</v>
      </c>
      <c r="D383" s="6"/>
      <c r="E383" s="6"/>
      <c r="F383" s="6"/>
      <c r="G383" s="6" t="str">
        <f aca="false">IFERROR(__xludf.dummyfunction("""COMPUTED_VALUE"""),"2026/03/29")</f>
        <v>2026/03/29</v>
      </c>
      <c r="H383" s="6" t="str">
        <f aca="false">IFERROR(__xludf.dummyfunction("""COMPUTED_VALUE"""),"必要")</f>
        <v>必要</v>
      </c>
      <c r="I383" s="6" t="str">
        <f aca="false">IFERROR(__xludf.dummyfunction("""COMPUTED_VALUE"""),"男性")</f>
        <v>男性</v>
      </c>
      <c r="J383" s="6" t="str">
        <f aca="false">IFERROR(__xludf.dummyfunction("""COMPUTED_VALUE"""),"日本")</f>
        <v>日本</v>
      </c>
      <c r="K383" s="6" t="str">
        <f aca="false">IFERROR(__xludf.dummyfunction("""COMPUTED_VALUE"""),"15")</f>
        <v>15</v>
      </c>
      <c r="L383" s="6" t="str">
        <f aca="false">IFERROR(__xludf.dummyfunction("""COMPUTED_VALUE"""),"パソコン、モニター")</f>
        <v>パソコン、モニター</v>
      </c>
      <c r="M383" s="6" t="str">
        <f aca="false">IFERROR(__xludf.dummyfunction("""COMPUTED_VALUE"""),"なし")</f>
        <v>なし</v>
      </c>
      <c r="N383" s="6" t="str">
        <f aca="false">IFERROR(__xludf.dummyfunction("""COMPUTED_VALUE"""),"自転車")</f>
        <v>自転車</v>
      </c>
      <c r="O383" s="6" t="str">
        <f aca="false">IFERROR(__xludf.dummyfunction("""COMPUTED_VALUE"""),"不要")</f>
        <v>不要</v>
      </c>
      <c r="P383" s="6"/>
      <c r="Q383" s="6"/>
      <c r="R383" s="6"/>
      <c r="S383" s="6" t="str">
        <f aca="false">IFERROR(__xludf.dummyfunction("""COMPUTED_VALUE"""),"家具家電なし社宅")</f>
        <v>家具家電なし社宅</v>
      </c>
      <c r="T383" s="6" t="str">
        <f aca="false">IFERROR(__xludf.dummyfunction("""COMPUTED_VALUE"""),"利用しない")</f>
        <v>利用しない</v>
      </c>
      <c r="U383" s="6"/>
      <c r="V383" s="6" t="str">
        <f aca="false">IFERROR(__xludf.dummyfunction("""COMPUTED_VALUE"""),"徒歩, 電車")</f>
        <v>徒歩, 電車</v>
      </c>
      <c r="W383" s="6"/>
      <c r="X383" s="6" t="str">
        <f aca="false">IFERROR(__xludf.dummyfunction("""COMPUTED_VALUE"""),"実家")</f>
        <v>実家</v>
      </c>
      <c r="Y383" s="6"/>
      <c r="Z383" s="6" t="str">
        <f aca="false">IFERROR(__xludf.dummyfunction("""COMPUTED_VALUE"""),"希望しない")</f>
        <v>希望しない</v>
      </c>
      <c r="AA383" s="6" t="str">
        <f aca="false">IFERROR(__xludf.dummyfunction("""COMPUTED_VALUE"""),"単身")</f>
        <v>単身</v>
      </c>
      <c r="AB383" s="6"/>
      <c r="AC383" s="6"/>
      <c r="AD383" s="6"/>
      <c r="AE383" s="6" t="str">
        <f aca="false">IFERROR(__xludf.dummyfunction("""COMPUTED_VALUE"""),"確認しました。")</f>
        <v>確認しました。</v>
      </c>
      <c r="AF383" s="6" t="str">
        <f aca="false">IFERROR(__xludf.dummyfunction("""COMPUTED_VALUE"""),"社宅基準の内容について確認しました")</f>
        <v>社宅基準の内容について確認しました</v>
      </c>
      <c r="AG383" s="6" t="str">
        <f aca="false">IFERROR(__xludf.dummyfunction("""COMPUTED_VALUE"""),"入居のしおりの内容についてご確認しました")</f>
        <v>入居のしおりの内容についてご確認しました</v>
      </c>
      <c r="AH383" s="6" t="str">
        <f aca="false">IFERROR(__xludf.dummyfunction("""COMPUTED_VALUE"""),"確認しました")</f>
        <v>確認しました</v>
      </c>
      <c r="AI383" s="6"/>
      <c r="AJ383" s="6" t="str">
        <v/>
      </c>
      <c r="AK383" s="6" t="str">
        <v/>
      </c>
      <c r="AL383" s="6" t="str">
        <v/>
      </c>
      <c r="AM383" s="6" t="str">
        <v/>
      </c>
      <c r="AN383" s="6" t="n">
        <f aca="false">FALSE()</f>
        <v>0</v>
      </c>
    </row>
    <row r="384" customFormat="false" ht="52.5" hidden="false" customHeight="true" outlineLevel="0" collapsed="false">
      <c r="A384" s="6" t="str">
        <f aca="false">IFERROR(__xludf.dummyfunction("""COMPUTED_VALUE"""),"2026/03/15 18:46:53")</f>
        <v>2026/03/15 18:46:53</v>
      </c>
      <c r="B384" s="6"/>
      <c r="C384" s="6" t="str">
        <f aca="false">IFERROR(__xludf.dummyfunction("""COMPUTED_VALUE"""),"71387")</f>
        <v>71387</v>
      </c>
      <c r="D384" s="6"/>
      <c r="E384" s="6"/>
      <c r="F384" s="6"/>
      <c r="G384" s="6" t="str">
        <f aca="false">IFERROR(__xludf.dummyfunction("""COMPUTED_VALUE"""),"2026/03/31")</f>
        <v>2026/03/31</v>
      </c>
      <c r="H384" s="6" t="str">
        <f aca="false">IFERROR(__xludf.dummyfunction("""COMPUTED_VALUE"""),"必要")</f>
        <v>必要</v>
      </c>
      <c r="I384" s="6" t="str">
        <f aca="false">IFERROR(__xludf.dummyfunction("""COMPUTED_VALUE"""),"男性")</f>
        <v>男性</v>
      </c>
      <c r="J384" s="6" t="str">
        <f aca="false">IFERROR(__xludf.dummyfunction("""COMPUTED_VALUE"""),"日本")</f>
        <v>日本</v>
      </c>
      <c r="K384" s="6" t="str">
        <f aca="false">IFERROR(__xludf.dummyfunction("""COMPUTED_VALUE"""),"10")</f>
        <v>10</v>
      </c>
      <c r="L384" s="6" t="str">
        <f aca="false">IFERROR(__xludf.dummyfunction("""COMPUTED_VALUE"""),"なし")</f>
        <v>なし</v>
      </c>
      <c r="M384" s="6" t="str">
        <f aca="false">IFERROR(__xludf.dummyfunction("""COMPUTED_VALUE"""),"なし")</f>
        <v>なし</v>
      </c>
      <c r="N384" s="6" t="str">
        <f aca="false">IFERROR(__xludf.dummyfunction("""COMPUTED_VALUE"""),"自転車")</f>
        <v>自転車</v>
      </c>
      <c r="O384" s="6" t="str">
        <f aca="false">IFERROR(__xludf.dummyfunction("""COMPUTED_VALUE"""),"不要")</f>
        <v>不要</v>
      </c>
      <c r="P384" s="6"/>
      <c r="Q384" s="6"/>
      <c r="R384" s="6"/>
      <c r="S384" s="6" t="str">
        <f aca="false">IFERROR(__xludf.dummyfunction("""COMPUTED_VALUE"""),"家具家電付き社宅")</f>
        <v>家具家電付き社宅</v>
      </c>
      <c r="T384" s="6" t="str">
        <f aca="false">IFERROR(__xludf.dummyfunction("""COMPUTED_VALUE"""),"利用しない")</f>
        <v>利用しない</v>
      </c>
      <c r="U384" s="6"/>
      <c r="V384" s="6" t="str">
        <f aca="false">IFERROR(__xludf.dummyfunction("""COMPUTED_VALUE"""),"徒歩, 自転車, 電車")</f>
        <v>徒歩, 自転車, 電車</v>
      </c>
      <c r="W384" s="6"/>
      <c r="X384" s="6" t="str">
        <f aca="false">IFERROR(__xludf.dummyfunction("""COMPUTED_VALUE"""),"実家")</f>
        <v>実家</v>
      </c>
      <c r="Y384" s="6"/>
      <c r="Z384" s="6" t="str">
        <f aca="false">IFERROR(__xludf.dummyfunction("""COMPUTED_VALUE"""),"希望する")</f>
        <v>希望する</v>
      </c>
      <c r="AA384" s="6" t="str">
        <f aca="false">IFERROR(__xludf.dummyfunction("""COMPUTED_VALUE"""),"単身")</f>
        <v>単身</v>
      </c>
      <c r="AB384" s="6"/>
      <c r="AC384" s="6"/>
      <c r="AD384" s="6"/>
      <c r="AE384" s="6" t="str">
        <f aca="false">IFERROR(__xludf.dummyfunction("""COMPUTED_VALUE"""),"確認しました。")</f>
        <v>確認しました。</v>
      </c>
      <c r="AF384" s="6" t="str">
        <f aca="false">IFERROR(__xludf.dummyfunction("""COMPUTED_VALUE"""),"社宅基準の内容について確認しました")</f>
        <v>社宅基準の内容について確認しました</v>
      </c>
      <c r="AG384" s="6" t="str">
        <f aca="false">IFERROR(__xludf.dummyfunction("""COMPUTED_VALUE"""),"入居のしおりの内容についてご確認しました")</f>
        <v>入居のしおりの内容についてご確認しました</v>
      </c>
      <c r="AH384" s="6" t="str">
        <f aca="false">IFERROR(__xludf.dummyfunction("""COMPUTED_VALUE"""),"確認しました")</f>
        <v>確認しました</v>
      </c>
      <c r="AI384" s="6"/>
      <c r="AJ384" s="6" t="str">
        <v/>
      </c>
      <c r="AK384" s="6" t="str">
        <v/>
      </c>
      <c r="AL384" s="6" t="str">
        <v/>
      </c>
      <c r="AM384" s="6" t="str">
        <v/>
      </c>
      <c r="AN384" s="6" t="n">
        <f aca="false">TRUE()</f>
        <v>1</v>
      </c>
    </row>
    <row r="385" customFormat="false" ht="52.5" hidden="false" customHeight="true" outlineLevel="0" collapsed="false">
      <c r="A385" s="6" t="str">
        <f aca="false">IFERROR(__xludf.dummyfunction("""COMPUTED_VALUE"""),"2026/03/15 20:52:40")</f>
        <v>2026/03/15 20:52:40</v>
      </c>
      <c r="B385" s="6"/>
      <c r="C385" s="6" t="str">
        <f aca="false">IFERROR(__xludf.dummyfunction("""COMPUTED_VALUE"""),"71311")</f>
        <v>71311</v>
      </c>
      <c r="D385" s="6"/>
      <c r="E385" s="6"/>
      <c r="F385" s="6"/>
      <c r="G385" s="6" t="str">
        <f aca="false">IFERROR(__xludf.dummyfunction("""COMPUTED_VALUE"""),"2026/03/30")</f>
        <v>2026/03/30</v>
      </c>
      <c r="H385" s="6" t="str">
        <f aca="false">IFERROR(__xludf.dummyfunction("""COMPUTED_VALUE"""),"必要")</f>
        <v>必要</v>
      </c>
      <c r="I385" s="6" t="str">
        <f aca="false">IFERROR(__xludf.dummyfunction("""COMPUTED_VALUE"""),"男性")</f>
        <v>男性</v>
      </c>
      <c r="J385" s="6" t="str">
        <f aca="false">IFERROR(__xludf.dummyfunction("""COMPUTED_VALUE"""),"日本")</f>
        <v>日本</v>
      </c>
      <c r="K385" s="6" t="str">
        <f aca="false">IFERROR(__xludf.dummyfunction("""COMPUTED_VALUE"""),"15")</f>
        <v>15</v>
      </c>
      <c r="L385" s="6" t="str">
        <f aca="false">IFERROR(__xludf.dummyfunction("""COMPUTED_VALUE"""),"冷蔵庫（単身用）・洗濯機")</f>
        <v>冷蔵庫（単身用）・洗濯機</v>
      </c>
      <c r="M385" s="6" t="str">
        <f aca="false">IFERROR(__xludf.dummyfunction("""COMPUTED_VALUE"""),"テレビ・テレビ台・ソファ（2人掛け）・ベッド（シングル）・ラックハンガー・座椅子・（皿とかの棚と、服入れるタンスみたいなやつ）")</f>
        <v>テレビ・テレビ台・ソファ（2人掛け）・ベッド（シングル）・ラックハンガー・座椅子・（皿とかの棚と、服入れるタンスみたいなやつ）</v>
      </c>
      <c r="N385" s="6"/>
      <c r="O385" s="6" t="str">
        <f aca="false">IFERROR(__xludf.dummyfunction("""COMPUTED_VALUE"""),"不要")</f>
        <v>不要</v>
      </c>
      <c r="P385" s="6"/>
      <c r="Q385" s="6"/>
      <c r="R385" s="6"/>
      <c r="S385" s="6" t="str">
        <f aca="false">IFERROR(__xludf.dummyfunction("""COMPUTED_VALUE"""),"家具家電なし社宅")</f>
        <v>家具家電なし社宅</v>
      </c>
      <c r="T385" s="6" t="str">
        <f aca="false">IFERROR(__xludf.dummyfunction("""COMPUTED_VALUE"""),"利用しない")</f>
        <v>利用しない</v>
      </c>
      <c r="U385" s="6"/>
      <c r="V385" s="6" t="str">
        <f aca="false">IFERROR(__xludf.dummyfunction("""COMPUTED_VALUE"""),"徒歩, 自転車, 電車")</f>
        <v>徒歩, 自転車, 電車</v>
      </c>
      <c r="W385" s="6"/>
      <c r="X385" s="6" t="str">
        <f aca="false">IFERROR(__xludf.dummyfunction("""COMPUTED_VALUE"""),"ご自身で契約中の物件")</f>
        <v>ご自身で契約中の物件</v>
      </c>
      <c r="Y385" s="6"/>
      <c r="Z385" s="6" t="str">
        <f aca="false">IFERROR(__xludf.dummyfunction("""COMPUTED_VALUE"""),"希望する")</f>
        <v>希望する</v>
      </c>
      <c r="AA385" s="6" t="str">
        <f aca="false">IFERROR(__xludf.dummyfunction("""COMPUTED_VALUE"""),"単身")</f>
        <v>単身</v>
      </c>
      <c r="AB385" s="6"/>
      <c r="AC385" s="6"/>
      <c r="AD385" s="6"/>
      <c r="AE385" s="6" t="str">
        <f aca="false">IFERROR(__xludf.dummyfunction("""COMPUTED_VALUE"""),"確認しました。")</f>
        <v>確認しました。</v>
      </c>
      <c r="AF385" s="6" t="str">
        <f aca="false">IFERROR(__xludf.dummyfunction("""COMPUTED_VALUE"""),"社宅基準の内容について確認しました")</f>
        <v>社宅基準の内容について確認しました</v>
      </c>
      <c r="AG385" s="6" t="str">
        <f aca="false">IFERROR(__xludf.dummyfunction("""COMPUTED_VALUE"""),"入居のしおりの内容についてご確認しました")</f>
        <v>入居のしおりの内容についてご確認しました</v>
      </c>
      <c r="AH385" s="6" t="str">
        <f aca="false">IFERROR(__xludf.dummyfunction("""COMPUTED_VALUE"""),"確認しました")</f>
        <v>確認しました</v>
      </c>
      <c r="AI385" s="6"/>
      <c r="AJ385" s="6" t="str">
        <v/>
      </c>
      <c r="AK385" s="6" t="str">
        <v/>
      </c>
      <c r="AL385" s="6" t="str">
        <v/>
      </c>
      <c r="AM385" s="6" t="str">
        <v/>
      </c>
      <c r="AN385" s="6" t="n">
        <f aca="false">FALSE()</f>
        <v>0</v>
      </c>
    </row>
    <row r="386" customFormat="false" ht="52.5" hidden="false" customHeight="true" outlineLevel="0" collapsed="false">
      <c r="A386" s="6" t="str">
        <f aca="false">IFERROR(__xludf.dummyfunction("""COMPUTED_VALUE"""),"2026/03/16 1:45:50")</f>
        <v>2026/03/16 1:45:50</v>
      </c>
      <c r="B386" s="6"/>
      <c r="C386" s="6" t="str">
        <f aca="false">IFERROR(__xludf.dummyfunction("""COMPUTED_VALUE"""),"70946")</f>
        <v>70946</v>
      </c>
      <c r="D386" s="6"/>
      <c r="E386" s="6"/>
      <c r="F386" s="6"/>
      <c r="G386" s="6" t="str">
        <f aca="false">IFERROR(__xludf.dummyfunction("""COMPUTED_VALUE"""),"2026/03/27")</f>
        <v>2026/03/27</v>
      </c>
      <c r="H386" s="6" t="str">
        <f aca="false">IFERROR(__xludf.dummyfunction("""COMPUTED_VALUE"""),"必要")</f>
        <v>必要</v>
      </c>
      <c r="I386" s="6" t="str">
        <f aca="false">IFERROR(__xludf.dummyfunction("""COMPUTED_VALUE"""),"男性")</f>
        <v>男性</v>
      </c>
      <c r="J386" s="6" t="str">
        <f aca="false">IFERROR(__xludf.dummyfunction("""COMPUTED_VALUE"""),"日本")</f>
        <v>日本</v>
      </c>
      <c r="K386" s="6" t="str">
        <f aca="false">IFERROR(__xludf.dummyfunction("""COMPUTED_VALUE"""),"40")</f>
        <v>40</v>
      </c>
      <c r="L386" s="6" t="str">
        <f aca="false">IFERROR(__xludf.dummyfunction("""COMPUTED_VALUE"""),"テレビ")</f>
        <v>テレビ</v>
      </c>
      <c r="M386" s="6" t="str">
        <f aca="false">IFERROR(__xludf.dummyfunction("""COMPUTED_VALUE"""),"シングルマット")</f>
        <v>シングルマット</v>
      </c>
      <c r="N386" s="6" t="str">
        <f aca="false">IFERROR(__xludf.dummyfunction("""COMPUTED_VALUE"""),"自転車")</f>
        <v>自転車</v>
      </c>
      <c r="O386" s="6" t="str">
        <f aca="false">IFERROR(__xludf.dummyfunction("""COMPUTED_VALUE"""),"不要")</f>
        <v>不要</v>
      </c>
      <c r="P386" s="6"/>
      <c r="Q386" s="6"/>
      <c r="R386" s="6"/>
      <c r="S386" s="6" t="str">
        <f aca="false">IFERROR(__xludf.dummyfunction("""COMPUTED_VALUE"""),"家具家電付き社宅")</f>
        <v>家具家電付き社宅</v>
      </c>
      <c r="T386" s="6" t="str">
        <f aca="false">IFERROR(__xludf.dummyfunction("""COMPUTED_VALUE"""),"利用しない")</f>
        <v>利用しない</v>
      </c>
      <c r="U386" s="6"/>
      <c r="V386" s="6" t="str">
        <f aca="false">IFERROR(__xludf.dummyfunction("""COMPUTED_VALUE"""),"徒歩, 自転車, 電車")</f>
        <v>徒歩, 自転車, 電車</v>
      </c>
      <c r="W386" s="6"/>
      <c r="X386" s="6" t="str">
        <f aca="false">IFERROR(__xludf.dummyfunction("""COMPUTED_VALUE"""),"株式会社ビーネックステクノロジーズの社宅")</f>
        <v>株式会社ビーネックステクノロジーズの社宅</v>
      </c>
      <c r="Y386" s="6" t="str">
        <f aca="false">IFERROR(__xludf.dummyfunction("""COMPUTED_VALUE"""),"利用なし")</f>
        <v>利用なし</v>
      </c>
      <c r="Z386" s="6" t="str">
        <f aca="false">IFERROR(__xludf.dummyfunction("""COMPUTED_VALUE"""),"希望する")</f>
        <v>希望する</v>
      </c>
      <c r="AA386" s="6" t="str">
        <f aca="false">IFERROR(__xludf.dummyfunction("""COMPUTED_VALUE"""),"単身")</f>
        <v>単身</v>
      </c>
      <c r="AB386" s="6"/>
      <c r="AC386" s="6"/>
      <c r="AD386" s="6" t="str">
        <f aca="false">IFERROR(__xludf.dummyfunction("""COMPUTED_VALUE"""),"特になし")</f>
        <v>特になし</v>
      </c>
      <c r="AE386" s="6" t="str">
        <f aca="false">IFERROR(__xludf.dummyfunction("""COMPUTED_VALUE"""),"確認しました。")</f>
        <v>確認しました。</v>
      </c>
      <c r="AF386" s="6" t="str">
        <f aca="false">IFERROR(__xludf.dummyfunction("""COMPUTED_VALUE"""),"社宅基準の内容について確認しました")</f>
        <v>社宅基準の内容について確認しました</v>
      </c>
      <c r="AG386" s="6" t="str">
        <f aca="false">IFERROR(__xludf.dummyfunction("""COMPUTED_VALUE"""),"入居のしおりの内容についてご確認しました")</f>
        <v>入居のしおりの内容についてご確認しました</v>
      </c>
      <c r="AH386" s="6" t="str">
        <f aca="false">IFERROR(__xludf.dummyfunction("""COMPUTED_VALUE"""),"確認しました")</f>
        <v>確認しました</v>
      </c>
      <c r="AI386" s="6"/>
      <c r="AJ386" s="6" t="str">
        <v/>
      </c>
      <c r="AK386" s="6" t="str">
        <v/>
      </c>
      <c r="AL386" s="6" t="str">
        <v/>
      </c>
      <c r="AM386" s="6" t="str">
        <v/>
      </c>
      <c r="AN386" s="6" t="n">
        <f aca="false">FALSE()</f>
        <v>0</v>
      </c>
    </row>
    <row r="387" customFormat="false" ht="52.5" hidden="false" customHeight="true" outlineLevel="0" collapsed="false">
      <c r="A387" s="6" t="str">
        <f aca="false">IFERROR(__xludf.dummyfunction("""COMPUTED_VALUE"""),"2026/03/16 9:06:42")</f>
        <v>2026/03/16 9:06:42</v>
      </c>
      <c r="B387" s="6"/>
      <c r="C387" s="6" t="str">
        <f aca="false">IFERROR(__xludf.dummyfunction("""COMPUTED_VALUE"""),"71137")</f>
        <v>71137</v>
      </c>
      <c r="D387" s="6"/>
      <c r="E387" s="6"/>
      <c r="F387" s="6"/>
      <c r="G387" s="6" t="str">
        <f aca="false">IFERROR(__xludf.dummyfunction("""COMPUTED_VALUE"""),"2026/03/28")</f>
        <v>2026/03/28</v>
      </c>
      <c r="H387" s="6" t="str">
        <f aca="false">IFERROR(__xludf.dummyfunction("""COMPUTED_VALUE"""),"必要")</f>
        <v>必要</v>
      </c>
      <c r="I387" s="6" t="str">
        <f aca="false">IFERROR(__xludf.dummyfunction("""COMPUTED_VALUE"""),"男性")</f>
        <v>男性</v>
      </c>
      <c r="J387" s="6" t="str">
        <f aca="false">IFERROR(__xludf.dummyfunction("""COMPUTED_VALUE"""),"日本")</f>
        <v>日本</v>
      </c>
      <c r="K387" s="6" t="str">
        <f aca="false">IFERROR(__xludf.dummyfunction("""COMPUTED_VALUE"""),"15")</f>
        <v>15</v>
      </c>
      <c r="L387" s="6" t="str">
        <f aca="false">IFERROR(__xludf.dummyfunction("""COMPUTED_VALUE"""),"冷蔵庫(2ドア)
ドラム式洗濯機(横幅540mm、奥行540mm、高さ880mm)
電子レンジ
モニター(24インチ)
炊飯器
電気ケトル
掃除機
デスクトップパソコン")</f>
        <v>冷蔵庫(2ドア)
ドラム式洗濯機(横幅540mm、奥行540mm、高さ880mm)
電子レンジ
モニター(24インチ)
炊飯器
電気ケトル
掃除機
デスクトップパソコン</v>
      </c>
      <c r="M387" s="6" t="str">
        <f aca="false">IFERROR(__xludf.dummyfunction("""COMPUTED_VALUE"""),"デスク(幅118cm、奥行63cm、高さ73.5cm)
テーブル(幅90cm、奥行45cm、高さ32cm)
ローボード(幅120cm、奥行40cm、高さ40cm)
棚(幅60cm、奥行34cm、高さ126cm)
冷蔵庫上ラック(幅59.5cm、奥行41.5cm、高さ180cm)
ワゴン(幅43cm、奥行31cm、高さ64cm)
モニター台(幅60cm、奥行24cm、高さ10cm)
ゲーミングチェア(幅65cm、奥行65cm、高さ127cm)
ベッド(シングル)
カーテン(幅100cm、丈178cm)")</f>
        <v>デスク(幅118cm、奥行63cm、高さ73.5cm)
テーブル(幅90cm、奥行45cm、高さ32cm)
ローボード(幅120cm、奥行40cm、高さ40cm)
棚(幅60cm、奥行34cm、高さ126cm)
冷蔵庫上ラック(幅59.5cm、奥行41.5cm、高さ180cm)
ワゴン(幅43cm、奥行31cm、高さ64cm)
モニター台(幅60cm、奥行24cm、高さ10cm)
ゲーミングチェア(幅65cm、奥行65cm、高さ127cm)
ベッド(シングル)
カーテン(幅100cm、丈178cm)</v>
      </c>
      <c r="N387" s="6" t="str">
        <f aca="false">IFERROR(__xludf.dummyfunction("""COMPUTED_VALUE"""),"ヨガマット(収納時寸法14×14×61)")</f>
        <v>ヨガマット(収納時寸法14×14×61)</v>
      </c>
      <c r="O387" s="6" t="str">
        <f aca="false">IFERROR(__xludf.dummyfunction("""COMPUTED_VALUE"""),"不要")</f>
        <v>不要</v>
      </c>
      <c r="P387" s="6"/>
      <c r="Q387" s="6"/>
      <c r="R387" s="6"/>
      <c r="S387" s="6" t="str">
        <f aca="false">IFERROR(__xludf.dummyfunction("""COMPUTED_VALUE"""),"家具家電なし社宅")</f>
        <v>家具家電なし社宅</v>
      </c>
      <c r="T387" s="6" t="str">
        <f aca="false">IFERROR(__xludf.dummyfunction("""COMPUTED_VALUE"""),"利用しない")</f>
        <v>利用しない</v>
      </c>
      <c r="U387" s="6"/>
      <c r="V387" s="6" t="str">
        <f aca="false">IFERROR(__xludf.dummyfunction("""COMPUTED_VALUE"""),"自転車")</f>
        <v>自転車</v>
      </c>
      <c r="W387" s="6"/>
      <c r="X387" s="6" t="str">
        <f aca="false">IFERROR(__xludf.dummyfunction("""COMPUTED_VALUE"""),"ご自身で契約中の物件")</f>
        <v>ご自身で契約中の物件</v>
      </c>
      <c r="Y387" s="6"/>
      <c r="Z387" s="6" t="str">
        <f aca="false">IFERROR(__xludf.dummyfunction("""COMPUTED_VALUE"""),"希望する")</f>
        <v>希望する</v>
      </c>
      <c r="AA387" s="6" t="str">
        <f aca="false">IFERROR(__xludf.dummyfunction("""COMPUTED_VALUE"""),"単身")</f>
        <v>単身</v>
      </c>
      <c r="AB387" s="6"/>
      <c r="AC387" s="6"/>
      <c r="AD387" s="6" t="str">
        <f aca="false">IFERROR(__xludf.dummyfunction("""COMPUTED_VALUE"""),"防音性の高い部屋を希望。
また、光回線及び光コンセントがある部屋か、光回線の引き込み工事が可能な部屋を希望。")</f>
        <v>防音性の高い部屋を希望。
また、光回線及び光コンセントがある部屋か、光回線の引き込み工事が可能な部屋を希望。</v>
      </c>
      <c r="AE387" s="6" t="str">
        <f aca="false">IFERROR(__xludf.dummyfunction("""COMPUTED_VALUE"""),"確認しました。")</f>
        <v>確認しました。</v>
      </c>
      <c r="AF387" s="6" t="str">
        <f aca="false">IFERROR(__xludf.dummyfunction("""COMPUTED_VALUE"""),"社宅基準の内容について確認しました")</f>
        <v>社宅基準の内容について確認しました</v>
      </c>
      <c r="AG387" s="6" t="str">
        <f aca="false">IFERROR(__xludf.dummyfunction("""COMPUTED_VALUE"""),"入居のしおりの内容についてご確認しました")</f>
        <v>入居のしおりの内容についてご確認しました</v>
      </c>
      <c r="AH387" s="6" t="str">
        <f aca="false">IFERROR(__xludf.dummyfunction("""COMPUTED_VALUE"""),"確認しました")</f>
        <v>確認しました</v>
      </c>
      <c r="AI387" s="6"/>
      <c r="AJ387" s="6" t="str">
        <v/>
      </c>
      <c r="AK387" s="6" t="str">
        <v/>
      </c>
      <c r="AL387" s="6" t="str">
        <v/>
      </c>
      <c r="AM387" s="6" t="str">
        <v/>
      </c>
      <c r="AN387" s="6" t="n">
        <f aca="false">FALSE()</f>
        <v>0</v>
      </c>
    </row>
    <row r="388" customFormat="false" ht="52.5" hidden="false" customHeight="true" outlineLevel="0" collapsed="false">
      <c r="A388" s="6" t="str">
        <f aca="false">IFERROR(__xludf.dummyfunction("""COMPUTED_VALUE"""),"2026/03/16 9:42:06")</f>
        <v>2026/03/16 9:42:06</v>
      </c>
      <c r="B388" s="6"/>
      <c r="C388" s="6" t="str">
        <f aca="false">IFERROR(__xludf.dummyfunction("""COMPUTED_VALUE"""),"71094")</f>
        <v>71094</v>
      </c>
      <c r="D388" s="6"/>
      <c r="E388" s="6"/>
      <c r="F388" s="6"/>
      <c r="G388" s="6" t="str">
        <f aca="false">IFERROR(__xludf.dummyfunction("""COMPUTED_VALUE"""),"2026/03/30")</f>
        <v>2026/03/30</v>
      </c>
      <c r="H388" s="6" t="str">
        <f aca="false">IFERROR(__xludf.dummyfunction("""COMPUTED_VALUE"""),"必要")</f>
        <v>必要</v>
      </c>
      <c r="I388" s="6" t="str">
        <f aca="false">IFERROR(__xludf.dummyfunction("""COMPUTED_VALUE"""),"男性")</f>
        <v>男性</v>
      </c>
      <c r="J388" s="6" t="str">
        <f aca="false">IFERROR(__xludf.dummyfunction("""COMPUTED_VALUE"""),"日本")</f>
        <v>日本</v>
      </c>
      <c r="K388" s="6" t="str">
        <f aca="false">IFERROR(__xludf.dummyfunction("""COMPUTED_VALUE"""),"3")</f>
        <v>3</v>
      </c>
      <c r="L388" s="6" t="str">
        <f aca="false">IFERROR(__xludf.dummyfunction("""COMPUTED_VALUE"""),"なし")</f>
        <v>なし</v>
      </c>
      <c r="M388" s="6" t="str">
        <f aca="false">IFERROR(__xludf.dummyfunction("""COMPUTED_VALUE"""),"なし")</f>
        <v>なし</v>
      </c>
      <c r="N388" s="6"/>
      <c r="O388" s="6" t="str">
        <f aca="false">IFERROR(__xludf.dummyfunction("""COMPUTED_VALUE"""),"不要")</f>
        <v>不要</v>
      </c>
      <c r="P388" s="6"/>
      <c r="Q388" s="6"/>
      <c r="R388" s="6"/>
      <c r="S388" s="6" t="str">
        <f aca="false">IFERROR(__xludf.dummyfunction("""COMPUTED_VALUE"""),"家具家電付き社宅")</f>
        <v>家具家電付き社宅</v>
      </c>
      <c r="T388" s="6" t="str">
        <f aca="false">IFERROR(__xludf.dummyfunction("""COMPUTED_VALUE"""),"利用しない")</f>
        <v>利用しない</v>
      </c>
      <c r="U388" s="6"/>
      <c r="V388" s="6" t="str">
        <f aca="false">IFERROR(__xludf.dummyfunction("""COMPUTED_VALUE"""),"社用バス")</f>
        <v>社用バス</v>
      </c>
      <c r="W388" s="6"/>
      <c r="X388" s="6" t="str">
        <f aca="false">IFERROR(__xludf.dummyfunction("""COMPUTED_VALUE"""),"実家")</f>
        <v>実家</v>
      </c>
      <c r="Y388" s="6"/>
      <c r="Z388" s="6" t="str">
        <f aca="false">IFERROR(__xludf.dummyfunction("""COMPUTED_VALUE"""),"希望する")</f>
        <v>希望する</v>
      </c>
      <c r="AA388" s="6" t="str">
        <f aca="false">IFERROR(__xludf.dummyfunction("""COMPUTED_VALUE"""),"単身")</f>
        <v>単身</v>
      </c>
      <c r="AB388" s="6"/>
      <c r="AC388" s="6"/>
      <c r="AD388" s="6"/>
      <c r="AE388" s="6" t="str">
        <f aca="false">IFERROR(__xludf.dummyfunction("""COMPUTED_VALUE"""),"確認しました。")</f>
        <v>確認しました。</v>
      </c>
      <c r="AF388" s="6" t="str">
        <f aca="false">IFERROR(__xludf.dummyfunction("""COMPUTED_VALUE"""),"社宅基準の内容について確認しました")</f>
        <v>社宅基準の内容について確認しました</v>
      </c>
      <c r="AG388" s="6" t="str">
        <f aca="false">IFERROR(__xludf.dummyfunction("""COMPUTED_VALUE"""),"入居のしおりの内容についてご確認しました")</f>
        <v>入居のしおりの内容についてご確認しました</v>
      </c>
      <c r="AH388" s="6" t="str">
        <f aca="false">IFERROR(__xludf.dummyfunction("""COMPUTED_VALUE"""),"確認しました")</f>
        <v>確認しました</v>
      </c>
      <c r="AI388" s="6"/>
      <c r="AJ388" s="6" t="str">
        <v/>
      </c>
      <c r="AK388" s="6" t="str">
        <v/>
      </c>
      <c r="AL388" s="6" t="str">
        <v/>
      </c>
      <c r="AM388" s="6" t="str">
        <v/>
      </c>
      <c r="AN388" s="6" t="n">
        <f aca="false">FALSE()</f>
        <v>0</v>
      </c>
    </row>
    <row r="389" customFormat="false" ht="52.5" hidden="false" customHeight="true" outlineLevel="0" collapsed="false">
      <c r="A389" s="6" t="str">
        <f aca="false">IFERROR(__xludf.dummyfunction("""COMPUTED_VALUE"""),"2026/03/16 11:42:53")</f>
        <v>2026/03/16 11:42:53</v>
      </c>
      <c r="B389" s="6"/>
      <c r="C389" s="6" t="str">
        <f aca="false">IFERROR(__xludf.dummyfunction("""COMPUTED_VALUE"""),"71411")</f>
        <v>71411</v>
      </c>
      <c r="D389" s="6"/>
      <c r="E389" s="6"/>
      <c r="F389" s="6"/>
      <c r="G389" s="6" t="str">
        <f aca="false">IFERROR(__xludf.dummyfunction("""COMPUTED_VALUE"""),"2026/03/26")</f>
        <v>2026/03/26</v>
      </c>
      <c r="H389" s="6" t="str">
        <f aca="false">IFERROR(__xludf.dummyfunction("""COMPUTED_VALUE"""),"必要")</f>
        <v>必要</v>
      </c>
      <c r="I389" s="6" t="str">
        <f aca="false">IFERROR(__xludf.dummyfunction("""COMPUTED_VALUE"""),"男性")</f>
        <v>男性</v>
      </c>
      <c r="J389" s="6" t="str">
        <f aca="false">IFERROR(__xludf.dummyfunction("""COMPUTED_VALUE"""),"日本")</f>
        <v>日本</v>
      </c>
      <c r="K389" s="6" t="str">
        <f aca="false">IFERROR(__xludf.dummyfunction("""COMPUTED_VALUE"""),"5")</f>
        <v>5</v>
      </c>
      <c r="L389" s="6" t="str">
        <f aca="false">IFERROR(__xludf.dummyfunction("""COMPUTED_VALUE"""),"テレビ")</f>
        <v>テレビ</v>
      </c>
      <c r="M389" s="6" t="str">
        <f aca="false">IFERROR(__xludf.dummyfunction("""COMPUTED_VALUE"""),"机(120✕60)、ゲーミングチェアー")</f>
        <v>机(120✕60)、ゲーミングチェアー</v>
      </c>
      <c r="N389" s="6"/>
      <c r="O389" s="6" t="str">
        <f aca="false">IFERROR(__xludf.dummyfunction("""COMPUTED_VALUE"""),"必要")</f>
        <v>必要</v>
      </c>
      <c r="P389" s="6" t="str">
        <f aca="false">IFERROR(__xludf.dummyfunction("""COMPUTED_VALUE"""),"レヴォーグ")</f>
        <v>レヴォーグ</v>
      </c>
      <c r="Q389" s="6" t="str">
        <f aca="false">IFERROR(__xludf.dummyfunction("""COMPUTED_VALUE"""),"ち5301")</f>
        <v>ち5301</v>
      </c>
      <c r="R389" s="6" t="str">
        <f aca="false">IFERROR(__xludf.dummyfunction("""COMPUTED_VALUE"""),"白")</f>
        <v>白</v>
      </c>
      <c r="S389" s="6" t="str">
        <f aca="false">IFERROR(__xludf.dummyfunction("""COMPUTED_VALUE"""),"家具家電なし社宅")</f>
        <v>家具家電なし社宅</v>
      </c>
      <c r="T389" s="6" t="str">
        <f aca="false">IFERROR(__xludf.dummyfunction("""COMPUTED_VALUE"""),"利用する")</f>
        <v>利用する</v>
      </c>
      <c r="U389" s="6" t="str">
        <f aca="false">IFERROR(__xludf.dummyfunction("""COMPUTED_VALUE"""),"冷凍冷蔵庫80ℓ、全自動洗濯機、ガスコンロ2口、オーブンレンジ")</f>
        <v>冷凍冷蔵庫80ℓ、全自動洗濯機、ガスコンロ2口、オーブンレンジ</v>
      </c>
      <c r="V389" s="6" t="str">
        <f aca="false">IFERROR(__xludf.dummyfunction("""COMPUTED_VALUE"""),"自動車")</f>
        <v>自動車</v>
      </c>
      <c r="W389" s="6"/>
      <c r="X389" s="6" t="str">
        <f aca="false">IFERROR(__xludf.dummyfunction("""COMPUTED_VALUE"""),"ご自身で契約中の物件")</f>
        <v>ご自身で契約中の物件</v>
      </c>
      <c r="Y389" s="6"/>
      <c r="Z389" s="6" t="str">
        <f aca="false">IFERROR(__xludf.dummyfunction("""COMPUTED_VALUE"""),"希望する")</f>
        <v>希望する</v>
      </c>
      <c r="AA389" s="6" t="str">
        <f aca="false">IFERROR(__xludf.dummyfunction("""COMPUTED_VALUE"""),"単身")</f>
        <v>単身</v>
      </c>
      <c r="AB389" s="6"/>
      <c r="AC389" s="6"/>
      <c r="AD389" s="6" t="str">
        <f aca="false">IFERROR(__xludf.dummyfunction("""COMPUTED_VALUE"""),"・単身者の基本的な間取りに関しては内容を確認したが、2DK以上の物件をお願いします
・インターネット環境必須
・風呂トイレ別必須
・風呂追い炊き機能必須
・近くにショッピングモールや飲食店がある場所")</f>
        <v>・単身者の基本的な間取りに関しては内容を確認したが、2DK以上の物件をお願いします
・インターネット環境必須
・風呂トイレ別必須
・風呂追い炊き機能必須
・近くにショッピングモールや飲食店がある場所</v>
      </c>
      <c r="AE389" s="6" t="str">
        <f aca="false">IFERROR(__xludf.dummyfunction("""COMPUTED_VALUE"""),"確認しました。")</f>
        <v>確認しました。</v>
      </c>
      <c r="AF389" s="6" t="str">
        <f aca="false">IFERROR(__xludf.dummyfunction("""COMPUTED_VALUE"""),"社宅基準の内容について確認しました")</f>
        <v>社宅基準の内容について確認しました</v>
      </c>
      <c r="AG389" s="6" t="str">
        <f aca="false">IFERROR(__xludf.dummyfunction("""COMPUTED_VALUE"""),"入居のしおりの内容についてご確認しました")</f>
        <v>入居のしおりの内容についてご確認しました</v>
      </c>
      <c r="AH389" s="6" t="str">
        <f aca="false">IFERROR(__xludf.dummyfunction("""COMPUTED_VALUE"""),"確認しました")</f>
        <v>確認しました</v>
      </c>
      <c r="AI389" s="6"/>
      <c r="AJ389" s="6" t="str">
        <v/>
      </c>
      <c r="AK389" s="6" t="str">
        <v/>
      </c>
      <c r="AL389" s="6" t="str">
        <v/>
      </c>
      <c r="AM389" s="6" t="str">
        <v/>
      </c>
      <c r="AN389" s="6" t="n">
        <f aca="false">FALSE()</f>
        <v>0</v>
      </c>
    </row>
    <row r="390" customFormat="false" ht="52.5" hidden="false" customHeight="true" outlineLevel="0" collapsed="false">
      <c r="A390" s="6" t="str">
        <f aca="false">IFERROR(__xludf.dummyfunction("""COMPUTED_VALUE"""),"2026/03/16 11:58:49")</f>
        <v>2026/03/16 11:58:49</v>
      </c>
      <c r="B390" s="6"/>
      <c r="C390" s="6" t="str">
        <f aca="false">IFERROR(__xludf.dummyfunction("""COMPUTED_VALUE"""),"71413")</f>
        <v>71413</v>
      </c>
      <c r="D390" s="6"/>
      <c r="E390" s="6"/>
      <c r="F390" s="6"/>
      <c r="G390" s="6" t="str">
        <f aca="false">IFERROR(__xludf.dummyfunction("""COMPUTED_VALUE"""),"2026/04/01")</f>
        <v>2026/04/01</v>
      </c>
      <c r="H390" s="6" t="str">
        <f aca="false">IFERROR(__xludf.dummyfunction("""COMPUTED_VALUE"""),"必要")</f>
        <v>必要</v>
      </c>
      <c r="I390" s="6" t="str">
        <f aca="false">IFERROR(__xludf.dummyfunction("""COMPUTED_VALUE"""),"男性")</f>
        <v>男性</v>
      </c>
      <c r="J390" s="6" t="str">
        <f aca="false">IFERROR(__xludf.dummyfunction("""COMPUTED_VALUE"""),"日本")</f>
        <v>日本</v>
      </c>
      <c r="K390" s="6" t="str">
        <f aca="false">IFERROR(__xludf.dummyfunction("""COMPUTED_VALUE"""),"10")</f>
        <v>10</v>
      </c>
      <c r="L390" s="6" t="str">
        <f aca="false">IFERROR(__xludf.dummyfunction("""COMPUTED_VALUE"""),"ドラム式洗濯機(640×739×1,115mm)、冷蔵庫(単身用)、電子レンジ、オーブン、炊飯器、掃除機、ドライヤー等")</f>
        <v>ドラム式洗濯機(640×739×1,115mm)、冷蔵庫(単身用)、電子レンジ、オーブン、炊飯器、掃除機、ドライヤー等</v>
      </c>
      <c r="M390" s="6" t="str">
        <f aca="false">IFERROR(__xludf.dummyfunction("""COMPUTED_VALUE"""),"ダニングテーブル(140×85cm)、本棚(76.5×111.5×39cm)、ベッドフレーム・シングル(2.07×1.2×0.48m)、ベッドサイズ・セミダブル、ラック(40×156×35cm)")</f>
        <v>ダニングテーブル(140×85cm)、本棚(76.5×111.5×39cm)、ベッドフレーム・シングル(2.07×1.2×0.48m)、ベッドサイズ・セミダブル、ラック(40×156×35cm)</v>
      </c>
      <c r="N390" s="6" t="str">
        <f aca="false">IFERROR(__xludf.dummyfunction("""COMPUTED_VALUE"""),"洋服、パソコン、鏡、間接照明・2個、シーリングライト、延長コード、スマホスタンド等")</f>
        <v>洋服、パソコン、鏡、間接照明・2個、シーリングライト、延長コード、スマホスタンド等</v>
      </c>
      <c r="O390" s="6" t="str">
        <f aca="false">IFERROR(__xludf.dummyfunction("""COMPUTED_VALUE"""),"不要")</f>
        <v>不要</v>
      </c>
      <c r="P390" s="6"/>
      <c r="Q390" s="6"/>
      <c r="R390" s="6"/>
      <c r="S390" s="6" t="str">
        <f aca="false">IFERROR(__xludf.dummyfunction("""COMPUTED_VALUE"""),"家具家電なし社宅")</f>
        <v>家具家電なし社宅</v>
      </c>
      <c r="T390" s="6" t="str">
        <f aca="false">IFERROR(__xludf.dummyfunction("""COMPUTED_VALUE"""),"利用しない")</f>
        <v>利用しない</v>
      </c>
      <c r="U390" s="6"/>
      <c r="V390" s="6" t="str">
        <f aca="false">IFERROR(__xludf.dummyfunction("""COMPUTED_VALUE"""),"徒歩, 電車")</f>
        <v>徒歩, 電車</v>
      </c>
      <c r="W390" s="6"/>
      <c r="X390" s="6" t="str">
        <f aca="false">IFERROR(__xludf.dummyfunction("""COMPUTED_VALUE"""),"ご自身で契約中の物件")</f>
        <v>ご自身で契約中の物件</v>
      </c>
      <c r="Y390" s="6"/>
      <c r="Z390" s="6" t="str">
        <f aca="false">IFERROR(__xludf.dummyfunction("""COMPUTED_VALUE"""),"希望する")</f>
        <v>希望する</v>
      </c>
      <c r="AA390" s="6" t="str">
        <f aca="false">IFERROR(__xludf.dummyfunction("""COMPUTED_VALUE"""),"単身")</f>
        <v>単身</v>
      </c>
      <c r="AB390" s="6"/>
      <c r="AC390" s="6"/>
      <c r="AD390" s="6" t="str">
        <f aca="false">IFERROR(__xludf.dummyfunction("""COMPUTED_VALUE"""),"室内の防水パンがドラム式洗濯機に対応してる物件要望")</f>
        <v>室内の防水パンがドラム式洗濯機に対応してる物件要望</v>
      </c>
      <c r="AE390" s="6" t="str">
        <f aca="false">IFERROR(__xludf.dummyfunction("""COMPUTED_VALUE"""),"確認しました。")</f>
        <v>確認しました。</v>
      </c>
      <c r="AF390" s="6" t="str">
        <f aca="false">IFERROR(__xludf.dummyfunction("""COMPUTED_VALUE"""),"社宅基準の内容について確認しました")</f>
        <v>社宅基準の内容について確認しました</v>
      </c>
      <c r="AG390" s="6" t="str">
        <f aca="false">IFERROR(__xludf.dummyfunction("""COMPUTED_VALUE"""),"入居のしおりの内容についてご確認しました")</f>
        <v>入居のしおりの内容についてご確認しました</v>
      </c>
      <c r="AH390" s="6" t="str">
        <f aca="false">IFERROR(__xludf.dummyfunction("""COMPUTED_VALUE"""),"確認しました")</f>
        <v>確認しました</v>
      </c>
      <c r="AI390" s="6"/>
      <c r="AJ390" s="6" t="str">
        <v/>
      </c>
      <c r="AK390" s="6" t="str">
        <v/>
      </c>
      <c r="AL390" s="6" t="str">
        <v/>
      </c>
      <c r="AM390" s="6" t="str">
        <v/>
      </c>
      <c r="AN390" s="6" t="n">
        <f aca="false">FALSE()</f>
        <v>0</v>
      </c>
    </row>
    <row r="391" customFormat="false" ht="52.5" hidden="false" customHeight="true" outlineLevel="0" collapsed="false">
      <c r="A391" s="6" t="str">
        <f aca="false">IFERROR(__xludf.dummyfunction("""COMPUTED_VALUE"""),"2026/03/16 15:14:55")</f>
        <v>2026/03/16 15:14:55</v>
      </c>
      <c r="B391" s="6"/>
      <c r="C391" s="6" t="str">
        <f aca="false">IFERROR(__xludf.dummyfunction("""COMPUTED_VALUE"""),"71393")</f>
        <v>71393</v>
      </c>
      <c r="D391" s="6"/>
      <c r="E391" s="6"/>
      <c r="F391" s="6"/>
      <c r="G391" s="6" t="str">
        <f aca="false">IFERROR(__xludf.dummyfunction("""COMPUTED_VALUE"""),"2026/03/29")</f>
        <v>2026/03/29</v>
      </c>
      <c r="H391" s="6" t="str">
        <f aca="false">IFERROR(__xludf.dummyfunction("""COMPUTED_VALUE"""),"必要")</f>
        <v>必要</v>
      </c>
      <c r="I391" s="6" t="str">
        <f aca="false">IFERROR(__xludf.dummyfunction("""COMPUTED_VALUE"""),"男性")</f>
        <v>男性</v>
      </c>
      <c r="J391" s="6" t="str">
        <f aca="false">IFERROR(__xludf.dummyfunction("""COMPUTED_VALUE"""),"日本")</f>
        <v>日本</v>
      </c>
      <c r="K391" s="6" t="str">
        <f aca="false">IFERROR(__xludf.dummyfunction("""COMPUTED_VALUE"""),"10")</f>
        <v>10</v>
      </c>
      <c r="L391" s="6" t="str">
        <f aca="false">IFERROR(__xludf.dummyfunction("""COMPUTED_VALUE"""),"ウォーターサーバー")</f>
        <v>ウォーターサーバー</v>
      </c>
      <c r="M391" s="6" t="str">
        <f aca="false">IFERROR(__xludf.dummyfunction("""COMPUTED_VALUE"""),"敷布団ならあります")</f>
        <v>敷布団ならあります</v>
      </c>
      <c r="N391" s="6" t="str">
        <f aca="false">IFERROR(__xludf.dummyfunction("""COMPUTED_VALUE"""),"なし")</f>
        <v>なし</v>
      </c>
      <c r="O391" s="6" t="str">
        <f aca="false">IFERROR(__xludf.dummyfunction("""COMPUTED_VALUE"""),"不要")</f>
        <v>不要</v>
      </c>
      <c r="P391" s="6"/>
      <c r="Q391" s="6"/>
      <c r="R391" s="6"/>
      <c r="S391" s="6" t="str">
        <f aca="false">IFERROR(__xludf.dummyfunction("""COMPUTED_VALUE"""),"家具家電付き社宅")</f>
        <v>家具家電付き社宅</v>
      </c>
      <c r="T391" s="6" t="str">
        <f aca="false">IFERROR(__xludf.dummyfunction("""COMPUTED_VALUE"""),"利用しない")</f>
        <v>利用しない</v>
      </c>
      <c r="U391" s="6"/>
      <c r="V391" s="6" t="str">
        <f aca="false">IFERROR(__xludf.dummyfunction("""COMPUTED_VALUE"""),"徒歩")</f>
        <v>徒歩</v>
      </c>
      <c r="W391" s="6"/>
      <c r="X391" s="6" t="str">
        <f aca="false">IFERROR(__xludf.dummyfunction("""COMPUTED_VALUE"""),"株式会社ビーネックステクノロジーズの社宅")</f>
        <v>株式会社ビーネックステクノロジーズの社宅</v>
      </c>
      <c r="Y391" s="6" t="str">
        <f aca="false">IFERROR(__xludf.dummyfunction("""COMPUTED_VALUE"""),"利用なし")</f>
        <v>利用なし</v>
      </c>
      <c r="Z391" s="6" t="str">
        <f aca="false">IFERROR(__xludf.dummyfunction("""COMPUTED_VALUE"""),"希望する")</f>
        <v>希望する</v>
      </c>
      <c r="AA391" s="6" t="str">
        <f aca="false">IFERROR(__xludf.dummyfunction("""COMPUTED_VALUE"""),"単身")</f>
        <v>単身</v>
      </c>
      <c r="AB391" s="6"/>
      <c r="AC391" s="6"/>
      <c r="AD391" s="6"/>
      <c r="AE391" s="6" t="str">
        <f aca="false">IFERROR(__xludf.dummyfunction("""COMPUTED_VALUE"""),"確認しました。")</f>
        <v>確認しました。</v>
      </c>
      <c r="AF391" s="6" t="str">
        <f aca="false">IFERROR(__xludf.dummyfunction("""COMPUTED_VALUE"""),"社宅基準の内容について確認しました")</f>
        <v>社宅基準の内容について確認しました</v>
      </c>
      <c r="AG391" s="6" t="str">
        <f aca="false">IFERROR(__xludf.dummyfunction("""COMPUTED_VALUE"""),"入居のしおりの内容についてご確認しました")</f>
        <v>入居のしおりの内容についてご確認しました</v>
      </c>
      <c r="AH391" s="6" t="str">
        <f aca="false">IFERROR(__xludf.dummyfunction("""COMPUTED_VALUE"""),"確認しました")</f>
        <v>確認しました</v>
      </c>
      <c r="AI391" s="6"/>
      <c r="AJ391" s="6" t="str">
        <v/>
      </c>
      <c r="AK391" s="6" t="str">
        <v/>
      </c>
      <c r="AL391" s="6" t="str">
        <v/>
      </c>
      <c r="AM391" s="6" t="str">
        <v/>
      </c>
      <c r="AN391" s="6" t="n">
        <f aca="false">FALSE()</f>
        <v>0</v>
      </c>
    </row>
    <row r="392" customFormat="false" ht="52.5" hidden="false" customHeight="true" outlineLevel="0" collapsed="false">
      <c r="A392" s="6" t="str">
        <f aca="false">IFERROR(__xludf.dummyfunction("""COMPUTED_VALUE"""),"2026/03/16 15:45:56")</f>
        <v>2026/03/16 15:45:56</v>
      </c>
      <c r="B392" s="6"/>
      <c r="C392" s="6" t="str">
        <f aca="false">IFERROR(__xludf.dummyfunction("""COMPUTED_VALUE"""),"71273")</f>
        <v>71273</v>
      </c>
      <c r="D392" s="6"/>
      <c r="E392" s="6"/>
      <c r="F392" s="6"/>
      <c r="G392" s="6" t="str">
        <f aca="false">IFERROR(__xludf.dummyfunction("""COMPUTED_VALUE"""),"2026/04/02")</f>
        <v>2026/04/02</v>
      </c>
      <c r="H392" s="6" t="str">
        <f aca="false">IFERROR(__xludf.dummyfunction("""COMPUTED_VALUE"""),"必要")</f>
        <v>必要</v>
      </c>
      <c r="I392" s="6" t="str">
        <f aca="false">IFERROR(__xludf.dummyfunction("""COMPUTED_VALUE"""),"男性")</f>
        <v>男性</v>
      </c>
      <c r="J392" s="6" t="str">
        <f aca="false">IFERROR(__xludf.dummyfunction("""COMPUTED_VALUE"""),"日本")</f>
        <v>日本</v>
      </c>
      <c r="K392" s="6" t="str">
        <f aca="false">IFERROR(__xludf.dummyfunction("""COMPUTED_VALUE"""),"10")</f>
        <v>10</v>
      </c>
      <c r="L392" s="6" t="str">
        <f aca="false">IFERROR(__xludf.dummyfunction("""COMPUTED_VALUE"""),"pc ")</f>
        <v>pc </v>
      </c>
      <c r="M392" s="6" t="str">
        <f aca="false">IFERROR(__xludf.dummyfunction("""COMPUTED_VALUE"""),"机　マットレス")</f>
        <v>机　マットレス</v>
      </c>
      <c r="N392" s="6"/>
      <c r="O392" s="6" t="str">
        <f aca="false">IFERROR(__xludf.dummyfunction("""COMPUTED_VALUE"""),"不要")</f>
        <v>不要</v>
      </c>
      <c r="P392" s="6"/>
      <c r="Q392" s="6"/>
      <c r="R392" s="6"/>
      <c r="S392" s="6" t="str">
        <f aca="false">IFERROR(__xludf.dummyfunction("""COMPUTED_VALUE"""),"家具家電付き社宅")</f>
        <v>家具家電付き社宅</v>
      </c>
      <c r="T392" s="6" t="str">
        <f aca="false">IFERROR(__xludf.dummyfunction("""COMPUTED_VALUE"""),"利用する")</f>
        <v>利用する</v>
      </c>
      <c r="U392" s="6" t="str">
        <f aca="false">IFERROR(__xludf.dummyfunction("""COMPUTED_VALUE"""),"冷蔵庫80l 洗濯機　エアコン")</f>
        <v>冷蔵庫80l 洗濯機　エアコン</v>
      </c>
      <c r="V392" s="6" t="str">
        <f aca="false">IFERROR(__xludf.dummyfunction("""COMPUTED_VALUE"""),"バス")</f>
        <v>バス</v>
      </c>
      <c r="W392" s="6"/>
      <c r="X392" s="6" t="str">
        <f aca="false">IFERROR(__xludf.dummyfunction("""COMPUTED_VALUE"""),"株式会社ビーネックステクノロジーズの社宅")</f>
        <v>株式会社ビーネックステクノロジーズの社宅</v>
      </c>
      <c r="Y392" s="6" t="str">
        <f aca="false">IFERROR(__xludf.dummyfunction("""COMPUTED_VALUE"""),"利用無し")</f>
        <v>利用無し</v>
      </c>
      <c r="Z392" s="6" t="str">
        <f aca="false">IFERROR(__xludf.dummyfunction("""COMPUTED_VALUE"""),"希望する")</f>
        <v>希望する</v>
      </c>
      <c r="AA392" s="6" t="str">
        <f aca="false">IFERROR(__xludf.dummyfunction("""COMPUTED_VALUE"""),"単身")</f>
        <v>単身</v>
      </c>
      <c r="AB392" s="6"/>
      <c r="AC392" s="6"/>
      <c r="AD392" s="6"/>
      <c r="AE392" s="6" t="str">
        <f aca="false">IFERROR(__xludf.dummyfunction("""COMPUTED_VALUE"""),"確認しました。, 仕事中のため、本日の20時以降")</f>
        <v>確認しました。, 仕事中のため、本日の20時以降</v>
      </c>
      <c r="AF392" s="6" t="str">
        <f aca="false">IFERROR(__xludf.dummyfunction("""COMPUTED_VALUE"""),"社宅基準の内容について確認しました")</f>
        <v>社宅基準の内容について確認しました</v>
      </c>
      <c r="AG392" s="6" t="str">
        <f aca="false">IFERROR(__xludf.dummyfunction("""COMPUTED_VALUE"""),"入居のしおりの内容についてご確認しました")</f>
        <v>入居のしおりの内容についてご確認しました</v>
      </c>
      <c r="AH392" s="6" t="str">
        <f aca="false">IFERROR(__xludf.dummyfunction("""COMPUTED_VALUE"""),"確認しました")</f>
        <v>確認しました</v>
      </c>
      <c r="AI392" s="6"/>
      <c r="AJ392" s="6" t="str">
        <v/>
      </c>
      <c r="AK392" s="6" t="str">
        <v/>
      </c>
      <c r="AL392" s="6" t="str">
        <v/>
      </c>
      <c r="AM392" s="6" t="str">
        <v/>
      </c>
      <c r="AN392" s="6" t="n">
        <f aca="false">FALSE()</f>
        <v>0</v>
      </c>
    </row>
    <row r="393" customFormat="false" ht="52.5" hidden="false" customHeight="true" outlineLevel="0" collapsed="false">
      <c r="A393" s="6" t="str">
        <f aca="false">IFERROR(__xludf.dummyfunction("""COMPUTED_VALUE"""),"2026/03/16 18:32:37")</f>
        <v>2026/03/16 18:32:37</v>
      </c>
      <c r="B393" s="6"/>
      <c r="C393" s="6" t="str">
        <f aca="false">IFERROR(__xludf.dummyfunction("""COMPUTED_VALUE"""),"71357")</f>
        <v>71357</v>
      </c>
      <c r="D393" s="6"/>
      <c r="E393" s="6"/>
      <c r="F393" s="6"/>
      <c r="G393" s="6" t="str">
        <f aca="false">IFERROR(__xludf.dummyfunction("""COMPUTED_VALUE"""),"2026/04/13")</f>
        <v>2026/04/13</v>
      </c>
      <c r="H393" s="6" t="str">
        <f aca="false">IFERROR(__xludf.dummyfunction("""COMPUTED_VALUE"""),"必要")</f>
        <v>必要</v>
      </c>
      <c r="I393" s="6" t="str">
        <f aca="false">IFERROR(__xludf.dummyfunction("""COMPUTED_VALUE"""),"男性")</f>
        <v>男性</v>
      </c>
      <c r="J393" s="6" t="str">
        <f aca="false">IFERROR(__xludf.dummyfunction("""COMPUTED_VALUE"""),"日本")</f>
        <v>日本</v>
      </c>
      <c r="K393" s="6" t="str">
        <f aca="false">IFERROR(__xludf.dummyfunction("""COMPUTED_VALUE"""),"30")</f>
        <v>30</v>
      </c>
      <c r="L393" s="6" t="str">
        <f aca="false">IFERROR(__xludf.dummyfunction("""COMPUTED_VALUE"""),"電子レンジ、（2ドア冷蔵庫、洗濯機・・・未確定）")</f>
        <v>電子レンジ、（2ドア冷蔵庫、洗濯機・・・未確定）</v>
      </c>
      <c r="M393" s="6" t="str">
        <f aca="false">IFERROR(__xludf.dummyfunction("""COMPUTED_VALUE"""),"衣装ケース（50・45・70）×2、布団一式")</f>
        <v>衣装ケース（50・45・70）×2、布団一式</v>
      </c>
      <c r="N393" s="6" t="str">
        <f aca="false">IFERROR(__xludf.dummyfunction("""COMPUTED_VALUE"""),"無し")</f>
        <v>無し</v>
      </c>
      <c r="O393" s="6" t="str">
        <f aca="false">IFERROR(__xludf.dummyfunction("""COMPUTED_VALUE"""),"必要")</f>
        <v>必要</v>
      </c>
      <c r="P393" s="6" t="str">
        <f aca="false">IFERROR(__xludf.dummyfunction("""COMPUTED_VALUE"""),"フレア")</f>
        <v>フレア</v>
      </c>
      <c r="Q393" s="6" t="str">
        <f aca="false">IFERROR(__xludf.dummyfunction("""COMPUTED_VALUE"""),"き85-94")</f>
        <v>き85-94</v>
      </c>
      <c r="R393" s="6" t="str">
        <f aca="false">IFERROR(__xludf.dummyfunction("""COMPUTED_VALUE"""),"シルバー")</f>
        <v>シルバー</v>
      </c>
      <c r="S393" s="6" t="str">
        <f aca="false">IFERROR(__xludf.dummyfunction("""COMPUTED_VALUE"""),"家具家電なし社宅")</f>
        <v>家具家電なし社宅</v>
      </c>
      <c r="T393" s="6" t="str">
        <f aca="false">IFERROR(__xludf.dummyfunction("""COMPUTED_VALUE"""),"利用しない")</f>
        <v>利用しない</v>
      </c>
      <c r="U393" s="6"/>
      <c r="V393" s="6" t="str">
        <f aca="false">IFERROR(__xludf.dummyfunction("""COMPUTED_VALUE"""),"自動車")</f>
        <v>自動車</v>
      </c>
      <c r="W393" s="6"/>
      <c r="X393" s="6" t="str">
        <f aca="false">IFERROR(__xludf.dummyfunction("""COMPUTED_VALUE"""),"実家")</f>
        <v>実家</v>
      </c>
      <c r="Y393" s="6"/>
      <c r="Z393" s="6" t="str">
        <f aca="false">IFERROR(__xludf.dummyfunction("""COMPUTED_VALUE"""),"希望する")</f>
        <v>希望する</v>
      </c>
      <c r="AA393" s="6" t="str">
        <f aca="false">IFERROR(__xludf.dummyfunction("""COMPUTED_VALUE"""),"単身")</f>
        <v>単身</v>
      </c>
      <c r="AB393" s="6"/>
      <c r="AC393" s="6"/>
      <c r="AD393" s="6" t="str">
        <f aca="false">IFERROR(__xludf.dummyfunction("""COMPUTED_VALUE"""),"レンタル家電も利用するかどうか検討中ですが後からでも間に合いますか？")</f>
        <v>レンタル家電も利用するかどうか検討中ですが後からでも間に合いますか？</v>
      </c>
      <c r="AE393" s="6" t="str">
        <f aca="false">IFERROR(__xludf.dummyfunction("""COMPUTED_VALUE"""),"確認しました。")</f>
        <v>確認しました。</v>
      </c>
      <c r="AF393" s="6" t="str">
        <f aca="false">IFERROR(__xludf.dummyfunction("""COMPUTED_VALUE"""),"社宅基準の内容について確認しました")</f>
        <v>社宅基準の内容について確認しました</v>
      </c>
      <c r="AG393" s="6" t="str">
        <f aca="false">IFERROR(__xludf.dummyfunction("""COMPUTED_VALUE"""),"入居のしおりの内容についてご確認しました")</f>
        <v>入居のしおりの内容についてご確認しました</v>
      </c>
      <c r="AH393" s="6" t="str">
        <f aca="false">IFERROR(__xludf.dummyfunction("""COMPUTED_VALUE"""),"確認しました")</f>
        <v>確認しました</v>
      </c>
      <c r="AI393" s="6"/>
      <c r="AJ393" s="6" t="str">
        <v/>
      </c>
      <c r="AK393" s="6" t="str">
        <v/>
      </c>
      <c r="AL393" s="6" t="str">
        <v/>
      </c>
      <c r="AM393" s="6" t="str">
        <v/>
      </c>
      <c r="AN393" s="6" t="n">
        <f aca="false">FALSE()</f>
        <v>0</v>
      </c>
    </row>
    <row r="394" customFormat="false" ht="52.5" hidden="false" customHeight="true" outlineLevel="0" collapsed="false">
      <c r="A394" s="6" t="str">
        <f aca="false">IFERROR(__xludf.dummyfunction("""COMPUTED_VALUE"""),"2026/03/16 19:04:03")</f>
        <v>2026/03/16 19:04:03</v>
      </c>
      <c r="B394" s="6"/>
      <c r="C394" s="6" t="str">
        <f aca="false">IFERROR(__xludf.dummyfunction("""COMPUTED_VALUE"""),"71078")</f>
        <v>71078</v>
      </c>
      <c r="D394" s="6"/>
      <c r="E394" s="6"/>
      <c r="F394" s="6"/>
      <c r="G394" s="6" t="str">
        <f aca="false">IFERROR(__xludf.dummyfunction("""COMPUTED_VALUE"""),"2026/04/01")</f>
        <v>2026/04/01</v>
      </c>
      <c r="H394" s="6" t="str">
        <f aca="false">IFERROR(__xludf.dummyfunction("""COMPUTED_VALUE"""),"必要")</f>
        <v>必要</v>
      </c>
      <c r="I394" s="6" t="str">
        <f aca="false">IFERROR(__xludf.dummyfunction("""COMPUTED_VALUE"""),"男性")</f>
        <v>男性</v>
      </c>
      <c r="J394" s="6" t="str">
        <f aca="false">IFERROR(__xludf.dummyfunction("""COMPUTED_VALUE"""),"日本")</f>
        <v>日本</v>
      </c>
      <c r="K394" s="6" t="str">
        <f aca="false">IFERROR(__xludf.dummyfunction("""COMPUTED_VALUE"""),"3")</f>
        <v>3</v>
      </c>
      <c r="L394" s="6" t="str">
        <f aca="false">IFERROR(__xludf.dummyfunction("""COMPUTED_VALUE"""),"炊飯器、ルータ、ノートPC")</f>
        <v>炊飯器、ルータ、ノートPC</v>
      </c>
      <c r="M394" s="6" t="str">
        <f aca="false">IFERROR(__xludf.dummyfunction("""COMPUTED_VALUE"""),"なし")</f>
        <v>なし</v>
      </c>
      <c r="N394" s="6" t="str">
        <f aca="false">IFERROR(__xludf.dummyfunction("""COMPUTED_VALUE"""),"衣類、調理器具")</f>
        <v>衣類、調理器具</v>
      </c>
      <c r="O394" s="6" t="str">
        <f aca="false">IFERROR(__xludf.dummyfunction("""COMPUTED_VALUE"""),"不要")</f>
        <v>不要</v>
      </c>
      <c r="P394" s="6"/>
      <c r="Q394" s="6"/>
      <c r="R394" s="6"/>
      <c r="S394" s="6" t="str">
        <f aca="false">IFERROR(__xludf.dummyfunction("""COMPUTED_VALUE"""),"家具家電付き社宅")</f>
        <v>家具家電付き社宅</v>
      </c>
      <c r="T394" s="6" t="str">
        <f aca="false">IFERROR(__xludf.dummyfunction("""COMPUTED_VALUE"""),"利用する")</f>
        <v>利用する</v>
      </c>
      <c r="U394" s="6" t="str">
        <f aca="false">IFERROR(__xludf.dummyfunction("""COMPUTED_VALUE"""),"敷布団、掛け布団")</f>
        <v>敷布団、掛け布団</v>
      </c>
      <c r="V394" s="6" t="str">
        <f aca="false">IFERROR(__xludf.dummyfunction("""COMPUTED_VALUE"""),"徒歩, 電車, バス")</f>
        <v>徒歩, 電車, バス</v>
      </c>
      <c r="W394" s="6"/>
      <c r="X394" s="6" t="str">
        <f aca="false">IFERROR(__xludf.dummyfunction("""COMPUTED_VALUE"""),"株式会社ビーネックステクノロジーズの社宅")</f>
        <v>株式会社ビーネックステクノロジーズの社宅</v>
      </c>
      <c r="Y394" s="6" t="str">
        <f aca="false">IFERROR(__xludf.dummyfunction("""COMPUTED_VALUE"""),"利用なし")</f>
        <v>利用なし</v>
      </c>
      <c r="Z394" s="6" t="str">
        <f aca="false">IFERROR(__xludf.dummyfunction("""COMPUTED_VALUE"""),"希望する")</f>
        <v>希望する</v>
      </c>
      <c r="AA394" s="6" t="str">
        <f aca="false">IFERROR(__xludf.dummyfunction("""COMPUTED_VALUE"""),"単身")</f>
        <v>単身</v>
      </c>
      <c r="AB394" s="6"/>
      <c r="AC394" s="6"/>
      <c r="AD394" s="6"/>
      <c r="AE394" s="6" t="str">
        <f aca="false">IFERROR(__xludf.dummyfunction("""COMPUTED_VALUE"""),"確認しました。")</f>
        <v>確認しました。</v>
      </c>
      <c r="AF394" s="6" t="str">
        <f aca="false">IFERROR(__xludf.dummyfunction("""COMPUTED_VALUE"""),"社宅基準の内容について確認しました")</f>
        <v>社宅基準の内容について確認しました</v>
      </c>
      <c r="AG394" s="6" t="str">
        <f aca="false">IFERROR(__xludf.dummyfunction("""COMPUTED_VALUE"""),"入居のしおりの内容についてご確認しました")</f>
        <v>入居のしおりの内容についてご確認しました</v>
      </c>
      <c r="AH394" s="6" t="str">
        <f aca="false">IFERROR(__xludf.dummyfunction("""COMPUTED_VALUE"""),"確認しました")</f>
        <v>確認しました</v>
      </c>
      <c r="AI394" s="6"/>
      <c r="AJ394" s="6" t="str">
        <v/>
      </c>
      <c r="AK394" s="6" t="str">
        <v/>
      </c>
      <c r="AL394" s="6" t="str">
        <v/>
      </c>
      <c r="AM394" s="6" t="str">
        <v/>
      </c>
      <c r="AN394" s="6" t="n">
        <f aca="false">FALSE()</f>
        <v>0</v>
      </c>
    </row>
    <row r="395" customFormat="false" ht="52.5" hidden="false" customHeight="true" outlineLevel="0" collapsed="false">
      <c r="A395" s="6" t="str">
        <f aca="false">IFERROR(__xludf.dummyfunction("""COMPUTED_VALUE"""),"2026/03/16 19:13:18")</f>
        <v>2026/03/16 19:13:18</v>
      </c>
      <c r="B395" s="6"/>
      <c r="C395" s="6" t="str">
        <f aca="false">IFERROR(__xludf.dummyfunction("""COMPUTED_VALUE"""),"71325")</f>
        <v>71325</v>
      </c>
      <c r="D395" s="6"/>
      <c r="E395" s="6"/>
      <c r="F395" s="6"/>
      <c r="G395" s="6" t="str">
        <f aca="false">IFERROR(__xludf.dummyfunction("""COMPUTED_VALUE"""),"2026/03/30")</f>
        <v>2026/03/30</v>
      </c>
      <c r="H395" s="6" t="str">
        <f aca="false">IFERROR(__xludf.dummyfunction("""COMPUTED_VALUE"""),"必要")</f>
        <v>必要</v>
      </c>
      <c r="I395" s="6" t="str">
        <f aca="false">IFERROR(__xludf.dummyfunction("""COMPUTED_VALUE"""),"男性")</f>
        <v>男性</v>
      </c>
      <c r="J395" s="6" t="str">
        <f aca="false">IFERROR(__xludf.dummyfunction("""COMPUTED_VALUE"""),"日本")</f>
        <v>日本</v>
      </c>
      <c r="K395" s="6" t="str">
        <f aca="false">IFERROR(__xludf.dummyfunction("""COMPUTED_VALUE"""),"20")</f>
        <v>20</v>
      </c>
      <c r="L395" s="6" t="str">
        <f aca="false">IFERROR(__xludf.dummyfunction("""COMPUTED_VALUE"""),"冷蔵庫家族用、電子レンジ2台、ドラム式洗濯機(640×600×1039)、ガスファンヒーター、液晶テレビ、デスクトップパソコン、液晶モニタ中、扇風機、サーキュレーター小、ガスコンロ×2")</f>
        <v>冷蔵庫家族用、電子レンジ2台、ドラム式洗濯機(640×600×1039)、ガスファンヒーター、液晶テレビ、デスクトップパソコン、液晶モニタ中、扇風機、サーキュレーター小、ガスコンロ×2</v>
      </c>
      <c r="M395" s="6" t="str">
        <f aca="false">IFERROR(__xludf.dummyfunction("""COMPUTED_VALUE"""),"メタルラック大2(150*40*180くらい)中1(100*40*130くらい)、本棚(1mほど)、ダイニングこたつ、ベッド用テーブル、シングルソファーベッド、椅子3つ、プラスチック棚")</f>
        <v>メタルラック大2(150*40*180くらい)中1(100*40*130くらい)、本棚(1mほど)、ダイニングこたつ、ベッド用テーブル、シングルソファーベッド、椅子3つ、プラスチック棚</v>
      </c>
      <c r="N395" s="6" t="str">
        <f aca="false">IFERROR(__xludf.dummyfunction("""COMPUTED_VALUE"""),"原付2台(うち1台は乗って新居に移動します)")</f>
        <v>原付2台(うち1台は乗って新居に移動します)</v>
      </c>
      <c r="O395" s="6" t="str">
        <f aca="false">IFERROR(__xludf.dummyfunction("""COMPUTED_VALUE"""),"不要")</f>
        <v>不要</v>
      </c>
      <c r="P395" s="6"/>
      <c r="Q395" s="6"/>
      <c r="R395" s="6"/>
      <c r="S395" s="6" t="str">
        <f aca="false">IFERROR(__xludf.dummyfunction("""COMPUTED_VALUE"""),"家具家電なし社宅")</f>
        <v>家具家電なし社宅</v>
      </c>
      <c r="T395" s="6" t="str">
        <f aca="false">IFERROR(__xludf.dummyfunction("""COMPUTED_VALUE"""),"利用しない")</f>
        <v>利用しない</v>
      </c>
      <c r="U395" s="6"/>
      <c r="V395" s="6" t="str">
        <f aca="false">IFERROR(__xludf.dummyfunction("""COMPUTED_VALUE"""),"徒歩, 社用バス, バイク")</f>
        <v>徒歩, 社用バス, バイク</v>
      </c>
      <c r="W395" s="6"/>
      <c r="X395" s="6" t="str">
        <f aca="false">IFERROR(__xludf.dummyfunction("""COMPUTED_VALUE"""),"株式会社ビーネックステクノロジーズの社宅")</f>
        <v>株式会社ビーネックステクノロジーズの社宅</v>
      </c>
      <c r="Y395" s="6" t="str">
        <f aca="false">IFERROR(__xludf.dummyfunction("""COMPUTED_VALUE"""),"利用無し")</f>
        <v>利用無し</v>
      </c>
      <c r="Z395" s="6" t="str">
        <f aca="false">IFERROR(__xludf.dummyfunction("""COMPUTED_VALUE"""),"希望しない")</f>
        <v>希望しない</v>
      </c>
      <c r="AA395" s="6" t="str">
        <f aca="false">IFERROR(__xludf.dummyfunction("""COMPUTED_VALUE"""),"単身")</f>
        <v>単身</v>
      </c>
      <c r="AB395" s="6"/>
      <c r="AC395" s="6"/>
      <c r="AD395" s="6" t="str">
        <f aca="false">IFERROR(__xludf.dummyfunction("""COMPUTED_VALUE"""),"単身の枠組みではありますが父が日本に来るときに滞在するので間取りは単身用でなくともいいと会社から許可を頂いております、そのため多少の金額の規定オーバーも仕方ない(自己負担)とも言われました。バス・トイレ別、ウォシュレット、室内洗濯機置き場、バイクが置けるスペースもしくは駐輪場、都市ガス、ガスコンロ対応、可能なら追い炊き機能、鉄筋系。基本はバイク通勤のつもりですが、雨の時は駅から社バスを使うつもりなので徒歩＋電車で久喜駅まで20分以内の場所が望ましいです")</f>
        <v>単身の枠組みではありますが父が日本に来るときに滞在するので間取りは単身用でなくともいいと会社から許可を頂いております、そのため多少の金額の規定オーバーも仕方ない(自己負担)とも言われました。バス・トイレ別、ウォシュレット、室内洗濯機置き場、バイクが置けるスペースもしくは駐輪場、都市ガス、ガスコンロ対応、可能なら追い炊き機能、鉄筋系。基本はバイク通勤のつもりですが、雨の時は駅から社バスを使うつもりなので徒歩＋電車で久喜駅まで20分以内の場所が望ましいです</v>
      </c>
      <c r="AE395" s="6" t="str">
        <f aca="false">IFERROR(__xludf.dummyfunction("""COMPUTED_VALUE"""),"確認しました。")</f>
        <v>確認しました。</v>
      </c>
      <c r="AF395" s="6" t="str">
        <f aca="false">IFERROR(__xludf.dummyfunction("""COMPUTED_VALUE"""),"社宅基準の内容について確認しました")</f>
        <v>社宅基準の内容について確認しました</v>
      </c>
      <c r="AG395" s="6" t="str">
        <f aca="false">IFERROR(__xludf.dummyfunction("""COMPUTED_VALUE"""),"入居のしおりの内容についてご確認しました")</f>
        <v>入居のしおりの内容についてご確認しました</v>
      </c>
      <c r="AH395" s="6" t="str">
        <f aca="false">IFERROR(__xludf.dummyfunction("""COMPUTED_VALUE"""),"確認しました")</f>
        <v>確認しました</v>
      </c>
      <c r="AI395" s="6"/>
      <c r="AJ395" s="6" t="str">
        <v/>
      </c>
      <c r="AK395" s="6" t="str">
        <v/>
      </c>
      <c r="AL395" s="6" t="str">
        <v/>
      </c>
      <c r="AM395" s="6" t="str">
        <v/>
      </c>
      <c r="AN395" s="6" t="n">
        <f aca="false">FALSE()</f>
        <v>0</v>
      </c>
    </row>
    <row r="396" customFormat="false" ht="52.5" hidden="false" customHeight="true" outlineLevel="0" collapsed="false">
      <c r="A396" s="6" t="str">
        <f aca="false">IFERROR(__xludf.dummyfunction("""COMPUTED_VALUE"""),"2026/03/16 20:38:05")</f>
        <v>2026/03/16 20:38:05</v>
      </c>
      <c r="B396" s="6"/>
      <c r="C396" s="6" t="str">
        <f aca="false">IFERROR(__xludf.dummyfunction("""COMPUTED_VALUE"""),"71383")</f>
        <v>71383</v>
      </c>
      <c r="D396" s="6"/>
      <c r="E396" s="6"/>
      <c r="F396" s="6"/>
      <c r="G396" s="6" t="str">
        <f aca="false">IFERROR(__xludf.dummyfunction("""COMPUTED_VALUE"""),"2026/03/29")</f>
        <v>2026/03/29</v>
      </c>
      <c r="H396" s="6" t="str">
        <f aca="false">IFERROR(__xludf.dummyfunction("""COMPUTED_VALUE"""),"不要")</f>
        <v>不要</v>
      </c>
      <c r="I396" s="6" t="str">
        <f aca="false">IFERROR(__xludf.dummyfunction("""COMPUTED_VALUE"""),"男性")</f>
        <v>男性</v>
      </c>
      <c r="J396" s="6" t="str">
        <f aca="false">IFERROR(__xludf.dummyfunction("""COMPUTED_VALUE"""),"日本")</f>
        <v>日本</v>
      </c>
      <c r="K396" s="6"/>
      <c r="L396" s="6"/>
      <c r="M396" s="6"/>
      <c r="N396" s="6"/>
      <c r="O396" s="6" t="str">
        <f aca="false">IFERROR(__xludf.dummyfunction("""COMPUTED_VALUE"""),"不要")</f>
        <v>不要</v>
      </c>
      <c r="P396" s="6"/>
      <c r="Q396" s="6"/>
      <c r="R396" s="6"/>
      <c r="S396" s="6" t="str">
        <f aca="false">IFERROR(__xludf.dummyfunction("""COMPUTED_VALUE"""),"家具家電なし社宅")</f>
        <v>家具家電なし社宅</v>
      </c>
      <c r="T396" s="6" t="str">
        <f aca="false">IFERROR(__xludf.dummyfunction("""COMPUTED_VALUE"""),"利用する")</f>
        <v>利用する</v>
      </c>
      <c r="U396" s="6" t="str">
        <f aca="false">IFERROR(__xludf.dummyfunction("""COMPUTED_VALUE"""),"ベット、ベット用マットレス、エアコン、電子レンジ、照明器具、炊飯器、全自動洗濯機、冷凍冷蔵庫170ℓ")</f>
        <v>ベット、ベット用マットレス、エアコン、電子レンジ、照明器具、炊飯器、全自動洗濯機、冷凍冷蔵庫170ℓ</v>
      </c>
      <c r="V396" s="6" t="str">
        <f aca="false">IFERROR(__xludf.dummyfunction("""COMPUTED_VALUE"""),"徒歩")</f>
        <v>徒歩</v>
      </c>
      <c r="W396" s="6"/>
      <c r="X396" s="6" t="str">
        <f aca="false">IFERROR(__xludf.dummyfunction("""COMPUTED_VALUE"""),"実家")</f>
        <v>実家</v>
      </c>
      <c r="Y396" s="6"/>
      <c r="Z396" s="6" t="str">
        <f aca="false">IFERROR(__xludf.dummyfunction("""COMPUTED_VALUE"""),"希望する")</f>
        <v>希望する</v>
      </c>
      <c r="AA396" s="6" t="str">
        <f aca="false">IFERROR(__xludf.dummyfunction("""COMPUTED_VALUE"""),"単身")</f>
        <v>単身</v>
      </c>
      <c r="AB396" s="6"/>
      <c r="AC396" s="6"/>
      <c r="AD396" s="6"/>
      <c r="AE396" s="6" t="str">
        <f aca="false">IFERROR(__xludf.dummyfunction("""COMPUTED_VALUE"""),"確認しました。")</f>
        <v>確認しました。</v>
      </c>
      <c r="AF396" s="6" t="str">
        <f aca="false">IFERROR(__xludf.dummyfunction("""COMPUTED_VALUE"""),"社宅基準の内容について確認しました")</f>
        <v>社宅基準の内容について確認しました</v>
      </c>
      <c r="AG396" s="6" t="str">
        <f aca="false">IFERROR(__xludf.dummyfunction("""COMPUTED_VALUE"""),"入居のしおりの内容についてご確認しました")</f>
        <v>入居のしおりの内容についてご確認しました</v>
      </c>
      <c r="AH396" s="6" t="str">
        <f aca="false">IFERROR(__xludf.dummyfunction("""COMPUTED_VALUE"""),"確認しました")</f>
        <v>確認しました</v>
      </c>
      <c r="AI396" s="6"/>
      <c r="AJ396" s="6" t="str">
        <v/>
      </c>
      <c r="AK396" s="6" t="str">
        <v/>
      </c>
      <c r="AL396" s="6" t="str">
        <v/>
      </c>
      <c r="AM396" s="6" t="str">
        <v/>
      </c>
      <c r="AN396" s="6" t="n">
        <f aca="false">FALSE()</f>
        <v>0</v>
      </c>
    </row>
    <row r="397" customFormat="false" ht="52.5" hidden="false" customHeight="true" outlineLevel="0" collapsed="false">
      <c r="A397" s="6" t="str">
        <f aca="false">IFERROR(__xludf.dummyfunction("""COMPUTED_VALUE"""),"2026/03/16 22:13:37")</f>
        <v>2026/03/16 22:13:37</v>
      </c>
      <c r="B397" s="6"/>
      <c r="C397" s="6" t="str">
        <f aca="false">IFERROR(__xludf.dummyfunction("""COMPUTED_VALUE"""),"71391")</f>
        <v>71391</v>
      </c>
      <c r="D397" s="6"/>
      <c r="E397" s="6"/>
      <c r="F397" s="6"/>
      <c r="G397" s="6" t="str">
        <f aca="false">IFERROR(__xludf.dummyfunction("""COMPUTED_VALUE"""),"2026/04/01")</f>
        <v>2026/04/01</v>
      </c>
      <c r="H397" s="6" t="str">
        <f aca="false">IFERROR(__xludf.dummyfunction("""COMPUTED_VALUE"""),"必要")</f>
        <v>必要</v>
      </c>
      <c r="I397" s="6" t="str">
        <f aca="false">IFERROR(__xludf.dummyfunction("""COMPUTED_VALUE"""),"男性")</f>
        <v>男性</v>
      </c>
      <c r="J397" s="6" t="str">
        <f aca="false">IFERROR(__xludf.dummyfunction("""COMPUTED_VALUE"""),"日本")</f>
        <v>日本</v>
      </c>
      <c r="K397" s="6" t="str">
        <f aca="false">IFERROR(__xludf.dummyfunction("""COMPUTED_VALUE"""),"20")</f>
        <v>20</v>
      </c>
      <c r="L397" s="6" t="str">
        <f aca="false">IFERROR(__xludf.dummyfunction("""COMPUTED_VALUE"""),"冷蔵庫(2ドア)
洗濯機
電子レンジ
炊飯機
ガスコンロ(IH)")</f>
        <v>冷蔵庫(2ドア)
洗濯機
電子レンジ
炊飯機
ガスコンロ(IH)</v>
      </c>
      <c r="M397" s="6" t="str">
        <f aca="false">IFERROR(__xludf.dummyfunction("""COMPUTED_VALUE"""),"フィギュア棚×2(50×38×120)
本棚(100×40×100)
本棚(90×160×60)
本棚(45×30×90)
本棚(60× 20×85)
本棚(45×20×90)
ハンガーラック(90×50×140)
アルミラック(90×140×45)")</f>
        <v>フィギュア棚×2(50×38×120)
本棚(100×40×100)
本棚(90×160×60)
本棚(45×30×90)
本棚(60× 20×85)
本棚(45×20×90)
ハンガーラック(90×50×140)
アルミラック(90×140×45)</v>
      </c>
      <c r="N397" s="6" t="str">
        <f aca="false">IFERROR(__xludf.dummyfunction("""COMPUTED_VALUE"""),"自転車")</f>
        <v>自転車</v>
      </c>
      <c r="O397" s="6" t="str">
        <f aca="false">IFERROR(__xludf.dummyfunction("""COMPUTED_VALUE"""),"不要")</f>
        <v>不要</v>
      </c>
      <c r="P397" s="6"/>
      <c r="Q397" s="6"/>
      <c r="R397" s="6"/>
      <c r="S397" s="6" t="str">
        <f aca="false">IFERROR(__xludf.dummyfunction("""COMPUTED_VALUE"""),"家具家電付き社宅")</f>
        <v>家具家電付き社宅</v>
      </c>
      <c r="T397" s="6" t="str">
        <f aca="false">IFERROR(__xludf.dummyfunction("""COMPUTED_VALUE"""),"利用しない")</f>
        <v>利用しない</v>
      </c>
      <c r="U397" s="6"/>
      <c r="V397" s="6" t="str">
        <f aca="false">IFERROR(__xludf.dummyfunction("""COMPUTED_VALUE"""),"自転車")</f>
        <v>自転車</v>
      </c>
      <c r="W397" s="6"/>
      <c r="X397" s="6" t="str">
        <f aca="false">IFERROR(__xludf.dummyfunction("""COMPUTED_VALUE"""),"実家")</f>
        <v>実家</v>
      </c>
      <c r="Y397" s="6"/>
      <c r="Z397" s="6" t="str">
        <f aca="false">IFERROR(__xludf.dummyfunction("""COMPUTED_VALUE"""),"希望する")</f>
        <v>希望する</v>
      </c>
      <c r="AA397" s="6" t="str">
        <f aca="false">IFERROR(__xludf.dummyfunction("""COMPUTED_VALUE"""),"単身")</f>
        <v>単身</v>
      </c>
      <c r="AB397" s="6"/>
      <c r="AC397" s="6"/>
      <c r="AD397" s="6" t="str">
        <f aca="false">IFERROR(__xludf.dummyfunction("""COMPUTED_VALUE"""),"ダンボールと一緒にプチプチも送って欲しいです。")</f>
        <v>ダンボールと一緒にプチプチも送って欲しいです。</v>
      </c>
      <c r="AE397" s="6" t="str">
        <f aca="false">IFERROR(__xludf.dummyfunction("""COMPUTED_VALUE"""),"確認しました。")</f>
        <v>確認しました。</v>
      </c>
      <c r="AF397" s="6" t="str">
        <f aca="false">IFERROR(__xludf.dummyfunction("""COMPUTED_VALUE"""),"社宅基準の内容について確認しました")</f>
        <v>社宅基準の内容について確認しました</v>
      </c>
      <c r="AG397" s="6" t="str">
        <f aca="false">IFERROR(__xludf.dummyfunction("""COMPUTED_VALUE"""),"入居のしおりの内容についてご確認しました")</f>
        <v>入居のしおりの内容についてご確認しました</v>
      </c>
      <c r="AH397" s="6" t="str">
        <f aca="false">IFERROR(__xludf.dummyfunction("""COMPUTED_VALUE"""),"確認しました")</f>
        <v>確認しました</v>
      </c>
      <c r="AI397" s="6"/>
      <c r="AJ397" s="6" t="str">
        <v/>
      </c>
      <c r="AK397" s="6" t="str">
        <v/>
      </c>
      <c r="AL397" s="6" t="str">
        <v/>
      </c>
      <c r="AM397" s="6" t="str">
        <v/>
      </c>
      <c r="AN397" s="6" t="n">
        <f aca="false">FALSE()</f>
        <v>0</v>
      </c>
    </row>
    <row r="398" customFormat="false" ht="52.5" hidden="false" customHeight="true" outlineLevel="0" collapsed="false">
      <c r="A398" s="6" t="str">
        <f aca="false">IFERROR(__xludf.dummyfunction("""COMPUTED_VALUE"""),"2026/03/16 22:20:50")</f>
        <v>2026/03/16 22:20:50</v>
      </c>
      <c r="B398" s="6"/>
      <c r="C398" s="6" t="str">
        <f aca="false">IFERROR(__xludf.dummyfunction("""COMPUTED_VALUE"""),"71429")</f>
        <v>71429</v>
      </c>
      <c r="D398" s="6"/>
      <c r="E398" s="6"/>
      <c r="F398" s="6"/>
      <c r="G398" s="6" t="str">
        <f aca="false">IFERROR(__xludf.dummyfunction("""COMPUTED_VALUE"""),"2026/03/21")</f>
        <v>2026/03/21</v>
      </c>
      <c r="H398" s="6" t="str">
        <f aca="false">IFERROR(__xludf.dummyfunction("""COMPUTED_VALUE"""),"必要")</f>
        <v>必要</v>
      </c>
      <c r="I398" s="6" t="str">
        <f aca="false">IFERROR(__xludf.dummyfunction("""COMPUTED_VALUE"""),"男性")</f>
        <v>男性</v>
      </c>
      <c r="J398" s="6" t="str">
        <f aca="false">IFERROR(__xludf.dummyfunction("""COMPUTED_VALUE"""),"日本")</f>
        <v>日本</v>
      </c>
      <c r="K398" s="6" t="str">
        <f aca="false">IFERROR(__xludf.dummyfunction("""COMPUTED_VALUE"""),"10")</f>
        <v>10</v>
      </c>
      <c r="L398" s="6" t="str">
        <f aca="false">IFERROR(__xludf.dummyfunction("""COMPUTED_VALUE"""),"無し")</f>
        <v>無し</v>
      </c>
      <c r="M398" s="6" t="str">
        <f aca="false">IFERROR(__xludf.dummyfunction("""COMPUTED_VALUE"""),"無し")</f>
        <v>無し</v>
      </c>
      <c r="N398" s="6"/>
      <c r="O398" s="6" t="str">
        <f aca="false">IFERROR(__xludf.dummyfunction("""COMPUTED_VALUE"""),"必要")</f>
        <v>必要</v>
      </c>
      <c r="P398" s="6" t="str">
        <f aca="false">IFERROR(__xludf.dummyfunction("""COMPUTED_VALUE"""),"プリウスα")</f>
        <v>プリウスα</v>
      </c>
      <c r="Q398" s="6" t="str">
        <f aca="false">IFERROR(__xludf.dummyfunction("""COMPUTED_VALUE"""),"つ78-69")</f>
        <v>つ78-69</v>
      </c>
      <c r="R398" s="6" t="str">
        <f aca="false">IFERROR(__xludf.dummyfunction("""COMPUTED_VALUE"""),"黒")</f>
        <v>黒</v>
      </c>
      <c r="S398" s="6" t="str">
        <f aca="false">IFERROR(__xludf.dummyfunction("""COMPUTED_VALUE"""),"家具家電なし社宅")</f>
        <v>家具家電なし社宅</v>
      </c>
      <c r="T398" s="6" t="str">
        <f aca="false">IFERROR(__xludf.dummyfunction("""COMPUTED_VALUE"""),"利用する")</f>
        <v>利用する</v>
      </c>
      <c r="U398" s="6" t="str">
        <f aca="false">IFERROR(__xludf.dummyfunction("""COMPUTED_VALUE"""),"寝具一式、地デジ液晶テレビ32インチ、テレビ台32インチ用、冷凍冷蔵庫170ℓ、全自動洗濯機、電子レンジ、電気湯沸かしポット、照明器具、炊飯器、エアコン、ローテーブル、")</f>
        <v>寝具一式、地デジ液晶テレビ32インチ、テレビ台32インチ用、冷凍冷蔵庫170ℓ、全自動洗濯機、電子レンジ、電気湯沸かしポット、照明器具、炊飯器、エアコン、ローテーブル、</v>
      </c>
      <c r="V398" s="6" t="str">
        <f aca="false">IFERROR(__xludf.dummyfunction("""COMPUTED_VALUE"""),"電車")</f>
        <v>電車</v>
      </c>
      <c r="W398" s="6"/>
      <c r="X398" s="6" t="str">
        <f aca="false">IFERROR(__xludf.dummyfunction("""COMPUTED_VALUE"""),"実家")</f>
        <v>実家</v>
      </c>
      <c r="Y398" s="6"/>
      <c r="Z398" s="6" t="str">
        <f aca="false">IFERROR(__xludf.dummyfunction("""COMPUTED_VALUE"""),"希望する")</f>
        <v>希望する</v>
      </c>
      <c r="AA398" s="6" t="str">
        <f aca="false">IFERROR(__xludf.dummyfunction("""COMPUTED_VALUE"""),"単身")</f>
        <v>単身</v>
      </c>
      <c r="AB398" s="6"/>
      <c r="AC398" s="6"/>
      <c r="AD398" s="6" t="str">
        <f aca="false">IFERROR(__xludf.dummyfunction("""COMPUTED_VALUE"""),"西九条駅周辺希望")</f>
        <v>西九条駅周辺希望</v>
      </c>
      <c r="AE398" s="6" t="str">
        <f aca="false">IFERROR(__xludf.dummyfunction("""COMPUTED_VALUE"""),"確認しました。")</f>
        <v>確認しました。</v>
      </c>
      <c r="AF398" s="6" t="str">
        <f aca="false">IFERROR(__xludf.dummyfunction("""COMPUTED_VALUE"""),"社宅基準の内容について確認しました")</f>
        <v>社宅基準の内容について確認しました</v>
      </c>
      <c r="AG398" s="6" t="str">
        <f aca="false">IFERROR(__xludf.dummyfunction("""COMPUTED_VALUE"""),"入居のしおりの内容についてご確認しました")</f>
        <v>入居のしおりの内容についてご確認しました</v>
      </c>
      <c r="AH398" s="6" t="str">
        <f aca="false">IFERROR(__xludf.dummyfunction("""COMPUTED_VALUE"""),"確認しました")</f>
        <v>確認しました</v>
      </c>
      <c r="AI398" s="6"/>
      <c r="AJ398" s="6" t="str">
        <v/>
      </c>
      <c r="AK398" s="6" t="str">
        <v/>
      </c>
      <c r="AL398" s="6" t="str">
        <v/>
      </c>
      <c r="AM398" s="6" t="str">
        <v/>
      </c>
      <c r="AN398" s="6" t="n">
        <f aca="false">FALSE()</f>
        <v>0</v>
      </c>
    </row>
    <row r="399" customFormat="false" ht="52.5" hidden="false" customHeight="true" outlineLevel="0" collapsed="false">
      <c r="A399" s="6" t="str">
        <f aca="false">IFERROR(__xludf.dummyfunction("""COMPUTED_VALUE"""),"2026/03/17 12:15:43")</f>
        <v>2026/03/17 12:15:43</v>
      </c>
      <c r="B399" s="6"/>
      <c r="C399" s="6" t="str">
        <f aca="false">IFERROR(__xludf.dummyfunction("""COMPUTED_VALUE"""),"71381")</f>
        <v>71381</v>
      </c>
      <c r="D399" s="6"/>
      <c r="E399" s="6"/>
      <c r="F399" s="6"/>
      <c r="G399" s="6" t="str">
        <f aca="false">IFERROR(__xludf.dummyfunction("""COMPUTED_VALUE"""),"2026/03/20")</f>
        <v>2026/03/20</v>
      </c>
      <c r="H399" s="6" t="str">
        <f aca="false">IFERROR(__xludf.dummyfunction("""COMPUTED_VALUE"""),"不要")</f>
        <v>不要</v>
      </c>
      <c r="I399" s="6" t="str">
        <f aca="false">IFERROR(__xludf.dummyfunction("""COMPUTED_VALUE"""),"男性")</f>
        <v>男性</v>
      </c>
      <c r="J399" s="6" t="str">
        <f aca="false">IFERROR(__xludf.dummyfunction("""COMPUTED_VALUE"""),"日本")</f>
        <v>日本</v>
      </c>
      <c r="K399" s="6"/>
      <c r="L399" s="6"/>
      <c r="M399" s="6"/>
      <c r="N399" s="6"/>
      <c r="O399" s="6" t="str">
        <f aca="false">IFERROR(__xludf.dummyfunction("""COMPUTED_VALUE"""),"不要")</f>
        <v>不要</v>
      </c>
      <c r="P399" s="6"/>
      <c r="Q399" s="6"/>
      <c r="R399" s="6"/>
      <c r="S399" s="6" t="str">
        <f aca="false">IFERROR(__xludf.dummyfunction("""COMPUTED_VALUE"""),"家具家電なし社宅")</f>
        <v>家具家電なし社宅</v>
      </c>
      <c r="T399" s="6" t="str">
        <f aca="false">IFERROR(__xludf.dummyfunction("""COMPUTED_VALUE"""),"利用しない")</f>
        <v>利用しない</v>
      </c>
      <c r="U399" s="6"/>
      <c r="V399" s="6" t="str">
        <f aca="false">IFERROR(__xludf.dummyfunction("""COMPUTED_VALUE"""),"徒歩, 自転車, 電車, バス, 社用バス")</f>
        <v>徒歩, 自転車, 電車, バス, 社用バス</v>
      </c>
      <c r="W399" s="6"/>
      <c r="X399" s="6" t="str">
        <f aca="false">IFERROR(__xludf.dummyfunction("""COMPUTED_VALUE"""),"ご自身で契約中の物件")</f>
        <v>ご自身で契約中の物件</v>
      </c>
      <c r="Y399" s="6"/>
      <c r="Z399" s="6" t="str">
        <f aca="false">IFERROR(__xludf.dummyfunction("""COMPUTED_VALUE"""),"希望する")</f>
        <v>希望する</v>
      </c>
      <c r="AA399" s="6" t="str">
        <f aca="false">IFERROR(__xludf.dummyfunction("""COMPUTED_VALUE"""),"単身")</f>
        <v>単身</v>
      </c>
      <c r="AB399" s="6"/>
      <c r="AC399" s="6"/>
      <c r="AD399" s="6" t="str">
        <f aca="false">IFERROR(__xludf.dummyfunction("""COMPUTED_VALUE"""),"
※緊急連絡先の記載に不備があったので再度送信しています。
引越し予定日を3/20としていますが
それ以降となる場合、引越し業者が必要になる可能性があります。
父の自家用車で荷物を持ち出す想定で日程を登録しているので可能であれば調整していただきたいです。
無理なお願いかもしれませんが、よろしくお願いいたします。")</f>
        <v>
※緊急連絡先の記載に不備があったので再度送信しています。
引越し予定日を3/20としていますが
それ以降となる場合、引越し業者が必要になる可能性があります。
父の自家用車で荷物を持ち出す想定で日程を登録しているので可能であれば調整していただきたいです。
無理なお願いかもしれませんが、よろしくお願いいたします。</v>
      </c>
      <c r="AE399" s="6" t="str">
        <f aca="false">IFERROR(__xludf.dummyfunction("""COMPUTED_VALUE"""),"確認しました。")</f>
        <v>確認しました。</v>
      </c>
      <c r="AF399" s="6" t="str">
        <f aca="false">IFERROR(__xludf.dummyfunction("""COMPUTED_VALUE"""),"社宅基準の内容について確認しました")</f>
        <v>社宅基準の内容について確認しました</v>
      </c>
      <c r="AG399" s="6" t="str">
        <f aca="false">IFERROR(__xludf.dummyfunction("""COMPUTED_VALUE"""),"入居のしおりの内容についてご確認しました")</f>
        <v>入居のしおりの内容についてご確認しました</v>
      </c>
      <c r="AH399" s="6" t="str">
        <f aca="false">IFERROR(__xludf.dummyfunction("""COMPUTED_VALUE"""),"確認しました")</f>
        <v>確認しました</v>
      </c>
      <c r="AI399" s="6"/>
      <c r="AJ399" s="6" t="str">
        <v/>
      </c>
      <c r="AK399" s="6" t="str">
        <v/>
      </c>
      <c r="AL399" s="6" t="str">
        <v/>
      </c>
      <c r="AM399" s="6" t="str">
        <v/>
      </c>
      <c r="AN399" s="6" t="n">
        <f aca="false">FALSE()</f>
        <v>0</v>
      </c>
    </row>
    <row r="400" customFormat="false" ht="52.5" hidden="false" customHeight="true" outlineLevel="0" collapsed="false">
      <c r="A400" s="6" t="str">
        <f aca="false">IFERROR(__xludf.dummyfunction("""COMPUTED_VALUE"""),"2026/03/17 12:17:58")</f>
        <v>2026/03/17 12:17:58</v>
      </c>
      <c r="B400" s="6"/>
      <c r="C400" s="6" t="str">
        <f aca="false">IFERROR(__xludf.dummyfunction("""COMPUTED_VALUE"""),"71416")</f>
        <v>71416</v>
      </c>
      <c r="D400" s="6"/>
      <c r="E400" s="6"/>
      <c r="F400" s="6"/>
      <c r="G400" s="6" t="str">
        <f aca="false">IFERROR(__xludf.dummyfunction("""COMPUTED_VALUE"""),"2026/03/26")</f>
        <v>2026/03/26</v>
      </c>
      <c r="H400" s="6" t="str">
        <f aca="false">IFERROR(__xludf.dummyfunction("""COMPUTED_VALUE"""),"必要")</f>
        <v>必要</v>
      </c>
      <c r="I400" s="6" t="str">
        <f aca="false">IFERROR(__xludf.dummyfunction("""COMPUTED_VALUE"""),"女性")</f>
        <v>女性</v>
      </c>
      <c r="J400" s="6" t="str">
        <f aca="false">IFERROR(__xludf.dummyfunction("""COMPUTED_VALUE"""),"インド")</f>
        <v>インド</v>
      </c>
      <c r="K400" s="6" t="str">
        <f aca="false">IFERROR(__xludf.dummyfunction("""COMPUTED_VALUE"""),"10")</f>
        <v>10</v>
      </c>
      <c r="L400" s="6" t="str">
        <f aca="false">IFERROR(__xludf.dummyfunction("""COMPUTED_VALUE"""),"ー")</f>
        <v>ー</v>
      </c>
      <c r="M400" s="6" t="str">
        <f aca="false">IFERROR(__xludf.dummyfunction("""COMPUTED_VALUE"""),"ー")</f>
        <v>ー</v>
      </c>
      <c r="N400" s="6" t="str">
        <f aca="false">IFERROR(__xludf.dummyfunction("""COMPUTED_VALUE"""),"ー")</f>
        <v>ー</v>
      </c>
      <c r="O400" s="6" t="str">
        <f aca="false">IFERROR(__xludf.dummyfunction("""COMPUTED_VALUE"""),"不要")</f>
        <v>不要</v>
      </c>
      <c r="P400" s="6"/>
      <c r="Q400" s="6"/>
      <c r="R400" s="6"/>
      <c r="S400" s="6" t="str">
        <f aca="false">IFERROR(__xludf.dummyfunction("""COMPUTED_VALUE"""),"家具家電付き社宅")</f>
        <v>家具家電付き社宅</v>
      </c>
      <c r="T400" s="6" t="str">
        <f aca="false">IFERROR(__xludf.dummyfunction("""COMPUTED_VALUE"""),"利用しない")</f>
        <v>利用しない</v>
      </c>
      <c r="U400" s="6"/>
      <c r="V400" s="6" t="str">
        <f aca="false">IFERROR(__xludf.dummyfunction("""COMPUTED_VALUE"""),"徒歩")</f>
        <v>徒歩</v>
      </c>
      <c r="W400" s="6"/>
      <c r="X400" s="6" t="str">
        <f aca="false">IFERROR(__xludf.dummyfunction("""COMPUTED_VALUE"""),"株式会社ビーネックステクノロジーズの社宅")</f>
        <v>株式会社ビーネックステクノロジーズの社宅</v>
      </c>
      <c r="Y400" s="6" t="str">
        <f aca="false">IFERROR(__xludf.dummyfunction("""COMPUTED_VALUE"""),"利用なし")</f>
        <v>利用なし</v>
      </c>
      <c r="Z400" s="6" t="str">
        <f aca="false">IFERROR(__xludf.dummyfunction("""COMPUTED_VALUE"""),"希望する")</f>
        <v>希望する</v>
      </c>
      <c r="AA400" s="6" t="str">
        <f aca="false">IFERROR(__xludf.dummyfunction("""COMPUTED_VALUE"""),"単身")</f>
        <v>単身</v>
      </c>
      <c r="AB400" s="6"/>
      <c r="AC400" s="6"/>
      <c r="AD400" s="6" t="str">
        <f aca="false">IFERROR(__xludf.dummyfunction("""COMPUTED_VALUE"""),"ー")</f>
        <v>ー</v>
      </c>
      <c r="AE400" s="6" t="str">
        <f aca="false">IFERROR(__xludf.dummyfunction("""COMPUTED_VALUE"""),"確認しました。")</f>
        <v>確認しました。</v>
      </c>
      <c r="AF400" s="6" t="str">
        <f aca="false">IFERROR(__xludf.dummyfunction("""COMPUTED_VALUE"""),"社宅基準の内容について確認しました")</f>
        <v>社宅基準の内容について確認しました</v>
      </c>
      <c r="AG400" s="6" t="str">
        <f aca="false">IFERROR(__xludf.dummyfunction("""COMPUTED_VALUE"""),"入居のしおりの内容についてご確認しました")</f>
        <v>入居のしおりの内容についてご確認しました</v>
      </c>
      <c r="AH400" s="6" t="str">
        <f aca="false">IFERROR(__xludf.dummyfunction("""COMPUTED_VALUE"""),"確認しました")</f>
        <v>確認しました</v>
      </c>
      <c r="AI400" s="6"/>
      <c r="AJ400" s="6" t="str">
        <v/>
      </c>
      <c r="AK400" s="6" t="str">
        <v/>
      </c>
      <c r="AL400" s="6" t="str">
        <v/>
      </c>
      <c r="AM400" s="6" t="str">
        <v/>
      </c>
      <c r="AN400" s="6" t="n">
        <f aca="false">FALSE()</f>
        <v>0</v>
      </c>
    </row>
    <row r="401" customFormat="false" ht="52.5" hidden="false" customHeight="true" outlineLevel="0" collapsed="false">
      <c r="A401" s="6" t="str">
        <f aca="false">IFERROR(__xludf.dummyfunction("""COMPUTED_VALUE"""),"2026/03/17 14:39:53")</f>
        <v>2026/03/17 14:39:53</v>
      </c>
      <c r="B401" s="6"/>
      <c r="C401" s="6" t="str">
        <f aca="false">IFERROR(__xludf.dummyfunction("""COMPUTED_VALUE"""),"71414")</f>
        <v>71414</v>
      </c>
      <c r="D401" s="6"/>
      <c r="E401" s="6"/>
      <c r="F401" s="6"/>
      <c r="G401" s="6" t="str">
        <f aca="false">IFERROR(__xludf.dummyfunction("""COMPUTED_VALUE"""),"2026/03/27")</f>
        <v>2026/03/27</v>
      </c>
      <c r="H401" s="6" t="str">
        <f aca="false">IFERROR(__xludf.dummyfunction("""COMPUTED_VALUE"""),"必要")</f>
        <v>必要</v>
      </c>
      <c r="I401" s="6" t="str">
        <f aca="false">IFERROR(__xludf.dummyfunction("""COMPUTED_VALUE"""),"男性")</f>
        <v>男性</v>
      </c>
      <c r="J401" s="6" t="str">
        <f aca="false">IFERROR(__xludf.dummyfunction("""COMPUTED_VALUE"""),"日本")</f>
        <v>日本</v>
      </c>
      <c r="K401" s="6" t="str">
        <f aca="false">IFERROR(__xludf.dummyfunction("""COMPUTED_VALUE"""),"12")</f>
        <v>12</v>
      </c>
      <c r="L401" s="6" t="str">
        <f aca="false">IFERROR(__xludf.dummyfunction("""COMPUTED_VALUE"""),"特に無し")</f>
        <v>特に無し</v>
      </c>
      <c r="M401" s="6" t="str">
        <f aca="false">IFERROR(__xludf.dummyfunction("""COMPUTED_VALUE"""),"幅75.奥行45.高さ60")</f>
        <v>幅75.奥行45.高さ60</v>
      </c>
      <c r="N401" s="6" t="str">
        <f aca="false">IFERROR(__xludf.dummyfunction("""COMPUTED_VALUE"""),"無し")</f>
        <v>無し</v>
      </c>
      <c r="O401" s="6" t="str">
        <f aca="false">IFERROR(__xludf.dummyfunction("""COMPUTED_VALUE"""),"不要")</f>
        <v>不要</v>
      </c>
      <c r="P401" s="6"/>
      <c r="Q401" s="6"/>
      <c r="R401" s="6"/>
      <c r="S401" s="6" t="str">
        <f aca="false">IFERROR(__xludf.dummyfunction("""COMPUTED_VALUE"""),"家具家電付き社宅")</f>
        <v>家具家電付き社宅</v>
      </c>
      <c r="T401" s="6" t="str">
        <f aca="false">IFERROR(__xludf.dummyfunction("""COMPUTED_VALUE"""),"利用しない")</f>
        <v>利用しない</v>
      </c>
      <c r="U401" s="6"/>
      <c r="V401" s="6" t="str">
        <f aca="false">IFERROR(__xludf.dummyfunction("""COMPUTED_VALUE"""),"徒歩, 電車, バス")</f>
        <v>徒歩, 電車, バス</v>
      </c>
      <c r="W401" s="6"/>
      <c r="X401" s="6" t="str">
        <f aca="false">IFERROR(__xludf.dummyfunction("""COMPUTED_VALUE"""),"株式会社ビーネックステクノロジーズの社宅")</f>
        <v>株式会社ビーネックステクノロジーズの社宅</v>
      </c>
      <c r="Y401" s="6" t="str">
        <f aca="false">IFERROR(__xludf.dummyfunction("""COMPUTED_VALUE"""),"利用なし")</f>
        <v>利用なし</v>
      </c>
      <c r="Z401" s="6" t="str">
        <f aca="false">IFERROR(__xludf.dummyfunction("""COMPUTED_VALUE"""),"希望する")</f>
        <v>希望する</v>
      </c>
      <c r="AA401" s="6" t="str">
        <f aca="false">IFERROR(__xludf.dummyfunction("""COMPUTED_VALUE"""),"単身")</f>
        <v>単身</v>
      </c>
      <c r="AB401" s="6"/>
      <c r="AC401" s="6"/>
      <c r="AD401" s="6"/>
      <c r="AE401" s="6" t="str">
        <f aca="false">IFERROR(__xludf.dummyfunction("""COMPUTED_VALUE"""),"確認しました。")</f>
        <v>確認しました。</v>
      </c>
      <c r="AF401" s="6" t="str">
        <f aca="false">IFERROR(__xludf.dummyfunction("""COMPUTED_VALUE"""),"社宅基準の内容について確認しました")</f>
        <v>社宅基準の内容について確認しました</v>
      </c>
      <c r="AG401" s="6" t="str">
        <f aca="false">IFERROR(__xludf.dummyfunction("""COMPUTED_VALUE"""),"入居のしおりの内容についてご確認しました")</f>
        <v>入居のしおりの内容についてご確認しました</v>
      </c>
      <c r="AH401" s="6" t="str">
        <f aca="false">IFERROR(__xludf.dummyfunction("""COMPUTED_VALUE"""),"確認しました")</f>
        <v>確認しました</v>
      </c>
      <c r="AI401" s="6"/>
      <c r="AJ401" s="6" t="str">
        <v/>
      </c>
      <c r="AK401" s="6" t="str">
        <v/>
      </c>
      <c r="AL401" s="6" t="str">
        <v/>
      </c>
      <c r="AM401" s="6" t="str">
        <v/>
      </c>
      <c r="AN401" s="6" t="n">
        <f aca="false">FALSE()</f>
        <v>0</v>
      </c>
    </row>
    <row r="402" customFormat="false" ht="52.5" hidden="false" customHeight="true" outlineLevel="0" collapsed="false">
      <c r="A402" s="6" t="str">
        <f aca="false">IFERROR(__xludf.dummyfunction("""COMPUTED_VALUE"""),"2026/03/17 17:29:19")</f>
        <v>2026/03/17 17:29:19</v>
      </c>
      <c r="B402" s="6"/>
      <c r="C402" s="6" t="str">
        <f aca="false">IFERROR(__xludf.dummyfunction("""COMPUTED_VALUE"""),"71473")</f>
        <v>71473</v>
      </c>
      <c r="D402" s="6"/>
      <c r="E402" s="6"/>
      <c r="F402" s="6"/>
      <c r="G402" s="6" t="str">
        <f aca="false">IFERROR(__xludf.dummyfunction("""COMPUTED_VALUE"""),"2026/04/13")</f>
        <v>2026/04/13</v>
      </c>
      <c r="H402" s="6" t="str">
        <f aca="false">IFERROR(__xludf.dummyfunction("""COMPUTED_VALUE"""),"必要")</f>
        <v>必要</v>
      </c>
      <c r="I402" s="6" t="str">
        <f aca="false">IFERROR(__xludf.dummyfunction("""COMPUTED_VALUE"""),"男性")</f>
        <v>男性</v>
      </c>
      <c r="J402" s="6" t="str">
        <f aca="false">IFERROR(__xludf.dummyfunction("""COMPUTED_VALUE"""),"日本")</f>
        <v>日本</v>
      </c>
      <c r="K402" s="6" t="str">
        <f aca="false">IFERROR(__xludf.dummyfunction("""COMPUTED_VALUE"""),"8")</f>
        <v>8</v>
      </c>
      <c r="L402" s="6" t="str">
        <f aca="false">IFERROR(__xludf.dummyfunction("""COMPUTED_VALUE"""),"冷蔵庫家族用 ドラム式洗濯機640×600×1,039mm")</f>
        <v>冷蔵庫家族用 ドラム式洗濯機640×600×1,039mm</v>
      </c>
      <c r="M402" s="6" t="str">
        <f aca="false">IFERROR(__xludf.dummyfunction("""COMPUTED_VALUE"""),"ベッドジングル 机 椅子")</f>
        <v>ベッドジングル 机 椅子</v>
      </c>
      <c r="N402" s="6"/>
      <c r="O402" s="6" t="str">
        <f aca="false">IFERROR(__xludf.dummyfunction("""COMPUTED_VALUE"""),"必要")</f>
        <v>必要</v>
      </c>
      <c r="P402" s="6" t="str">
        <f aca="false">IFERROR(__xludf.dummyfunction("""COMPUTED_VALUE"""),"スズキ キザシ")</f>
        <v>スズキ キザシ</v>
      </c>
      <c r="Q402" s="6" t="str">
        <f aca="false">IFERROR(__xludf.dummyfunction("""COMPUTED_VALUE"""),"千葉331 た50−31")</f>
        <v>千葉331 た50−31</v>
      </c>
      <c r="R402" s="6" t="str">
        <f aca="false">IFERROR(__xludf.dummyfunction("""COMPUTED_VALUE"""),"黒")</f>
        <v>黒</v>
      </c>
      <c r="S402" s="6" t="str">
        <f aca="false">IFERROR(__xludf.dummyfunction("""COMPUTED_VALUE"""),"家具家電なし社宅")</f>
        <v>家具家電なし社宅</v>
      </c>
      <c r="T402" s="6" t="str">
        <f aca="false">IFERROR(__xludf.dummyfunction("""COMPUTED_VALUE"""),"利用しない")</f>
        <v>利用しない</v>
      </c>
      <c r="U402" s="6"/>
      <c r="V402" s="6" t="str">
        <f aca="false">IFERROR(__xludf.dummyfunction("""COMPUTED_VALUE"""),"徒歩, 自転車, 電車")</f>
        <v>徒歩, 自転車, 電車</v>
      </c>
      <c r="W402" s="6"/>
      <c r="X402" s="6" t="str">
        <f aca="false">IFERROR(__xludf.dummyfunction("""COMPUTED_VALUE"""),"ご自身で契約中の物件")</f>
        <v>ご自身で契約中の物件</v>
      </c>
      <c r="Y402" s="6"/>
      <c r="Z402" s="6" t="str">
        <f aca="false">IFERROR(__xludf.dummyfunction("""COMPUTED_VALUE"""),"希望しない")</f>
        <v>希望しない</v>
      </c>
      <c r="AA402" s="6" t="str">
        <f aca="false">IFERROR(__xludf.dummyfunction("""COMPUTED_VALUE"""),"単身")</f>
        <v>単身</v>
      </c>
      <c r="AB402" s="6"/>
      <c r="AC402" s="6"/>
      <c r="AD402" s="6"/>
      <c r="AE402" s="6" t="str">
        <f aca="false">IFERROR(__xludf.dummyfunction("""COMPUTED_VALUE"""),"確認しました。")</f>
        <v>確認しました。</v>
      </c>
      <c r="AF402" s="6" t="str">
        <f aca="false">IFERROR(__xludf.dummyfunction("""COMPUTED_VALUE"""),"社宅基準の内容について確認しました")</f>
        <v>社宅基準の内容について確認しました</v>
      </c>
      <c r="AG402" s="6" t="str">
        <f aca="false">IFERROR(__xludf.dummyfunction("""COMPUTED_VALUE"""),"入居のしおりの内容についてご確認しました")</f>
        <v>入居のしおりの内容についてご確認しました</v>
      </c>
      <c r="AH402" s="6" t="str">
        <f aca="false">IFERROR(__xludf.dummyfunction("""COMPUTED_VALUE"""),"確認しました")</f>
        <v>確認しました</v>
      </c>
      <c r="AI402" s="6"/>
      <c r="AJ402" s="6" t="str">
        <v/>
      </c>
      <c r="AK402" s="6" t="str">
        <v/>
      </c>
      <c r="AL402" s="6" t="str">
        <v/>
      </c>
      <c r="AM402" s="6" t="str">
        <v/>
      </c>
      <c r="AN402" s="6" t="n">
        <f aca="false">FALSE()</f>
        <v>0</v>
      </c>
    </row>
    <row r="403" customFormat="false" ht="52.5" hidden="false" customHeight="true" outlineLevel="0" collapsed="false">
      <c r="A403" s="6" t="str">
        <f aca="false">IFERROR(__xludf.dummyfunction("""COMPUTED_VALUE"""),"2026/03/17 18:34:49")</f>
        <v>2026/03/17 18:34:49</v>
      </c>
      <c r="B403" s="6"/>
      <c r="C403" s="6" t="str">
        <f aca="false">IFERROR(__xludf.dummyfunction("""COMPUTED_VALUE"""),"71312")</f>
        <v>71312</v>
      </c>
      <c r="D403" s="6"/>
      <c r="E403" s="6"/>
      <c r="F403" s="6"/>
      <c r="G403" s="6" t="str">
        <f aca="false">IFERROR(__xludf.dummyfunction("""COMPUTED_VALUE"""),"2026/03/30")</f>
        <v>2026/03/30</v>
      </c>
      <c r="H403" s="6" t="str">
        <f aca="false">IFERROR(__xludf.dummyfunction("""COMPUTED_VALUE"""),"不要")</f>
        <v>不要</v>
      </c>
      <c r="I403" s="6" t="str">
        <f aca="false">IFERROR(__xludf.dummyfunction("""COMPUTED_VALUE"""),"男性")</f>
        <v>男性</v>
      </c>
      <c r="J403" s="6" t="str">
        <f aca="false">IFERROR(__xludf.dummyfunction("""COMPUTED_VALUE"""),"日本")</f>
        <v>日本</v>
      </c>
      <c r="K403" s="6"/>
      <c r="L403" s="6"/>
      <c r="M403" s="6"/>
      <c r="N403" s="6"/>
      <c r="O403" s="6" t="str">
        <f aca="false">IFERROR(__xludf.dummyfunction("""COMPUTED_VALUE"""),"不要")</f>
        <v>不要</v>
      </c>
      <c r="P403" s="6"/>
      <c r="Q403" s="6"/>
      <c r="R403" s="6"/>
      <c r="S403" s="6" t="str">
        <f aca="false">IFERROR(__xludf.dummyfunction("""COMPUTED_VALUE"""),"家具家電なし社宅")</f>
        <v>家具家電なし社宅</v>
      </c>
      <c r="T403" s="6" t="str">
        <f aca="false">IFERROR(__xludf.dummyfunction("""COMPUTED_VALUE"""),"利用しない")</f>
        <v>利用しない</v>
      </c>
      <c r="U403" s="6"/>
      <c r="V403" s="6" t="str">
        <f aca="false">IFERROR(__xludf.dummyfunction("""COMPUTED_VALUE"""),"徒歩, 自転車, 電車, バス, 社用バス")</f>
        <v>徒歩, 自転車, 電車, バス, 社用バス</v>
      </c>
      <c r="W403" s="6"/>
      <c r="X403" s="6" t="str">
        <f aca="false">IFERROR(__xludf.dummyfunction("""COMPUTED_VALUE"""),"ご自身で契約中の物件")</f>
        <v>ご自身で契約中の物件</v>
      </c>
      <c r="Y403" s="6"/>
      <c r="Z403" s="6" t="str">
        <f aca="false">IFERROR(__xludf.dummyfunction("""COMPUTED_VALUE"""),"希望する")</f>
        <v>希望する</v>
      </c>
      <c r="AA403" s="6" t="str">
        <f aca="false">IFERROR(__xludf.dummyfunction("""COMPUTED_VALUE"""),"単身")</f>
        <v>単身</v>
      </c>
      <c r="AB403" s="6"/>
      <c r="AC403" s="6"/>
      <c r="AD403" s="6" t="str">
        <f aca="false">IFERROR(__xludf.dummyfunction("""COMPUTED_VALUE"""),"風呂とトイレが別、浴室乾燥あり、宅配BOXあり")</f>
        <v>風呂とトイレが別、浴室乾燥あり、宅配BOXあり</v>
      </c>
      <c r="AE403" s="6" t="str">
        <f aca="false">IFERROR(__xludf.dummyfunction("""COMPUTED_VALUE"""),"確認しました。")</f>
        <v>確認しました。</v>
      </c>
      <c r="AF403" s="6" t="str">
        <f aca="false">IFERROR(__xludf.dummyfunction("""COMPUTED_VALUE"""),"社宅基準の内容について確認しました")</f>
        <v>社宅基準の内容について確認しました</v>
      </c>
      <c r="AG403" s="6" t="str">
        <f aca="false">IFERROR(__xludf.dummyfunction("""COMPUTED_VALUE"""),"入居のしおりの内容についてご確認しました")</f>
        <v>入居のしおりの内容についてご確認しました</v>
      </c>
      <c r="AH403" s="6" t="str">
        <f aca="false">IFERROR(__xludf.dummyfunction("""COMPUTED_VALUE"""),"確認しました")</f>
        <v>確認しました</v>
      </c>
      <c r="AI403" s="6"/>
      <c r="AJ403" s="6" t="str">
        <v/>
      </c>
      <c r="AK403" s="6" t="str">
        <v/>
      </c>
      <c r="AL403" s="6" t="str">
        <v/>
      </c>
      <c r="AM403" s="6" t="str">
        <v/>
      </c>
      <c r="AN403" s="6" t="n">
        <f aca="false">FALSE()</f>
        <v>0</v>
      </c>
    </row>
    <row r="404" customFormat="false" ht="52.5" hidden="false" customHeight="true" outlineLevel="0" collapsed="false">
      <c r="A404" s="6" t="str">
        <f aca="false">IFERROR(__xludf.dummyfunction("""COMPUTED_VALUE"""),"2026/03/17 18:50:30")</f>
        <v>2026/03/17 18:50:30</v>
      </c>
      <c r="B404" s="6"/>
      <c r="C404" s="6" t="str">
        <f aca="false">IFERROR(__xludf.dummyfunction("""COMPUTED_VALUE"""),"71478")</f>
        <v>71478</v>
      </c>
      <c r="D404" s="6"/>
      <c r="E404" s="6"/>
      <c r="F404" s="6"/>
      <c r="G404" s="6" t="str">
        <f aca="false">IFERROR(__xludf.dummyfunction("""COMPUTED_VALUE"""),"2026/03/28")</f>
        <v>2026/03/28</v>
      </c>
      <c r="H404" s="6" t="str">
        <f aca="false">IFERROR(__xludf.dummyfunction("""COMPUTED_VALUE"""),"必要")</f>
        <v>必要</v>
      </c>
      <c r="I404" s="6" t="str">
        <f aca="false">IFERROR(__xludf.dummyfunction("""COMPUTED_VALUE"""),"男性")</f>
        <v>男性</v>
      </c>
      <c r="J404" s="6" t="str">
        <f aca="false">IFERROR(__xludf.dummyfunction("""COMPUTED_VALUE"""),"日本")</f>
        <v>日本</v>
      </c>
      <c r="K404" s="6" t="str">
        <f aca="false">IFERROR(__xludf.dummyfunction("""COMPUTED_VALUE"""),"10")</f>
        <v>10</v>
      </c>
      <c r="L404" s="6" t="str">
        <f aca="false">IFERROR(__xludf.dummyfunction("""COMPUTED_VALUE"""),"なし")</f>
        <v>なし</v>
      </c>
      <c r="M404" s="6" t="str">
        <f aca="false">IFERROR(__xludf.dummyfunction("""COMPUTED_VALUE"""),"ベッドシングル")</f>
        <v>ベッドシングル</v>
      </c>
      <c r="N404" s="6" t="str">
        <f aca="false">IFERROR(__xludf.dummyfunction("""COMPUTED_VALUE"""),"自転車")</f>
        <v>自転車</v>
      </c>
      <c r="O404" s="6" t="str">
        <f aca="false">IFERROR(__xludf.dummyfunction("""COMPUTED_VALUE"""),"不要")</f>
        <v>不要</v>
      </c>
      <c r="P404" s="6"/>
      <c r="Q404" s="6"/>
      <c r="R404" s="6"/>
      <c r="S404" s="6" t="str">
        <f aca="false">IFERROR(__xludf.dummyfunction("""COMPUTED_VALUE"""),"家具家電付き社宅")</f>
        <v>家具家電付き社宅</v>
      </c>
      <c r="T404" s="6" t="str">
        <f aca="false">IFERROR(__xludf.dummyfunction("""COMPUTED_VALUE"""),"利用しない")</f>
        <v>利用しない</v>
      </c>
      <c r="U404" s="6"/>
      <c r="V404" s="6" t="str">
        <f aca="false">IFERROR(__xludf.dummyfunction("""COMPUTED_VALUE"""),"徒歩, 自転車, 電車, バス")</f>
        <v>徒歩, 自転車, 電車, バス</v>
      </c>
      <c r="W404" s="6"/>
      <c r="X404" s="6" t="str">
        <f aca="false">IFERROR(__xludf.dummyfunction("""COMPUTED_VALUE"""),"実家")</f>
        <v>実家</v>
      </c>
      <c r="Y404" s="6"/>
      <c r="Z404" s="6" t="str">
        <f aca="false">IFERROR(__xludf.dummyfunction("""COMPUTED_VALUE"""),"希望する")</f>
        <v>希望する</v>
      </c>
      <c r="AA404" s="6" t="str">
        <f aca="false">IFERROR(__xludf.dummyfunction("""COMPUTED_VALUE"""),"単身")</f>
        <v>単身</v>
      </c>
      <c r="AB404" s="6"/>
      <c r="AC404" s="6"/>
      <c r="AD404" s="6"/>
      <c r="AE404" s="6" t="str">
        <f aca="false">IFERROR(__xludf.dummyfunction("""COMPUTED_VALUE"""),"確認しました。")</f>
        <v>確認しました。</v>
      </c>
      <c r="AF404" s="6" t="str">
        <f aca="false">IFERROR(__xludf.dummyfunction("""COMPUTED_VALUE"""),"社宅基準の内容について確認しました")</f>
        <v>社宅基準の内容について確認しました</v>
      </c>
      <c r="AG404" s="6" t="str">
        <f aca="false">IFERROR(__xludf.dummyfunction("""COMPUTED_VALUE"""),"入居のしおりの内容についてご確認しました")</f>
        <v>入居のしおりの内容についてご確認しました</v>
      </c>
      <c r="AH404" s="6" t="str">
        <f aca="false">IFERROR(__xludf.dummyfunction("""COMPUTED_VALUE"""),"確認しました")</f>
        <v>確認しました</v>
      </c>
      <c r="AI404" s="6"/>
      <c r="AJ404" s="6" t="str">
        <v/>
      </c>
      <c r="AK404" s="6" t="str">
        <v/>
      </c>
      <c r="AL404" s="6" t="str">
        <v/>
      </c>
      <c r="AM404" s="6" t="str">
        <v/>
      </c>
      <c r="AN404" s="6" t="n">
        <f aca="false">FALSE()</f>
        <v>0</v>
      </c>
    </row>
    <row r="405" customFormat="false" ht="52.5" hidden="false" customHeight="true" outlineLevel="0" collapsed="false">
      <c r="A405" s="6" t="str">
        <f aca="false">IFERROR(__xludf.dummyfunction("""COMPUTED_VALUE"""),"2026/03/17 22:06:57")</f>
        <v>2026/03/17 22:06:57</v>
      </c>
      <c r="B405" s="6"/>
      <c r="C405" s="6" t="str">
        <f aca="false">IFERROR(__xludf.dummyfunction("""COMPUTED_VALUE"""),"71450")</f>
        <v>71450</v>
      </c>
      <c r="D405" s="6"/>
      <c r="E405" s="6"/>
      <c r="F405" s="6"/>
      <c r="G405" s="6" t="str">
        <f aca="false">IFERROR(__xludf.dummyfunction("""COMPUTED_VALUE"""),"2026/05/31")</f>
        <v>2026/05/31</v>
      </c>
      <c r="H405" s="6" t="str">
        <f aca="false">IFERROR(__xludf.dummyfunction("""COMPUTED_VALUE"""),"不要")</f>
        <v>不要</v>
      </c>
      <c r="I405" s="6" t="str">
        <f aca="false">IFERROR(__xludf.dummyfunction("""COMPUTED_VALUE"""),"男性")</f>
        <v>男性</v>
      </c>
      <c r="J405" s="6" t="str">
        <f aca="false">IFERROR(__xludf.dummyfunction("""COMPUTED_VALUE"""),"日本")</f>
        <v>日本</v>
      </c>
      <c r="K405" s="6"/>
      <c r="L405" s="6"/>
      <c r="M405" s="6"/>
      <c r="N405" s="6"/>
      <c r="O405" s="6" t="str">
        <f aca="false">IFERROR(__xludf.dummyfunction("""COMPUTED_VALUE"""),"必要")</f>
        <v>必要</v>
      </c>
      <c r="P405" s="6" t="str">
        <f aca="false">IFERROR(__xludf.dummyfunction("""COMPUTED_VALUE"""),"ハスラー")</f>
        <v>ハスラー</v>
      </c>
      <c r="Q405" s="6" t="str">
        <f aca="false">IFERROR(__xludf.dummyfunction("""COMPUTED_VALUE"""),"岡山582ア2772")</f>
        <v>岡山582ア2772</v>
      </c>
      <c r="R405" s="6" t="str">
        <f aca="false">IFERROR(__xludf.dummyfunction("""COMPUTED_VALUE"""),"白")</f>
        <v>白</v>
      </c>
      <c r="S405" s="6" t="str">
        <f aca="false">IFERROR(__xludf.dummyfunction("""COMPUTED_VALUE"""),"家具家電なし社宅")</f>
        <v>家具家電なし社宅</v>
      </c>
      <c r="T405" s="6" t="str">
        <f aca="false">IFERROR(__xludf.dummyfunction("""COMPUTED_VALUE"""),"利用しない")</f>
        <v>利用しない</v>
      </c>
      <c r="U405" s="6"/>
      <c r="V405" s="6" t="str">
        <f aca="false">IFERROR(__xludf.dummyfunction("""COMPUTED_VALUE"""),"自動車")</f>
        <v>自動車</v>
      </c>
      <c r="W405" s="6"/>
      <c r="X405" s="6" t="str">
        <f aca="false">IFERROR(__xludf.dummyfunction("""COMPUTED_VALUE"""),"株式会社ビーネックステクノロジーズの社宅")</f>
        <v>株式会社ビーネックステクノロジーズの社宅</v>
      </c>
      <c r="Y405" s="6" t="str">
        <f aca="false">IFERROR(__xludf.dummyfunction("""COMPUTED_VALUE"""),"利用なし")</f>
        <v>利用なし</v>
      </c>
      <c r="Z405" s="6" t="str">
        <f aca="false">IFERROR(__xludf.dummyfunction("""COMPUTED_VALUE"""),"希望しない")</f>
        <v>希望しない</v>
      </c>
      <c r="AA405" s="6" t="str">
        <f aca="false">IFERROR(__xludf.dummyfunction("""COMPUTED_VALUE"""),"家族")</f>
        <v>家族</v>
      </c>
      <c r="AB405" s="6" t="str">
        <f aca="false">IFERROR(__xludf.dummyfunction("""COMPUTED_VALUE"""),"氏名：川原正也
フリガナ：カワハラマサヤ
生年月日：1992年1月29日
携帯番号：09043333007
続柄：夫
氏名：國重奈菜
フリガナ：クニシゲナナ
生年月日：1986年3月19日
携帯番号：09097943394
続柄：妻")</f>
        <v>氏名：川原正也
フリガナ：カワハラマサヤ
生年月日：1992年1月29日
携帯番号：09043333007
続柄：夫
氏名：國重奈菜
フリガナ：クニシゲナナ
生年月日：1986年3月19日
携帯番号：09097943394
続柄：妻</v>
      </c>
      <c r="AC405" s="6"/>
      <c r="AD405" s="6" t="str">
        <f aca="false">IFERROR(__xludf.dummyfunction("""COMPUTED_VALUE"""),"2階以上でペット可(猫)の物件を希望いたします。")</f>
        <v>2階以上でペット可(猫)の物件を希望いたします。</v>
      </c>
      <c r="AE405" s="6" t="str">
        <f aca="false">IFERROR(__xludf.dummyfunction("""COMPUTED_VALUE"""),"確認しました。")</f>
        <v>確認しました。</v>
      </c>
      <c r="AF405" s="6" t="str">
        <f aca="false">IFERROR(__xludf.dummyfunction("""COMPUTED_VALUE"""),"社宅基準の内容について確認しました")</f>
        <v>社宅基準の内容について確認しました</v>
      </c>
      <c r="AG405" s="6" t="str">
        <f aca="false">IFERROR(__xludf.dummyfunction("""COMPUTED_VALUE"""),"入居のしおりの内容についてご確認しました")</f>
        <v>入居のしおりの内容についてご確認しました</v>
      </c>
      <c r="AH405" s="6" t="str">
        <f aca="false">IFERROR(__xludf.dummyfunction("""COMPUTED_VALUE"""),"確認しました")</f>
        <v>確認しました</v>
      </c>
      <c r="AI405" s="6"/>
      <c r="AJ405" s="6" t="str">
        <v/>
      </c>
      <c r="AK405" s="6" t="str">
        <v/>
      </c>
      <c r="AL405" s="6" t="str">
        <v/>
      </c>
      <c r="AM405" s="6" t="str">
        <v/>
      </c>
      <c r="AN405" s="6" t="n">
        <f aca="false">FALSE()</f>
        <v>0</v>
      </c>
    </row>
    <row r="406" customFormat="false" ht="52.5" hidden="false" customHeight="true" outlineLevel="0" collapsed="false">
      <c r="A406" s="6" t="str">
        <f aca="false">IFERROR(__xludf.dummyfunction("""COMPUTED_VALUE"""),"2026/03/17 22:32:53")</f>
        <v>2026/03/17 22:32:53</v>
      </c>
      <c r="B406" s="6"/>
      <c r="C406" s="6" t="str">
        <f aca="false">IFERROR(__xludf.dummyfunction("""COMPUTED_VALUE"""),"71412")</f>
        <v>71412</v>
      </c>
      <c r="D406" s="6"/>
      <c r="E406" s="6"/>
      <c r="F406" s="6"/>
      <c r="G406" s="6" t="str">
        <f aca="false">IFERROR(__xludf.dummyfunction("""COMPUTED_VALUE"""),"2026/03/28")</f>
        <v>2026/03/28</v>
      </c>
      <c r="H406" s="6" t="str">
        <f aca="false">IFERROR(__xludf.dummyfunction("""COMPUTED_VALUE"""),"必要")</f>
        <v>必要</v>
      </c>
      <c r="I406" s="6" t="str">
        <f aca="false">IFERROR(__xludf.dummyfunction("""COMPUTED_VALUE"""),"女性")</f>
        <v>女性</v>
      </c>
      <c r="J406" s="6" t="str">
        <f aca="false">IFERROR(__xludf.dummyfunction("""COMPUTED_VALUE"""),"日本")</f>
        <v>日本</v>
      </c>
      <c r="K406" s="6" t="str">
        <f aca="false">IFERROR(__xludf.dummyfunction("""COMPUTED_VALUE"""),"10")</f>
        <v>10</v>
      </c>
      <c r="L406" s="6" t="str">
        <f aca="false">IFERROR(__xludf.dummyfunction("""COMPUTED_VALUE"""),"なし")</f>
        <v>なし</v>
      </c>
      <c r="M406" s="6" t="str">
        <f aca="false">IFERROR(__xludf.dummyfunction("""COMPUTED_VALUE"""),"ベッド(シングル)")</f>
        <v>ベッド(シングル)</v>
      </c>
      <c r="N406" s="6" t="str">
        <f aca="false">IFERROR(__xludf.dummyfunction("""COMPUTED_VALUE"""),"自転車")</f>
        <v>自転車</v>
      </c>
      <c r="O406" s="6" t="str">
        <f aca="false">IFERROR(__xludf.dummyfunction("""COMPUTED_VALUE"""),"不要")</f>
        <v>不要</v>
      </c>
      <c r="P406" s="6"/>
      <c r="Q406" s="6"/>
      <c r="R406" s="6"/>
      <c r="S406" s="6" t="str">
        <f aca="false">IFERROR(__xludf.dummyfunction("""COMPUTED_VALUE"""),"家具家電付き社宅")</f>
        <v>家具家電付き社宅</v>
      </c>
      <c r="T406" s="6" t="str">
        <f aca="false">IFERROR(__xludf.dummyfunction("""COMPUTED_VALUE"""),"利用する")</f>
        <v>利用する</v>
      </c>
      <c r="U406" s="6" t="str">
        <f aca="false">IFERROR(__xludf.dummyfunction("""COMPUTED_VALUE"""),"冷凍冷蔵庫170　全自動洗濯機")</f>
        <v>冷凍冷蔵庫170　全自動洗濯機</v>
      </c>
      <c r="V406" s="6" t="str">
        <f aca="false">IFERROR(__xludf.dummyfunction("""COMPUTED_VALUE"""),"徒歩, 自転車, バス, 社用バス")</f>
        <v>徒歩, 自転車, バス, 社用バス</v>
      </c>
      <c r="W406" s="6"/>
      <c r="X406" s="6" t="str">
        <f aca="false">IFERROR(__xludf.dummyfunction("""COMPUTED_VALUE"""),"実家")</f>
        <v>実家</v>
      </c>
      <c r="Y406" s="6"/>
      <c r="Z406" s="6" t="str">
        <f aca="false">IFERROR(__xludf.dummyfunction("""COMPUTED_VALUE"""),"希望する")</f>
        <v>希望する</v>
      </c>
      <c r="AA406" s="6" t="str">
        <f aca="false">IFERROR(__xludf.dummyfunction("""COMPUTED_VALUE"""),"単身")</f>
        <v>単身</v>
      </c>
      <c r="AB406" s="6"/>
      <c r="AC406" s="6"/>
      <c r="AD406" s="6"/>
      <c r="AE406" s="6" t="str">
        <f aca="false">IFERROR(__xludf.dummyfunction("""COMPUTED_VALUE"""),"確認しました。")</f>
        <v>確認しました。</v>
      </c>
      <c r="AF406" s="6" t="str">
        <f aca="false">IFERROR(__xludf.dummyfunction("""COMPUTED_VALUE"""),"社宅基準の内容について確認しました")</f>
        <v>社宅基準の内容について確認しました</v>
      </c>
      <c r="AG406" s="6" t="str">
        <f aca="false">IFERROR(__xludf.dummyfunction("""COMPUTED_VALUE"""),"入居のしおりの内容についてご確認しました")</f>
        <v>入居のしおりの内容についてご確認しました</v>
      </c>
      <c r="AH406" s="6" t="str">
        <f aca="false">IFERROR(__xludf.dummyfunction("""COMPUTED_VALUE"""),"確認しました")</f>
        <v>確認しました</v>
      </c>
      <c r="AI406" s="6"/>
      <c r="AJ406" s="6" t="str">
        <v/>
      </c>
      <c r="AK406" s="6" t="str">
        <v/>
      </c>
      <c r="AL406" s="6" t="str">
        <v/>
      </c>
      <c r="AM406" s="6" t="str">
        <v/>
      </c>
      <c r="AN406" s="6" t="n">
        <f aca="false">FALSE()</f>
        <v>0</v>
      </c>
    </row>
    <row r="407" customFormat="false" ht="52.5" hidden="false" customHeight="true" outlineLevel="0" collapsed="false">
      <c r="A407" s="6" t="str">
        <f aca="false">IFERROR(__xludf.dummyfunction("""COMPUTED_VALUE"""),"2026/03/17 23:29:35")</f>
        <v>2026/03/17 23:29:35</v>
      </c>
      <c r="B407" s="6"/>
      <c r="C407" s="6" t="str">
        <f aca="false">IFERROR(__xludf.dummyfunction("""COMPUTED_VALUE"""),"71471")</f>
        <v>71471</v>
      </c>
      <c r="D407" s="6"/>
      <c r="E407" s="6"/>
      <c r="F407" s="6"/>
      <c r="G407" s="6" t="str">
        <f aca="false">IFERROR(__xludf.dummyfunction("""COMPUTED_VALUE"""),"2026/03/30")</f>
        <v>2026/03/30</v>
      </c>
      <c r="H407" s="6" t="str">
        <f aca="false">IFERROR(__xludf.dummyfunction("""COMPUTED_VALUE"""),"必要")</f>
        <v>必要</v>
      </c>
      <c r="I407" s="6" t="str">
        <f aca="false">IFERROR(__xludf.dummyfunction("""COMPUTED_VALUE"""),"男性")</f>
        <v>男性</v>
      </c>
      <c r="J407" s="6" t="str">
        <f aca="false">IFERROR(__xludf.dummyfunction("""COMPUTED_VALUE"""),"日本")</f>
        <v>日本</v>
      </c>
      <c r="K407" s="6" t="str">
        <f aca="false">IFERROR(__xludf.dummyfunction("""COMPUTED_VALUE"""),"15")</f>
        <v>15</v>
      </c>
      <c r="L407" s="6" t="str">
        <f aca="false">IFERROR(__xludf.dummyfunction("""COMPUTED_VALUE"""),"冷蔵庫単身用(2ドア)　全自動電気洗濯機　電子レンジ")</f>
        <v>冷蔵庫単身用(2ドア)　全自動電気洗濯機　電子レンジ</v>
      </c>
      <c r="M407" s="6" t="str">
        <f aca="false">IFERROR(__xludf.dummyfunction("""COMPUTED_VALUE"""),"机×2(分解済)600mm×1200mm
ゲーミングチェア")</f>
        <v>机×2(分解済)600mm×1200mm
ゲーミングチェア</v>
      </c>
      <c r="N407" s="6" t="str">
        <f aca="false">IFERROR(__xludf.dummyfunction("""COMPUTED_VALUE"""),"自転車　デスクトップPC(ゲーミングPC)")</f>
        <v>自転車　デスクトップPC(ゲーミングPC)</v>
      </c>
      <c r="O407" s="6" t="str">
        <f aca="false">IFERROR(__xludf.dummyfunction("""COMPUTED_VALUE"""),"不要")</f>
        <v>不要</v>
      </c>
      <c r="P407" s="6"/>
      <c r="Q407" s="6"/>
      <c r="R407" s="6"/>
      <c r="S407" s="6" t="str">
        <f aca="false">IFERROR(__xludf.dummyfunction("""COMPUTED_VALUE"""),"家具家電付き社宅")</f>
        <v>家具家電付き社宅</v>
      </c>
      <c r="T407" s="6" t="str">
        <f aca="false">IFERROR(__xludf.dummyfunction("""COMPUTED_VALUE"""),"利用しない")</f>
        <v>利用しない</v>
      </c>
      <c r="U407" s="6"/>
      <c r="V407" s="6" t="str">
        <f aca="false">IFERROR(__xludf.dummyfunction("""COMPUTED_VALUE"""),"自転車")</f>
        <v>自転車</v>
      </c>
      <c r="W407" s="6"/>
      <c r="X407" s="6" t="str">
        <f aca="false">IFERROR(__xludf.dummyfunction("""COMPUTED_VALUE"""),"実家")</f>
        <v>実家</v>
      </c>
      <c r="Y407" s="6"/>
      <c r="Z407" s="6" t="str">
        <f aca="false">IFERROR(__xludf.dummyfunction("""COMPUTED_VALUE"""),"希望する")</f>
        <v>希望する</v>
      </c>
      <c r="AA407" s="6" t="str">
        <f aca="false">IFERROR(__xludf.dummyfunction("""COMPUTED_VALUE"""),"単身")</f>
        <v>単身</v>
      </c>
      <c r="AB407" s="6"/>
      <c r="AC407" s="6"/>
      <c r="AD407" s="6" t="str">
        <f aca="false">IFERROR(__xludf.dummyfunction("""COMPUTED_VALUE"""),"洗濯機の設置場所が部屋の中。
部屋備え付けの家電はエアコン コンロ 照明が欲しいです。
電気 水道 ガスはどこのでも大丈夫ですが、インターネットは光回線が繋げられるところがいいです。
バス・トイレ別が望ましいです。
要望が多くてすみません。
よろしくお願いいたします。")</f>
        <v>洗濯機の設置場所が部屋の中。
部屋備え付けの家電はエアコン コンロ 照明が欲しいです。
電気 水道 ガスはどこのでも大丈夫ですが、インターネットは光回線が繋げられるところがいいです。
バス・トイレ別が望ましいです。
要望が多くてすみません。
よろしくお願いいたします。</v>
      </c>
      <c r="AE407" s="6" t="str">
        <f aca="false">IFERROR(__xludf.dummyfunction("""COMPUTED_VALUE"""),"確認しました。")</f>
        <v>確認しました。</v>
      </c>
      <c r="AF407" s="6" t="str">
        <f aca="false">IFERROR(__xludf.dummyfunction("""COMPUTED_VALUE"""),"社宅基準の内容について確認しました")</f>
        <v>社宅基準の内容について確認しました</v>
      </c>
      <c r="AG407" s="6" t="str">
        <f aca="false">IFERROR(__xludf.dummyfunction("""COMPUTED_VALUE"""),"入居のしおりの内容についてご確認しました")</f>
        <v>入居のしおりの内容についてご確認しました</v>
      </c>
      <c r="AH407" s="6" t="str">
        <f aca="false">IFERROR(__xludf.dummyfunction("""COMPUTED_VALUE"""),"確認しました")</f>
        <v>確認しました</v>
      </c>
      <c r="AI407" s="6"/>
      <c r="AJ407" s="6" t="str">
        <v/>
      </c>
      <c r="AK407" s="6" t="str">
        <v/>
      </c>
      <c r="AL407" s="6" t="str">
        <v/>
      </c>
      <c r="AM407" s="6" t="str">
        <v/>
      </c>
      <c r="AN407" s="6" t="n">
        <f aca="false">FALSE()</f>
        <v>0</v>
      </c>
    </row>
    <row r="408" customFormat="false" ht="52.5" hidden="false" customHeight="true" outlineLevel="0" collapsed="false">
      <c r="A408" s="6" t="str">
        <f aca="false">IFERROR(__xludf.dummyfunction("""COMPUTED_VALUE"""),"2026/03/18 1:31:50")</f>
        <v>2026/03/18 1:31:50</v>
      </c>
      <c r="B408" s="6"/>
      <c r="C408" s="6" t="str">
        <f aca="false">IFERROR(__xludf.dummyfunction("""COMPUTED_VALUE"""),"71482")</f>
        <v>71482</v>
      </c>
      <c r="D408" s="6"/>
      <c r="E408" s="6"/>
      <c r="F408" s="6"/>
      <c r="G408" s="6" t="str">
        <f aca="false">IFERROR(__xludf.dummyfunction("""COMPUTED_VALUE"""),"2026/03/27")</f>
        <v>2026/03/27</v>
      </c>
      <c r="H408" s="6" t="str">
        <f aca="false">IFERROR(__xludf.dummyfunction("""COMPUTED_VALUE"""),"必要")</f>
        <v>必要</v>
      </c>
      <c r="I408" s="6" t="str">
        <f aca="false">IFERROR(__xludf.dummyfunction("""COMPUTED_VALUE"""),"男性")</f>
        <v>男性</v>
      </c>
      <c r="J408" s="6" t="str">
        <f aca="false">IFERROR(__xludf.dummyfunction("""COMPUTED_VALUE"""),"日本")</f>
        <v>日本</v>
      </c>
      <c r="K408" s="6" t="str">
        <f aca="false">IFERROR(__xludf.dummyfunction("""COMPUTED_VALUE"""),"25")</f>
        <v>25</v>
      </c>
      <c r="L408" s="6" t="str">
        <f aca="false">IFERROR(__xludf.dummyfunction("""COMPUTED_VALUE"""),"冷蔵庫ワンドア、洗濯機縦型、電子レンジ、PC、テレビモニター、ウォーターサーバー、")</f>
        <v>冷蔵庫ワンドア、洗濯機縦型、電子レンジ、PC、テレビモニター、ウォーターサーバー、</v>
      </c>
      <c r="M408" s="6" t="str">
        <f aca="false">IFERROR(__xludf.dummyfunction("""COMPUTED_VALUE"""),"ゲーミングチェア、椅子、机（奥行50cm横84cm高さ129cm）、コタツ（縦100cm横70cm高さ30cm）、シングルベッド、タンス（高さ85cm横54cm奥行50cm）")</f>
        <v>ゲーミングチェア、椅子、机（奥行50cm横84cm高さ129cm）、コタツ（縦100cm横70cm高さ30cm）、シングルベッド、タンス（高さ85cm横54cm奥行50cm）</v>
      </c>
      <c r="N408" s="6"/>
      <c r="O408" s="6" t="str">
        <f aca="false">IFERROR(__xludf.dummyfunction("""COMPUTED_VALUE"""),"不要")</f>
        <v>不要</v>
      </c>
      <c r="P408" s="6"/>
      <c r="Q408" s="6"/>
      <c r="R408" s="6"/>
      <c r="S408" s="6" t="str">
        <f aca="false">IFERROR(__xludf.dummyfunction("""COMPUTED_VALUE"""),"家具家電なし社宅")</f>
        <v>家具家電なし社宅</v>
      </c>
      <c r="T408" s="6" t="str">
        <f aca="false">IFERROR(__xludf.dummyfunction("""COMPUTED_VALUE"""),"利用しない")</f>
        <v>利用しない</v>
      </c>
      <c r="U408" s="6"/>
      <c r="V408" s="6" t="str">
        <f aca="false">IFERROR(__xludf.dummyfunction("""COMPUTED_VALUE"""),"徒歩, 電車")</f>
        <v>徒歩, 電車</v>
      </c>
      <c r="W408" s="6"/>
      <c r="X408" s="6" t="str">
        <f aca="false">IFERROR(__xludf.dummyfunction("""COMPUTED_VALUE"""),"株式会社ビーネックステクノロジーズの社宅")</f>
        <v>株式会社ビーネックステクノロジーズの社宅</v>
      </c>
      <c r="Y408" s="6" t="str">
        <f aca="false">IFERROR(__xludf.dummyfunction("""COMPUTED_VALUE"""),"利用なし")</f>
        <v>利用なし</v>
      </c>
      <c r="Z408" s="6" t="str">
        <f aca="false">IFERROR(__xludf.dummyfunction("""COMPUTED_VALUE"""),"希望する")</f>
        <v>希望する</v>
      </c>
      <c r="AA408" s="6" t="str">
        <f aca="false">IFERROR(__xludf.dummyfunction("""COMPUTED_VALUE"""),"単身")</f>
        <v>単身</v>
      </c>
      <c r="AB408" s="6"/>
      <c r="AC408" s="6"/>
      <c r="AD408" s="6"/>
      <c r="AE408" s="6" t="str">
        <f aca="false">IFERROR(__xludf.dummyfunction("""COMPUTED_VALUE"""),"確認しました。")</f>
        <v>確認しました。</v>
      </c>
      <c r="AF408" s="6" t="str">
        <f aca="false">IFERROR(__xludf.dummyfunction("""COMPUTED_VALUE"""),"社宅基準の内容について確認しました")</f>
        <v>社宅基準の内容について確認しました</v>
      </c>
      <c r="AG408" s="6" t="str">
        <f aca="false">IFERROR(__xludf.dummyfunction("""COMPUTED_VALUE"""),"入居のしおりの内容についてご確認しました")</f>
        <v>入居のしおりの内容についてご確認しました</v>
      </c>
      <c r="AH408" s="6" t="str">
        <f aca="false">IFERROR(__xludf.dummyfunction("""COMPUTED_VALUE"""),"確認しました")</f>
        <v>確認しました</v>
      </c>
      <c r="AI408" s="6"/>
      <c r="AJ408" s="6" t="str">
        <v/>
      </c>
      <c r="AK408" s="6" t="str">
        <v/>
      </c>
      <c r="AL408" s="6" t="str">
        <v/>
      </c>
      <c r="AM408" s="6" t="str">
        <v/>
      </c>
      <c r="AN408" s="6" t="n">
        <f aca="false">FALSE()</f>
        <v>0</v>
      </c>
    </row>
    <row r="409" customFormat="false" ht="52.5" hidden="false" customHeight="true" outlineLevel="0" collapsed="false">
      <c r="A409" s="6" t="str">
        <f aca="false">IFERROR(__xludf.dummyfunction("""COMPUTED_VALUE"""),"2026/03/18 7:04:46")</f>
        <v>2026/03/18 7:04:46</v>
      </c>
      <c r="B409" s="6"/>
      <c r="C409" s="6" t="str">
        <f aca="false">IFERROR(__xludf.dummyfunction("""COMPUTED_VALUE"""),"71316")</f>
        <v>71316</v>
      </c>
      <c r="D409" s="6"/>
      <c r="E409" s="6"/>
      <c r="F409" s="6"/>
      <c r="G409" s="6" t="str">
        <f aca="false">IFERROR(__xludf.dummyfunction("""COMPUTED_VALUE"""),"2026/03/27")</f>
        <v>2026/03/27</v>
      </c>
      <c r="H409" s="6" t="str">
        <f aca="false">IFERROR(__xludf.dummyfunction("""COMPUTED_VALUE"""),"必要")</f>
        <v>必要</v>
      </c>
      <c r="I409" s="6" t="str">
        <f aca="false">IFERROR(__xludf.dummyfunction("""COMPUTED_VALUE"""),"男性")</f>
        <v>男性</v>
      </c>
      <c r="J409" s="6" t="str">
        <f aca="false">IFERROR(__xludf.dummyfunction("""COMPUTED_VALUE"""),"日本")</f>
        <v>日本</v>
      </c>
      <c r="K409" s="6" t="str">
        <f aca="false">IFERROR(__xludf.dummyfunction("""COMPUTED_VALUE"""),"5")</f>
        <v>5</v>
      </c>
      <c r="L409" s="6" t="str">
        <f aca="false">IFERROR(__xludf.dummyfunction("""COMPUTED_VALUE"""),"なし")</f>
        <v>なし</v>
      </c>
      <c r="M409" s="6" t="str">
        <f aca="false">IFERROR(__xludf.dummyfunction("""COMPUTED_VALUE"""),"なし")</f>
        <v>なし</v>
      </c>
      <c r="N409" s="6" t="str">
        <f aca="false">IFERROR(__xludf.dummyfunction("""COMPUTED_VALUE"""),"なし")</f>
        <v>なし</v>
      </c>
      <c r="O409" s="6" t="str">
        <f aca="false">IFERROR(__xludf.dummyfunction("""COMPUTED_VALUE"""),"不要")</f>
        <v>不要</v>
      </c>
      <c r="P409" s="6"/>
      <c r="Q409" s="6"/>
      <c r="R409" s="6"/>
      <c r="S409" s="6" t="str">
        <f aca="false">IFERROR(__xludf.dummyfunction("""COMPUTED_VALUE"""),"家具家電付き社宅")</f>
        <v>家具家電付き社宅</v>
      </c>
      <c r="T409" s="6" t="str">
        <f aca="false">IFERROR(__xludf.dummyfunction("""COMPUTED_VALUE"""),"利用しない")</f>
        <v>利用しない</v>
      </c>
      <c r="U409" s="6"/>
      <c r="V409" s="6" t="str">
        <f aca="false">IFERROR(__xludf.dummyfunction("""COMPUTED_VALUE"""),"徒歩, バス")</f>
        <v>徒歩, バス</v>
      </c>
      <c r="W409" s="6"/>
      <c r="X409" s="6" t="str">
        <f aca="false">IFERROR(__xludf.dummyfunction("""COMPUTED_VALUE"""),"実家")</f>
        <v>実家</v>
      </c>
      <c r="Y409" s="6"/>
      <c r="Z409" s="6" t="str">
        <f aca="false">IFERROR(__xludf.dummyfunction("""COMPUTED_VALUE"""),"希望する")</f>
        <v>希望する</v>
      </c>
      <c r="AA409" s="6" t="str">
        <f aca="false">IFERROR(__xludf.dummyfunction("""COMPUTED_VALUE"""),"単身")</f>
        <v>単身</v>
      </c>
      <c r="AB409" s="6"/>
      <c r="AC409" s="6"/>
      <c r="AD409" s="6" t="str">
        <f aca="false">IFERROR(__xludf.dummyfunction("""COMPUTED_VALUE"""),"住所：岐阜県岐阜市岩地2-18-14
氏名：伊藤孝義
フリガナ：イトウタカヨシ
生年月日：
電話番号：09022624603
続柄：父")</f>
        <v>住所：岐阜県岐阜市岩地2-18-14
氏名：伊藤孝義
フリガナ：イトウタカヨシ
生年月日：
電話番号：09022624603
続柄：父</v>
      </c>
      <c r="AE409" s="6" t="str">
        <f aca="false">IFERROR(__xludf.dummyfunction("""COMPUTED_VALUE"""),"確認しました。")</f>
        <v>確認しました。</v>
      </c>
      <c r="AF409" s="6" t="str">
        <f aca="false">IFERROR(__xludf.dummyfunction("""COMPUTED_VALUE"""),"社宅基準の内容について確認しました")</f>
        <v>社宅基準の内容について確認しました</v>
      </c>
      <c r="AG409" s="6" t="str">
        <f aca="false">IFERROR(__xludf.dummyfunction("""COMPUTED_VALUE"""),"入居のしおりの内容についてご確認しました")</f>
        <v>入居のしおりの内容についてご確認しました</v>
      </c>
      <c r="AH409" s="6" t="str">
        <f aca="false">IFERROR(__xludf.dummyfunction("""COMPUTED_VALUE"""),"確認しました")</f>
        <v>確認しました</v>
      </c>
      <c r="AI409" s="6"/>
      <c r="AJ409" s="6" t="str">
        <v/>
      </c>
      <c r="AK409" s="6" t="str">
        <v/>
      </c>
      <c r="AL409" s="6" t="str">
        <v/>
      </c>
      <c r="AM409" s="6" t="str">
        <v/>
      </c>
      <c r="AN409" s="6" t="n">
        <f aca="false">FALSE()</f>
        <v>0</v>
      </c>
    </row>
    <row r="410" customFormat="false" ht="52.5" hidden="false" customHeight="true" outlineLevel="0" collapsed="false">
      <c r="A410" s="6" t="str">
        <f aca="false">IFERROR(__xludf.dummyfunction("""COMPUTED_VALUE"""),"2026/03/18 19:05:37")</f>
        <v>2026/03/18 19:05:37</v>
      </c>
      <c r="B410" s="6"/>
      <c r="C410" s="6" t="str">
        <f aca="false">IFERROR(__xludf.dummyfunction("""COMPUTED_VALUE"""),"71476")</f>
        <v>71476</v>
      </c>
      <c r="D410" s="6"/>
      <c r="E410" s="6"/>
      <c r="F410" s="6"/>
      <c r="G410" s="6" t="str">
        <f aca="false">IFERROR(__xludf.dummyfunction("""COMPUTED_VALUE"""),"2026/03/31")</f>
        <v>2026/03/31</v>
      </c>
      <c r="H410" s="6" t="str">
        <f aca="false">IFERROR(__xludf.dummyfunction("""COMPUTED_VALUE"""),"必要")</f>
        <v>必要</v>
      </c>
      <c r="I410" s="6" t="str">
        <f aca="false">IFERROR(__xludf.dummyfunction("""COMPUTED_VALUE"""),"男性")</f>
        <v>男性</v>
      </c>
      <c r="J410" s="6" t="str">
        <f aca="false">IFERROR(__xludf.dummyfunction("""COMPUTED_VALUE"""),"日本")</f>
        <v>日本</v>
      </c>
      <c r="K410" s="6" t="str">
        <f aca="false">IFERROR(__xludf.dummyfunction("""COMPUTED_VALUE"""),"5")</f>
        <v>5</v>
      </c>
      <c r="L410" s="6" t="str">
        <f aca="false">IFERROR(__xludf.dummyfunction("""COMPUTED_VALUE"""),"電気ケトル
掃除機")</f>
        <v>電気ケトル
掃除機</v>
      </c>
      <c r="M410" s="6" t="str">
        <f aca="false">IFERROR(__xludf.dummyfunction("""COMPUTED_VALUE"""),"布団（シングル）
タンス（55・28・101）
姿見（22・48・148）
収納ボックス（43・63・67）
棚（85・30・59）")</f>
        <v>布団（シングル）
タンス（55・28・101）
姿見（22・48・148）
収納ボックス（43・63・67）
棚（85・30・59）</v>
      </c>
      <c r="N410" s="6"/>
      <c r="O410" s="6" t="str">
        <f aca="false">IFERROR(__xludf.dummyfunction("""COMPUTED_VALUE"""),"不要")</f>
        <v>不要</v>
      </c>
      <c r="P410" s="6"/>
      <c r="Q410" s="6"/>
      <c r="R410" s="6"/>
      <c r="S410" s="6" t="str">
        <f aca="false">IFERROR(__xludf.dummyfunction("""COMPUTED_VALUE"""),"家具家電付き社宅")</f>
        <v>家具家電付き社宅</v>
      </c>
      <c r="T410" s="6" t="str">
        <f aca="false">IFERROR(__xludf.dummyfunction("""COMPUTED_VALUE"""),"利用しない")</f>
        <v>利用しない</v>
      </c>
      <c r="U410" s="6"/>
      <c r="V410" s="6" t="str">
        <f aca="false">IFERROR(__xludf.dummyfunction("""COMPUTED_VALUE"""),"徒歩, 電車")</f>
        <v>徒歩, 電車</v>
      </c>
      <c r="W410" s="6"/>
      <c r="X410" s="6" t="str">
        <f aca="false">IFERROR(__xludf.dummyfunction("""COMPUTED_VALUE"""),"実家")</f>
        <v>実家</v>
      </c>
      <c r="Y410" s="6"/>
      <c r="Z410" s="6" t="str">
        <f aca="false">IFERROR(__xludf.dummyfunction("""COMPUTED_VALUE"""),"希望する")</f>
        <v>希望する</v>
      </c>
      <c r="AA410" s="6" t="str">
        <f aca="false">IFERROR(__xludf.dummyfunction("""COMPUTED_VALUE"""),"単身")</f>
        <v>単身</v>
      </c>
      <c r="AB410" s="6"/>
      <c r="AC410" s="6"/>
      <c r="AD410" s="6" t="str">
        <f aca="false">IFERROR(__xludf.dummyfunction("""COMPUTED_VALUE"""),"なし")</f>
        <v>なし</v>
      </c>
      <c r="AE410" s="6" t="str">
        <f aca="false">IFERROR(__xludf.dummyfunction("""COMPUTED_VALUE"""),"確認しました。")</f>
        <v>確認しました。</v>
      </c>
      <c r="AF410" s="6" t="str">
        <f aca="false">IFERROR(__xludf.dummyfunction("""COMPUTED_VALUE"""),"社宅基準の内容について確認しました")</f>
        <v>社宅基準の内容について確認しました</v>
      </c>
      <c r="AG410" s="6" t="str">
        <f aca="false">IFERROR(__xludf.dummyfunction("""COMPUTED_VALUE"""),"入居のしおりの内容についてご確認しました")</f>
        <v>入居のしおりの内容についてご確認しました</v>
      </c>
      <c r="AH410" s="6" t="str">
        <f aca="false">IFERROR(__xludf.dummyfunction("""COMPUTED_VALUE"""),"確認しました")</f>
        <v>確認しました</v>
      </c>
      <c r="AI410" s="6"/>
      <c r="AJ410" s="6" t="str">
        <v/>
      </c>
      <c r="AK410" s="6" t="str">
        <v/>
      </c>
      <c r="AL410" s="6" t="str">
        <v/>
      </c>
      <c r="AM410" s="6" t="str">
        <v/>
      </c>
      <c r="AN410" s="6" t="n">
        <f aca="false">FALSE()</f>
        <v>0</v>
      </c>
    </row>
    <row r="411" customFormat="false" ht="52.5" hidden="false" customHeight="true" outlineLevel="0" collapsed="false">
      <c r="A411" s="6" t="str">
        <f aca="false">IFERROR(__xludf.dummyfunction("""COMPUTED_VALUE"""),"2026/03/18 19:16:44")</f>
        <v>2026/03/18 19:16:44</v>
      </c>
      <c r="B411" s="6"/>
      <c r="C411" s="6" t="str">
        <f aca="false">IFERROR(__xludf.dummyfunction("""COMPUTED_VALUE"""),"71407")</f>
        <v>71407</v>
      </c>
      <c r="D411" s="6"/>
      <c r="E411" s="6"/>
      <c r="F411" s="6"/>
      <c r="G411" s="6" t="str">
        <f aca="false">IFERROR(__xludf.dummyfunction("""COMPUTED_VALUE"""),"2026/04/26")</f>
        <v>2026/04/26</v>
      </c>
      <c r="H411" s="6" t="str">
        <f aca="false">IFERROR(__xludf.dummyfunction("""COMPUTED_VALUE"""),"必要")</f>
        <v>必要</v>
      </c>
      <c r="I411" s="6" t="str">
        <f aca="false">IFERROR(__xludf.dummyfunction("""COMPUTED_VALUE"""),"男性")</f>
        <v>男性</v>
      </c>
      <c r="J411" s="6" t="str">
        <f aca="false">IFERROR(__xludf.dummyfunction("""COMPUTED_VALUE"""),"日本")</f>
        <v>日本</v>
      </c>
      <c r="K411" s="6" t="str">
        <f aca="false">IFERROR(__xludf.dummyfunction("""COMPUTED_VALUE"""),"20")</f>
        <v>20</v>
      </c>
      <c r="L411" s="6" t="str">
        <f aca="false">IFERROR(__xludf.dummyfunction("""COMPUTED_VALUE"""),"冷蔵庫単身用、洗濯機縦型、テレビ50型、炊飯器、電気ケトル、オーブンレンジ")</f>
        <v>冷蔵庫単身用、洗濯機縦型、テレビ50型、炊飯器、電気ケトル、オーブンレンジ</v>
      </c>
      <c r="M411" s="6" t="str">
        <f aca="false">IFERROR(__xludf.dummyfunction("""COMPUTED_VALUE"""),"ソファー2人、マットレスシングル、デスク（120.60.80）、デスク用チェア、ラック（60.40,120）")</f>
        <v>ソファー2人、マットレスシングル、デスク（120.60.80）、デスク用チェア、ラック（60.40,120）</v>
      </c>
      <c r="N411" s="6" t="str">
        <f aca="false">IFERROR(__xludf.dummyfunction("""COMPUTED_VALUE"""),"自転車")</f>
        <v>自転車</v>
      </c>
      <c r="O411" s="6" t="str">
        <f aca="false">IFERROR(__xludf.dummyfunction("""COMPUTED_VALUE"""),"不要")</f>
        <v>不要</v>
      </c>
      <c r="P411" s="6"/>
      <c r="Q411" s="6"/>
      <c r="R411" s="6"/>
      <c r="S411" s="6" t="str">
        <f aca="false">IFERROR(__xludf.dummyfunction("""COMPUTED_VALUE"""),"家具家電なし社宅")</f>
        <v>家具家電なし社宅</v>
      </c>
      <c r="T411" s="6" t="str">
        <f aca="false">IFERROR(__xludf.dummyfunction("""COMPUTED_VALUE"""),"利用しない")</f>
        <v>利用しない</v>
      </c>
      <c r="U411" s="6"/>
      <c r="V411" s="6" t="str">
        <f aca="false">IFERROR(__xludf.dummyfunction("""COMPUTED_VALUE"""),"徒歩, 電車, 社用バス")</f>
        <v>徒歩, 電車, 社用バス</v>
      </c>
      <c r="W411" s="6"/>
      <c r="X411" s="6" t="str">
        <f aca="false">IFERROR(__xludf.dummyfunction("""COMPUTED_VALUE"""),"株式会社ビーネックステクノロジーズの社宅")</f>
        <v>株式会社ビーネックステクノロジーズの社宅</v>
      </c>
      <c r="Y411" s="6" t="str">
        <f aca="false">IFERROR(__xludf.dummyfunction("""COMPUTED_VALUE"""),"利用なし")</f>
        <v>利用なし</v>
      </c>
      <c r="Z411" s="6" t="str">
        <f aca="false">IFERROR(__xludf.dummyfunction("""COMPUTED_VALUE"""),"希望する")</f>
        <v>希望する</v>
      </c>
      <c r="AA411" s="6" t="str">
        <f aca="false">IFERROR(__xludf.dummyfunction("""COMPUTED_VALUE"""),"単身")</f>
        <v>単身</v>
      </c>
      <c r="AB411" s="6"/>
      <c r="AC411" s="6"/>
      <c r="AD411" s="6" t="str">
        <f aca="false">IFERROR(__xludf.dummyfunction("""COMPUTED_VALUE"""),"駅から徒歩10分圏内
バストイレ別
室内洗濯機置き場
独立洗面所")</f>
        <v>駅から徒歩10分圏内
バストイレ別
室内洗濯機置き場
独立洗面所</v>
      </c>
      <c r="AE411" s="6" t="str">
        <f aca="false">IFERROR(__xludf.dummyfunction("""COMPUTED_VALUE"""),"確認しました。")</f>
        <v>確認しました。</v>
      </c>
      <c r="AF411" s="6" t="str">
        <f aca="false">IFERROR(__xludf.dummyfunction("""COMPUTED_VALUE"""),"社宅基準の内容について確認しました")</f>
        <v>社宅基準の内容について確認しました</v>
      </c>
      <c r="AG411" s="6" t="str">
        <f aca="false">IFERROR(__xludf.dummyfunction("""COMPUTED_VALUE"""),"入居のしおりの内容についてご確認しました")</f>
        <v>入居のしおりの内容についてご確認しました</v>
      </c>
      <c r="AH411" s="6" t="str">
        <f aca="false">IFERROR(__xludf.dummyfunction("""COMPUTED_VALUE"""),"確認しました")</f>
        <v>確認しました</v>
      </c>
      <c r="AI411" s="6"/>
      <c r="AJ411" s="6" t="str">
        <v/>
      </c>
      <c r="AK411" s="6" t="str">
        <v/>
      </c>
      <c r="AL411" s="6" t="str">
        <v/>
      </c>
      <c r="AM411" s="6" t="str">
        <v/>
      </c>
      <c r="AN411" s="6" t="n">
        <f aca="false">FALSE()</f>
        <v>0</v>
      </c>
    </row>
    <row r="412" customFormat="false" ht="52.5" hidden="false" customHeight="true" outlineLevel="0" collapsed="false">
      <c r="A412" s="6" t="str">
        <f aca="false">IFERROR(__xludf.dummyfunction("""COMPUTED_VALUE"""),"2026/03/18 19:46:15")</f>
        <v>2026/03/18 19:46:15</v>
      </c>
      <c r="B412" s="6"/>
      <c r="C412" s="6" t="str">
        <f aca="false">IFERROR(__xludf.dummyfunction("""COMPUTED_VALUE"""),"71521")</f>
        <v>71521</v>
      </c>
      <c r="D412" s="6"/>
      <c r="E412" s="6"/>
      <c r="F412" s="6"/>
      <c r="G412" s="6" t="str">
        <f aca="false">IFERROR(__xludf.dummyfunction("""COMPUTED_VALUE"""),"2026/03/30")</f>
        <v>2026/03/30</v>
      </c>
      <c r="H412" s="6" t="str">
        <f aca="false">IFERROR(__xludf.dummyfunction("""COMPUTED_VALUE"""),"必要")</f>
        <v>必要</v>
      </c>
      <c r="I412" s="6" t="str">
        <f aca="false">IFERROR(__xludf.dummyfunction("""COMPUTED_VALUE"""),"男性")</f>
        <v>男性</v>
      </c>
      <c r="J412" s="6" t="str">
        <f aca="false">IFERROR(__xludf.dummyfunction("""COMPUTED_VALUE"""),"日本")</f>
        <v>日本</v>
      </c>
      <c r="K412" s="6" t="str">
        <f aca="false">IFERROR(__xludf.dummyfunction("""COMPUTED_VALUE"""),"30")</f>
        <v>30</v>
      </c>
      <c r="L412" s="6" t="str">
        <f aca="false">IFERROR(__xludf.dummyfunction("""COMPUTED_VALUE"""),"冷蔵庫（家族用)、洗濯機(45✕50×70)、レンジ、テレビ、電灯(2個)")</f>
        <v>冷蔵庫（家族用)、洗濯機(45✕50×70)、レンジ、テレビ、電灯(2個)</v>
      </c>
      <c r="M412" s="6" t="str">
        <f aca="false">IFERROR(__xludf.dummyfunction("""COMPUTED_VALUE"""),"棚(90・30・170)、棚(75・30・80)、テレビ台(90・40・30)、サイドチェスト(45・60・75)、タンス(30・60・60)、タンス(30・45・80)")</f>
        <v>棚(90・30・170)、棚(75・30・80)、テレビ台(90・40・30)、サイドチェスト(45・60・75)、タンス(30・60・60)、タンス(30・45・80)</v>
      </c>
      <c r="N412" s="6"/>
      <c r="O412" s="6" t="str">
        <f aca="false">IFERROR(__xludf.dummyfunction("""COMPUTED_VALUE"""),"不要")</f>
        <v>不要</v>
      </c>
      <c r="P412" s="6"/>
      <c r="Q412" s="6"/>
      <c r="R412" s="6"/>
      <c r="S412" s="6" t="str">
        <f aca="false">IFERROR(__xludf.dummyfunction("""COMPUTED_VALUE"""),"家具家電なし社宅")</f>
        <v>家具家電なし社宅</v>
      </c>
      <c r="T412" s="6" t="str">
        <f aca="false">IFERROR(__xludf.dummyfunction("""COMPUTED_VALUE"""),"利用しない")</f>
        <v>利用しない</v>
      </c>
      <c r="U412" s="6"/>
      <c r="V412" s="6" t="str">
        <f aca="false">IFERROR(__xludf.dummyfunction("""COMPUTED_VALUE"""),"原付バイク")</f>
        <v>原付バイク</v>
      </c>
      <c r="W412" s="6"/>
      <c r="X412" s="6" t="str">
        <f aca="false">IFERROR(__xludf.dummyfunction("""COMPUTED_VALUE"""),"株式会社ビーネックステクノロジーズの社宅")</f>
        <v>株式会社ビーネックステクノロジーズの社宅</v>
      </c>
      <c r="Y412" s="6" t="str">
        <f aca="false">IFERROR(__xludf.dummyfunction("""COMPUTED_VALUE"""),"利用なし")</f>
        <v>利用なし</v>
      </c>
      <c r="Z412" s="6" t="str">
        <f aca="false">IFERROR(__xludf.dummyfunction("""COMPUTED_VALUE"""),"希望しない")</f>
        <v>希望しない</v>
      </c>
      <c r="AA412" s="6" t="str">
        <f aca="false">IFERROR(__xludf.dummyfunction("""COMPUTED_VALUE"""),"単身")</f>
        <v>単身</v>
      </c>
      <c r="AB412" s="6"/>
      <c r="AC412" s="6"/>
      <c r="AD412" s="6" t="str">
        <f aca="false">IFERROR(__xludf.dummyfunction("""COMPUTED_VALUE"""),"原付バイクが置ける駐輪場")</f>
        <v>原付バイクが置ける駐輪場</v>
      </c>
      <c r="AE412" s="6" t="str">
        <f aca="false">IFERROR(__xludf.dummyfunction("""COMPUTED_VALUE"""),"確認しました。")</f>
        <v>確認しました。</v>
      </c>
      <c r="AF412" s="6" t="str">
        <f aca="false">IFERROR(__xludf.dummyfunction("""COMPUTED_VALUE"""),"社宅基準の内容について確認しました")</f>
        <v>社宅基準の内容について確認しました</v>
      </c>
      <c r="AG412" s="6" t="str">
        <f aca="false">IFERROR(__xludf.dummyfunction("""COMPUTED_VALUE"""),"入居のしおりの内容についてご確認しました")</f>
        <v>入居のしおりの内容についてご確認しました</v>
      </c>
      <c r="AH412" s="6" t="str">
        <f aca="false">IFERROR(__xludf.dummyfunction("""COMPUTED_VALUE"""),"確認しました")</f>
        <v>確認しました</v>
      </c>
      <c r="AI412" s="6"/>
      <c r="AJ412" s="6" t="str">
        <v/>
      </c>
      <c r="AK412" s="6" t="str">
        <v/>
      </c>
      <c r="AL412" s="6" t="str">
        <v/>
      </c>
      <c r="AM412" s="6" t="str">
        <v/>
      </c>
      <c r="AN412" s="6" t="n">
        <f aca="false">FALSE()</f>
        <v>0</v>
      </c>
    </row>
    <row r="413" customFormat="false" ht="52.5" hidden="false" customHeight="true" outlineLevel="0" collapsed="false">
      <c r="A413" s="6" t="str">
        <f aca="false">IFERROR(__xludf.dummyfunction("""COMPUTED_VALUE"""),"2026/03/18 20:15:13")</f>
        <v>2026/03/18 20:15:13</v>
      </c>
      <c r="B413" s="6"/>
      <c r="C413" s="6" t="str">
        <f aca="false">IFERROR(__xludf.dummyfunction("""COMPUTED_VALUE"""),"71491")</f>
        <v>71491</v>
      </c>
      <c r="D413" s="6"/>
      <c r="E413" s="6"/>
      <c r="F413" s="6"/>
      <c r="G413" s="6" t="str">
        <f aca="false">IFERROR(__xludf.dummyfunction("""COMPUTED_VALUE"""),"2026/04/25")</f>
        <v>2026/04/25</v>
      </c>
      <c r="H413" s="6" t="str">
        <f aca="false">IFERROR(__xludf.dummyfunction("""COMPUTED_VALUE"""),"必要")</f>
        <v>必要</v>
      </c>
      <c r="I413" s="6" t="str">
        <f aca="false">IFERROR(__xludf.dummyfunction("""COMPUTED_VALUE"""),"女性")</f>
        <v>女性</v>
      </c>
      <c r="J413" s="6" t="str">
        <f aca="false">IFERROR(__xludf.dummyfunction("""COMPUTED_VALUE"""),"日本")</f>
        <v>日本</v>
      </c>
      <c r="K413" s="6" t="str">
        <f aca="false">IFERROR(__xludf.dummyfunction("""COMPUTED_VALUE"""),"25")</f>
        <v>25</v>
      </c>
      <c r="L413" s="6" t="str">
        <f aca="false">IFERROR(__xludf.dummyfunction("""COMPUTED_VALUE"""),"炊飯器、オーブントースター")</f>
        <v>炊飯器、オーブントースター</v>
      </c>
      <c r="M413" s="6" t="str">
        <f aca="false">IFERROR(__xludf.dummyfunction("""COMPUTED_VALUE"""),"・棚(横幅40 奥行28 高さ72)
・棚(横幅60 奥行18 高さ90)×3
・棚(横幅44 奥行28 高さ60)×2
・棚枠(横幅82 奥行32 高さ105)
・3段ボックス(横幅34奥行41 高さ68)×2")</f>
        <v>・棚(横幅40 奥行28 高さ72)
・棚(横幅60 奥行18 高さ90)×3
・棚(横幅44 奥行28 高さ60)×2
・棚枠(横幅82 奥行32 高さ105)
・3段ボックス(横幅34奥行41 高さ68)×2</v>
      </c>
      <c r="N413" s="6" t="str">
        <f aca="false">IFERROR(__xludf.dummyfunction("""COMPUTED_VALUE"""),"・シングル布団
・クッション(横65 奥65 高45)
・体長90cmほどのぬいぐるみ")</f>
        <v>・シングル布団
・クッション(横65 奥65 高45)
・体長90cmほどのぬいぐるみ</v>
      </c>
      <c r="O413" s="6" t="str">
        <f aca="false">IFERROR(__xludf.dummyfunction("""COMPUTED_VALUE"""),"不要")</f>
        <v>不要</v>
      </c>
      <c r="P413" s="6"/>
      <c r="Q413" s="6"/>
      <c r="R413" s="6"/>
      <c r="S413" s="6" t="str">
        <f aca="false">IFERROR(__xludf.dummyfunction("""COMPUTED_VALUE"""),"家具家電なし社宅")</f>
        <v>家具家電なし社宅</v>
      </c>
      <c r="T413" s="6" t="str">
        <f aca="false">IFERROR(__xludf.dummyfunction("""COMPUTED_VALUE"""),"利用しない")</f>
        <v>利用しない</v>
      </c>
      <c r="U413" s="6"/>
      <c r="V413" s="6" t="str">
        <f aca="false">IFERROR(__xludf.dummyfunction("""COMPUTED_VALUE"""),"電車, バス")</f>
        <v>電車, バス</v>
      </c>
      <c r="W413" s="6"/>
      <c r="X413" s="6" t="str">
        <f aca="false">IFERROR(__xludf.dummyfunction("""COMPUTED_VALUE"""),"株式会社ビーネックステクノロジーズの社宅")</f>
        <v>株式会社ビーネックステクノロジーズの社宅</v>
      </c>
      <c r="Y413" s="6" t="str">
        <f aca="false">IFERROR(__xludf.dummyfunction("""COMPUTED_VALUE"""),"利用なし")</f>
        <v>利用なし</v>
      </c>
      <c r="Z413" s="6" t="str">
        <f aca="false">IFERROR(__xludf.dummyfunction("""COMPUTED_VALUE"""),"希望する")</f>
        <v>希望する</v>
      </c>
      <c r="AA413" s="6" t="str">
        <f aca="false">IFERROR(__xludf.dummyfunction("""COMPUTED_VALUE"""),"単身")</f>
        <v>単身</v>
      </c>
      <c r="AB413" s="6"/>
      <c r="AC413" s="6"/>
      <c r="AD413" s="6" t="str">
        <f aca="false">IFERROR(__xludf.dummyfunction("""COMPUTED_VALUE"""),"・阪急線
・バストイレ別
・2階以上
・駅から徒歩10分程度")</f>
        <v>・阪急線
・バストイレ別
・2階以上
・駅から徒歩10分程度</v>
      </c>
      <c r="AE413" s="6" t="str">
        <f aca="false">IFERROR(__xludf.dummyfunction("""COMPUTED_VALUE"""),"確認しました。")</f>
        <v>確認しました。</v>
      </c>
      <c r="AF413" s="6" t="str">
        <f aca="false">IFERROR(__xludf.dummyfunction("""COMPUTED_VALUE"""),"社宅基準の内容について確認しました")</f>
        <v>社宅基準の内容について確認しました</v>
      </c>
      <c r="AG413" s="6" t="str">
        <f aca="false">IFERROR(__xludf.dummyfunction("""COMPUTED_VALUE"""),"入居のしおりの内容についてご確認しました")</f>
        <v>入居のしおりの内容についてご確認しました</v>
      </c>
      <c r="AH413" s="6" t="str">
        <f aca="false">IFERROR(__xludf.dummyfunction("""COMPUTED_VALUE"""),"確認しました")</f>
        <v>確認しました</v>
      </c>
      <c r="AI413" s="6"/>
      <c r="AJ413" s="6" t="str">
        <v/>
      </c>
      <c r="AK413" s="6" t="str">
        <v/>
      </c>
      <c r="AL413" s="6" t="str">
        <v/>
      </c>
      <c r="AM413" s="6" t="str">
        <v/>
      </c>
      <c r="AN413" s="6" t="n">
        <f aca="false">FALSE()</f>
        <v>0</v>
      </c>
    </row>
    <row r="414" customFormat="false" ht="52.5" hidden="false" customHeight="true" outlineLevel="0" collapsed="false">
      <c r="A414" s="6" t="str">
        <f aca="false">IFERROR(__xludf.dummyfunction("""COMPUTED_VALUE"""),"2026/03/19 10:08:13")</f>
        <v>2026/03/19 10:08:13</v>
      </c>
      <c r="B414" s="6"/>
      <c r="C414" s="6" t="str">
        <f aca="false">IFERROR(__xludf.dummyfunction("""COMPUTED_VALUE"""),"71489")</f>
        <v>71489</v>
      </c>
      <c r="D414" s="6"/>
      <c r="E414" s="6"/>
      <c r="F414" s="6"/>
      <c r="G414" s="6" t="str">
        <f aca="false">IFERROR(__xludf.dummyfunction("""COMPUTED_VALUE"""),"2026/03/30")</f>
        <v>2026/03/30</v>
      </c>
      <c r="H414" s="6" t="str">
        <f aca="false">IFERROR(__xludf.dummyfunction("""COMPUTED_VALUE"""),"必要")</f>
        <v>必要</v>
      </c>
      <c r="I414" s="6" t="str">
        <f aca="false">IFERROR(__xludf.dummyfunction("""COMPUTED_VALUE"""),"男性")</f>
        <v>男性</v>
      </c>
      <c r="J414" s="6" t="str">
        <f aca="false">IFERROR(__xludf.dummyfunction("""COMPUTED_VALUE"""),"日本")</f>
        <v>日本</v>
      </c>
      <c r="K414" s="6" t="str">
        <f aca="false">IFERROR(__xludf.dummyfunction("""COMPUTED_VALUE"""),"10")</f>
        <v>10</v>
      </c>
      <c r="L414" s="6" t="str">
        <f aca="false">IFERROR(__xludf.dummyfunction("""COMPUTED_VALUE"""),"27インチモニター")</f>
        <v>27インチモニター</v>
      </c>
      <c r="M414" s="6" t="str">
        <f aca="false">IFERROR(__xludf.dummyfunction("""COMPUTED_VALUE"""),"1人がけゲーミングチェア")</f>
        <v>1人がけゲーミングチェア</v>
      </c>
      <c r="N414" s="6" t="str">
        <f aca="false">IFERROR(__xludf.dummyfunction("""COMPUTED_VALUE"""),"自転車")</f>
        <v>自転車</v>
      </c>
      <c r="O414" s="6" t="str">
        <f aca="false">IFERROR(__xludf.dummyfunction("""COMPUTED_VALUE"""),"不要")</f>
        <v>不要</v>
      </c>
      <c r="P414" s="6"/>
      <c r="Q414" s="6"/>
      <c r="R414" s="6"/>
      <c r="S414" s="6" t="str">
        <f aca="false">IFERROR(__xludf.dummyfunction("""COMPUTED_VALUE"""),"家具家電付き社宅")</f>
        <v>家具家電付き社宅</v>
      </c>
      <c r="T414" s="6" t="str">
        <f aca="false">IFERROR(__xludf.dummyfunction("""COMPUTED_VALUE"""),"利用しない")</f>
        <v>利用しない</v>
      </c>
      <c r="U414" s="6"/>
      <c r="V414" s="6" t="str">
        <f aca="false">IFERROR(__xludf.dummyfunction("""COMPUTED_VALUE"""),"バス, 社用バス")</f>
        <v>バス, 社用バス</v>
      </c>
      <c r="W414" s="6"/>
      <c r="X414" s="6" t="str">
        <f aca="false">IFERROR(__xludf.dummyfunction("""COMPUTED_VALUE"""),"株式会社ビーネックステクノロジーズの社宅")</f>
        <v>株式会社ビーネックステクノロジーズの社宅</v>
      </c>
      <c r="Y414" s="6" t="str">
        <f aca="false">IFERROR(__xludf.dummyfunction("""COMPUTED_VALUE"""),"利用なし")</f>
        <v>利用なし</v>
      </c>
      <c r="Z414" s="6" t="str">
        <f aca="false">IFERROR(__xludf.dummyfunction("""COMPUTED_VALUE"""),"希望する")</f>
        <v>希望する</v>
      </c>
      <c r="AA414" s="6" t="str">
        <f aca="false">IFERROR(__xludf.dummyfunction("""COMPUTED_VALUE"""),"単身")</f>
        <v>単身</v>
      </c>
      <c r="AB414" s="6"/>
      <c r="AC414" s="6"/>
      <c r="AD414" s="6"/>
      <c r="AE414" s="6" t="str">
        <f aca="false">IFERROR(__xludf.dummyfunction("""COMPUTED_VALUE"""),"確認しました。")</f>
        <v>確認しました。</v>
      </c>
      <c r="AF414" s="6" t="str">
        <f aca="false">IFERROR(__xludf.dummyfunction("""COMPUTED_VALUE"""),"社宅基準の内容について確認しました")</f>
        <v>社宅基準の内容について確認しました</v>
      </c>
      <c r="AG414" s="6" t="str">
        <f aca="false">IFERROR(__xludf.dummyfunction("""COMPUTED_VALUE"""),"入居のしおりの内容についてご確認しました")</f>
        <v>入居のしおりの内容についてご確認しました</v>
      </c>
      <c r="AH414" s="6" t="str">
        <f aca="false">IFERROR(__xludf.dummyfunction("""COMPUTED_VALUE"""),"確認しました")</f>
        <v>確認しました</v>
      </c>
      <c r="AI414" s="6"/>
      <c r="AJ414" s="6" t="str">
        <v/>
      </c>
      <c r="AK414" s="6" t="str">
        <v/>
      </c>
      <c r="AL414" s="6" t="str">
        <v/>
      </c>
      <c r="AM414" s="6" t="str">
        <v/>
      </c>
      <c r="AN414" s="6" t="n">
        <f aca="false">FALSE()</f>
        <v>0</v>
      </c>
    </row>
    <row r="415" customFormat="false" ht="52.5" hidden="false" customHeight="true" outlineLevel="0" collapsed="false">
      <c r="A415" s="6" t="str">
        <f aca="false">IFERROR(__xludf.dummyfunction("""COMPUTED_VALUE"""),"2026/03/19 11:20:12")</f>
        <v>2026/03/19 11:20:12</v>
      </c>
      <c r="B415" s="6"/>
      <c r="C415" s="6" t="str">
        <f aca="false">IFERROR(__xludf.dummyfunction("""COMPUTED_VALUE"""),"71442")</f>
        <v>71442</v>
      </c>
      <c r="D415" s="6"/>
      <c r="E415" s="6"/>
      <c r="F415" s="6"/>
      <c r="G415" s="6" t="str">
        <f aca="false">IFERROR(__xludf.dummyfunction("""COMPUTED_VALUE"""),"2026/03/30")</f>
        <v>2026/03/30</v>
      </c>
      <c r="H415" s="6" t="str">
        <f aca="false">IFERROR(__xludf.dummyfunction("""COMPUTED_VALUE"""),"不要")</f>
        <v>不要</v>
      </c>
      <c r="I415" s="6" t="str">
        <f aca="false">IFERROR(__xludf.dummyfunction("""COMPUTED_VALUE"""),"女性")</f>
        <v>女性</v>
      </c>
      <c r="J415" s="6" t="str">
        <f aca="false">IFERROR(__xludf.dummyfunction("""COMPUTED_VALUE"""),"日本")</f>
        <v>日本</v>
      </c>
      <c r="K415" s="6"/>
      <c r="L415" s="6"/>
      <c r="M415" s="6"/>
      <c r="N415" s="6"/>
      <c r="O415" s="6" t="str">
        <f aca="false">IFERROR(__xludf.dummyfunction("""COMPUTED_VALUE"""),"不要")</f>
        <v>不要</v>
      </c>
      <c r="P415" s="6"/>
      <c r="Q415" s="6"/>
      <c r="R415" s="6"/>
      <c r="S415" s="6" t="str">
        <f aca="false">IFERROR(__xludf.dummyfunction("""COMPUTED_VALUE"""),"家具家電付き社宅")</f>
        <v>家具家電付き社宅</v>
      </c>
      <c r="T415" s="6" t="str">
        <f aca="false">IFERROR(__xludf.dummyfunction("""COMPUTED_VALUE"""),"利用しない")</f>
        <v>利用しない</v>
      </c>
      <c r="U415" s="6"/>
      <c r="V415" s="6" t="str">
        <f aca="false">IFERROR(__xludf.dummyfunction("""COMPUTED_VALUE"""),"徒歩, 電車, バス, 社用バス")</f>
        <v>徒歩, 電車, バス, 社用バス</v>
      </c>
      <c r="W415" s="6"/>
      <c r="X415" s="6" t="str">
        <f aca="false">IFERROR(__xludf.dummyfunction("""COMPUTED_VALUE"""),"実家")</f>
        <v>実家</v>
      </c>
      <c r="Y415" s="6"/>
      <c r="Z415" s="6" t="str">
        <f aca="false">IFERROR(__xludf.dummyfunction("""COMPUTED_VALUE"""),"希望する")</f>
        <v>希望する</v>
      </c>
      <c r="AA415" s="6" t="str">
        <f aca="false">IFERROR(__xludf.dummyfunction("""COMPUTED_VALUE"""),"単身")</f>
        <v>単身</v>
      </c>
      <c r="AB415" s="6"/>
      <c r="AC415" s="6"/>
      <c r="AD415" s="6"/>
      <c r="AE415" s="6" t="str">
        <f aca="false">IFERROR(__xludf.dummyfunction("""COMPUTED_VALUE"""),"確認しました。")</f>
        <v>確認しました。</v>
      </c>
      <c r="AF415" s="6" t="str">
        <f aca="false">IFERROR(__xludf.dummyfunction("""COMPUTED_VALUE"""),"社宅基準の内容について確認しました")</f>
        <v>社宅基準の内容について確認しました</v>
      </c>
      <c r="AG415" s="6" t="str">
        <f aca="false">IFERROR(__xludf.dummyfunction("""COMPUTED_VALUE"""),"入居のしおりの内容についてご確認しました")</f>
        <v>入居のしおりの内容についてご確認しました</v>
      </c>
      <c r="AH415" s="6" t="str">
        <f aca="false">IFERROR(__xludf.dummyfunction("""COMPUTED_VALUE"""),"確認しました")</f>
        <v>確認しました</v>
      </c>
      <c r="AI415" s="6"/>
      <c r="AJ415" s="6" t="str">
        <v/>
      </c>
      <c r="AK415" s="6" t="str">
        <v/>
      </c>
      <c r="AL415" s="6" t="str">
        <v/>
      </c>
      <c r="AM415" s="6" t="str">
        <v/>
      </c>
      <c r="AN415" s="6" t="n">
        <f aca="false">FALSE()</f>
        <v>0</v>
      </c>
    </row>
    <row r="416" customFormat="false" ht="52.5" hidden="false" customHeight="true" outlineLevel="0" collapsed="false">
      <c r="A416" s="6" t="str">
        <f aca="false">IFERROR(__xludf.dummyfunction("""COMPUTED_VALUE"""),"2026/03/19 12:06:15")</f>
        <v>2026/03/19 12:06:15</v>
      </c>
      <c r="B416" s="6"/>
      <c r="C416" s="6" t="str">
        <f aca="false">IFERROR(__xludf.dummyfunction("""COMPUTED_VALUE"""),"71494")</f>
        <v>71494</v>
      </c>
      <c r="D416" s="6"/>
      <c r="E416" s="6"/>
      <c r="F416" s="6"/>
      <c r="G416" s="6" t="str">
        <f aca="false">IFERROR(__xludf.dummyfunction("""COMPUTED_VALUE"""),"2026/04/12")</f>
        <v>2026/04/12</v>
      </c>
      <c r="H416" s="6" t="str">
        <f aca="false">IFERROR(__xludf.dummyfunction("""COMPUTED_VALUE"""),"必要")</f>
        <v>必要</v>
      </c>
      <c r="I416" s="6" t="str">
        <f aca="false">IFERROR(__xludf.dummyfunction("""COMPUTED_VALUE"""),"男性")</f>
        <v>男性</v>
      </c>
      <c r="J416" s="6" t="str">
        <f aca="false">IFERROR(__xludf.dummyfunction("""COMPUTED_VALUE"""),"日本")</f>
        <v>日本</v>
      </c>
      <c r="K416" s="6" t="str">
        <f aca="false">IFERROR(__xludf.dummyfunction("""COMPUTED_VALUE"""),"5")</f>
        <v>5</v>
      </c>
      <c r="L416" s="6" t="str">
        <f aca="false">IFERROR(__xludf.dummyfunction("""COMPUTED_VALUE"""),"家族用冷蔵庫")</f>
        <v>家族用冷蔵庫</v>
      </c>
      <c r="M416" s="6" t="str">
        <f aca="false">IFERROR(__xludf.dummyfunction("""COMPUTED_VALUE"""),"ベッド（シングル）、勉強机（横幅100㎝、奥行き70cm、高さ120cm)")</f>
        <v>ベッド（シングル）、勉強机（横幅100㎝、奥行き70cm、高さ120cm)</v>
      </c>
      <c r="N416" s="6" t="str">
        <f aca="false">IFERROR(__xludf.dummyfunction("""COMPUTED_VALUE"""),"自転車")</f>
        <v>自転車</v>
      </c>
      <c r="O416" s="6" t="str">
        <f aca="false">IFERROR(__xludf.dummyfunction("""COMPUTED_VALUE"""),"不要")</f>
        <v>不要</v>
      </c>
      <c r="P416" s="6"/>
      <c r="Q416" s="6"/>
      <c r="R416" s="6"/>
      <c r="S416" s="6" t="str">
        <f aca="false">IFERROR(__xludf.dummyfunction("""COMPUTED_VALUE"""),"家具家電付き社宅")</f>
        <v>家具家電付き社宅</v>
      </c>
      <c r="T416" s="6" t="str">
        <f aca="false">IFERROR(__xludf.dummyfunction("""COMPUTED_VALUE"""),"利用する")</f>
        <v>利用する</v>
      </c>
      <c r="U416" s="6" t="str">
        <f aca="false">IFERROR(__xludf.dummyfunction("""COMPUTED_VALUE"""),"地デジ液晶テレビ19インチ、テレビ台、炊飯器、電子レンジ、エアコン、掃除機、ベッド、ベッド用マットレス、ガスコンロ、冷凍冷蔵庫、全自動洗濯機、電気湯沸かしポット、照明器具、")</f>
        <v>地デジ液晶テレビ19インチ、テレビ台、炊飯器、電子レンジ、エアコン、掃除機、ベッド、ベッド用マットレス、ガスコンロ、冷凍冷蔵庫、全自動洗濯機、電気湯沸かしポット、照明器具、</v>
      </c>
      <c r="V416" s="6" t="str">
        <f aca="false">IFERROR(__xludf.dummyfunction("""COMPUTED_VALUE"""),"徒歩, 自転車")</f>
        <v>徒歩, 自転車</v>
      </c>
      <c r="W416" s="6"/>
      <c r="X416" s="6" t="str">
        <f aca="false">IFERROR(__xludf.dummyfunction("""COMPUTED_VALUE"""),"実家")</f>
        <v>実家</v>
      </c>
      <c r="Y416" s="6"/>
      <c r="Z416" s="6" t="str">
        <f aca="false">IFERROR(__xludf.dummyfunction("""COMPUTED_VALUE"""),"希望する")</f>
        <v>希望する</v>
      </c>
      <c r="AA416" s="6" t="str">
        <f aca="false">IFERROR(__xludf.dummyfunction("""COMPUTED_VALUE"""),"単身")</f>
        <v>単身</v>
      </c>
      <c r="AB416" s="6"/>
      <c r="AC416" s="6"/>
      <c r="AD416" s="6"/>
      <c r="AE416" s="6" t="str">
        <f aca="false">IFERROR(__xludf.dummyfunction("""COMPUTED_VALUE"""),"確認しました。")</f>
        <v>確認しました。</v>
      </c>
      <c r="AF416" s="6" t="str">
        <f aca="false">IFERROR(__xludf.dummyfunction("""COMPUTED_VALUE"""),"社宅基準の内容について確認しました")</f>
        <v>社宅基準の内容について確認しました</v>
      </c>
      <c r="AG416" s="6" t="str">
        <f aca="false">IFERROR(__xludf.dummyfunction("""COMPUTED_VALUE"""),"入居のしおりの内容についてご確認しました")</f>
        <v>入居のしおりの内容についてご確認しました</v>
      </c>
      <c r="AH416" s="6" t="str">
        <f aca="false">IFERROR(__xludf.dummyfunction("""COMPUTED_VALUE"""),"確認しました")</f>
        <v>確認しました</v>
      </c>
      <c r="AI416" s="6"/>
      <c r="AJ416" s="6" t="str">
        <v/>
      </c>
      <c r="AK416" s="6" t="str">
        <v/>
      </c>
      <c r="AL416" s="6" t="str">
        <v/>
      </c>
      <c r="AM416" s="6" t="str">
        <v/>
      </c>
      <c r="AN416" s="6" t="n">
        <f aca="false">FALSE()</f>
        <v>0</v>
      </c>
    </row>
    <row r="417" customFormat="false" ht="52.5" hidden="false" customHeight="true" outlineLevel="0" collapsed="false">
      <c r="A417" s="6" t="str">
        <f aca="false">IFERROR(__xludf.dummyfunction("""COMPUTED_VALUE"""),"2026/03/19 12:30:40")</f>
        <v>2026/03/19 12:30:40</v>
      </c>
      <c r="B417" s="6"/>
      <c r="C417" s="6" t="str">
        <f aca="false">IFERROR(__xludf.dummyfunction("""COMPUTED_VALUE"""),"71457")</f>
        <v>71457</v>
      </c>
      <c r="D417" s="6"/>
      <c r="E417" s="6"/>
      <c r="F417" s="6"/>
      <c r="G417" s="6" t="str">
        <f aca="false">IFERROR(__xludf.dummyfunction("""COMPUTED_VALUE"""),"2026/05/01")</f>
        <v>2026/05/01</v>
      </c>
      <c r="H417" s="6" t="str">
        <f aca="false">IFERROR(__xludf.dummyfunction("""COMPUTED_VALUE"""),"必要")</f>
        <v>必要</v>
      </c>
      <c r="I417" s="6" t="str">
        <f aca="false">IFERROR(__xludf.dummyfunction("""COMPUTED_VALUE"""),"男性")</f>
        <v>男性</v>
      </c>
      <c r="J417" s="6" t="str">
        <f aca="false">IFERROR(__xludf.dummyfunction("""COMPUTED_VALUE"""),"日本")</f>
        <v>日本</v>
      </c>
      <c r="K417" s="6" t="str">
        <f aca="false">IFERROR(__xludf.dummyfunction("""COMPUTED_VALUE"""),"20")</f>
        <v>20</v>
      </c>
      <c r="L417" s="6" t="str">
        <f aca="false">IFERROR(__xludf.dummyfunction("""COMPUTED_VALUE"""),"なし")</f>
        <v>なし</v>
      </c>
      <c r="M417" s="6" t="str">
        <f aca="false">IFERROR(__xludf.dummyfunction("""COMPUTED_VALUE"""),"デスク、本棚、タンス")</f>
        <v>デスク、本棚、タンス</v>
      </c>
      <c r="N417" s="6" t="str">
        <f aca="false">IFERROR(__xludf.dummyfunction("""COMPUTED_VALUE"""),"自転車、ギター3本、デスクトップPC、")</f>
        <v>自転車、ギター3本、デスクトップPC、</v>
      </c>
      <c r="O417" s="6" t="str">
        <f aca="false">IFERROR(__xludf.dummyfunction("""COMPUTED_VALUE"""),"不要")</f>
        <v>不要</v>
      </c>
      <c r="P417" s="6"/>
      <c r="Q417" s="6"/>
      <c r="R417" s="6"/>
      <c r="S417" s="6" t="str">
        <f aca="false">IFERROR(__xludf.dummyfunction("""COMPUTED_VALUE"""),"家具家電なし社宅")</f>
        <v>家具家電なし社宅</v>
      </c>
      <c r="T417" s="6" t="str">
        <f aca="false">IFERROR(__xludf.dummyfunction("""COMPUTED_VALUE"""),"利用しない")</f>
        <v>利用しない</v>
      </c>
      <c r="U417" s="6"/>
      <c r="V417" s="6" t="str">
        <f aca="false">IFERROR(__xludf.dummyfunction("""COMPUTED_VALUE"""),"徒歩, 自転車, 電車")</f>
        <v>徒歩, 自転車, 電車</v>
      </c>
      <c r="W417" s="6"/>
      <c r="X417" s="6" t="str">
        <f aca="false">IFERROR(__xludf.dummyfunction("""COMPUTED_VALUE"""),"実家")</f>
        <v>実家</v>
      </c>
      <c r="Y417" s="6"/>
      <c r="Z417" s="6" t="str">
        <f aca="false">IFERROR(__xludf.dummyfunction("""COMPUTED_VALUE"""),"希望しない")</f>
        <v>希望しない</v>
      </c>
      <c r="AA417" s="6" t="str">
        <f aca="false">IFERROR(__xludf.dummyfunction("""COMPUTED_VALUE"""),"単身")</f>
        <v>単身</v>
      </c>
      <c r="AB417" s="6"/>
      <c r="AC417" s="6"/>
      <c r="AD417" s="6" t="str">
        <f aca="false">IFERROR(__xludf.dummyfunction("""COMPUTED_VALUE"""),"ギターを生音で演奏できる程度(日常会話程度の音量)の防音設備があると嬉しいです。トイレとお風呂が別のものが嬉しいです。")</f>
        <v>ギターを生音で演奏できる程度(日常会話程度の音量)の防音設備があると嬉しいです。トイレとお風呂が別のものが嬉しいです。</v>
      </c>
      <c r="AE417" s="6" t="str">
        <f aca="false">IFERROR(__xludf.dummyfunction("""COMPUTED_VALUE"""),"確認しました。")</f>
        <v>確認しました。</v>
      </c>
      <c r="AF417" s="6" t="str">
        <f aca="false">IFERROR(__xludf.dummyfunction("""COMPUTED_VALUE"""),"社宅基準の内容について確認しました")</f>
        <v>社宅基準の内容について確認しました</v>
      </c>
      <c r="AG417" s="6" t="str">
        <f aca="false">IFERROR(__xludf.dummyfunction("""COMPUTED_VALUE"""),"入居のしおりの内容についてご確認しました")</f>
        <v>入居のしおりの内容についてご確認しました</v>
      </c>
      <c r="AH417" s="6" t="str">
        <f aca="false">IFERROR(__xludf.dummyfunction("""COMPUTED_VALUE"""),"確認しました")</f>
        <v>確認しました</v>
      </c>
      <c r="AI417" s="6"/>
      <c r="AJ417" s="6" t="str">
        <v/>
      </c>
      <c r="AK417" s="6" t="str">
        <v/>
      </c>
      <c r="AL417" s="6" t="str">
        <v/>
      </c>
      <c r="AM417" s="6" t="str">
        <v/>
      </c>
      <c r="AN417" s="6" t="n">
        <f aca="false">FALSE()</f>
        <v>0</v>
      </c>
    </row>
    <row r="418" customFormat="false" ht="52.5" hidden="false" customHeight="true" outlineLevel="0" collapsed="false">
      <c r="A418" s="6" t="str">
        <f aca="false">IFERROR(__xludf.dummyfunction("""COMPUTED_VALUE"""),"2026/03/19 13:14:14")</f>
        <v>2026/03/19 13:14:14</v>
      </c>
      <c r="B418" s="6"/>
      <c r="C418" s="6" t="str">
        <f aca="false">IFERROR(__xludf.dummyfunction("""COMPUTED_VALUE"""),"71539")</f>
        <v>71539</v>
      </c>
      <c r="D418" s="6"/>
      <c r="E418" s="6"/>
      <c r="F418" s="6"/>
      <c r="G418" s="6" t="str">
        <f aca="false">IFERROR(__xludf.dummyfunction("""COMPUTED_VALUE"""),"2026/03/28")</f>
        <v>2026/03/28</v>
      </c>
      <c r="H418" s="6" t="str">
        <f aca="false">IFERROR(__xludf.dummyfunction("""COMPUTED_VALUE"""),"必要")</f>
        <v>必要</v>
      </c>
      <c r="I418" s="6" t="str">
        <f aca="false">IFERROR(__xludf.dummyfunction("""COMPUTED_VALUE"""),"男性")</f>
        <v>男性</v>
      </c>
      <c r="J418" s="6" t="str">
        <f aca="false">IFERROR(__xludf.dummyfunction("""COMPUTED_VALUE"""),"日本")</f>
        <v>日本</v>
      </c>
      <c r="K418" s="6" t="str">
        <f aca="false">IFERROR(__xludf.dummyfunction("""COMPUTED_VALUE"""),"15")</f>
        <v>15</v>
      </c>
      <c r="L418" s="6" t="str">
        <f aca="false">IFERROR(__xludf.dummyfunction("""COMPUTED_VALUE"""),"PC.モニター")</f>
        <v>PC.モニター</v>
      </c>
      <c r="M418" s="6" t="str">
        <f aca="false">IFERROR(__xludf.dummyfunction("""COMPUTED_VALUE"""),"大型机(横2m奥行50cm縦70cm)")</f>
        <v>大型机(横2m奥行50cm縦70cm)</v>
      </c>
      <c r="N418" s="6" t="str">
        <f aca="false">IFERROR(__xludf.dummyfunction("""COMPUTED_VALUE"""),"なし")</f>
        <v>なし</v>
      </c>
      <c r="O418" s="6" t="str">
        <f aca="false">IFERROR(__xludf.dummyfunction("""COMPUTED_VALUE"""),"不要")</f>
        <v>不要</v>
      </c>
      <c r="P418" s="6"/>
      <c r="Q418" s="6"/>
      <c r="R418" s="6"/>
      <c r="S418" s="6" t="str">
        <f aca="false">IFERROR(__xludf.dummyfunction("""COMPUTED_VALUE"""),"家具家電付き社宅")</f>
        <v>家具家電付き社宅</v>
      </c>
      <c r="T418" s="6" t="str">
        <f aca="false">IFERROR(__xludf.dummyfunction("""COMPUTED_VALUE"""),"利用しない")</f>
        <v>利用しない</v>
      </c>
      <c r="U418" s="6"/>
      <c r="V418" s="6" t="str">
        <f aca="false">IFERROR(__xludf.dummyfunction("""COMPUTED_VALUE"""),"自動車, 電車")</f>
        <v>自動車, 電車</v>
      </c>
      <c r="W418" s="6"/>
      <c r="X418" s="6" t="str">
        <f aca="false">IFERROR(__xludf.dummyfunction("""COMPUTED_VALUE"""),"実家")</f>
        <v>実家</v>
      </c>
      <c r="Y418" s="6"/>
      <c r="Z418" s="6" t="str">
        <f aca="false">IFERROR(__xludf.dummyfunction("""COMPUTED_VALUE"""),"希望する")</f>
        <v>希望する</v>
      </c>
      <c r="AA418" s="6" t="str">
        <f aca="false">IFERROR(__xludf.dummyfunction("""COMPUTED_VALUE"""),"単身")</f>
        <v>単身</v>
      </c>
      <c r="AB418" s="6"/>
      <c r="AC418" s="6"/>
      <c r="AD418" s="6" t="str">
        <f aca="false">IFERROR(__xludf.dummyfunction("""COMPUTED_VALUE"""),"出来れば防音対策がしっかりされてるところが良いです。")</f>
        <v>出来れば防音対策がしっかりされてるところが良いです。</v>
      </c>
      <c r="AE418" s="6" t="str">
        <f aca="false">IFERROR(__xludf.dummyfunction("""COMPUTED_VALUE"""),"確認しました。")</f>
        <v>確認しました。</v>
      </c>
      <c r="AF418" s="6" t="str">
        <f aca="false">IFERROR(__xludf.dummyfunction("""COMPUTED_VALUE"""),"社宅基準の内容について確認しました")</f>
        <v>社宅基準の内容について確認しました</v>
      </c>
      <c r="AG418" s="6" t="str">
        <f aca="false">IFERROR(__xludf.dummyfunction("""COMPUTED_VALUE"""),"入居のしおりの内容についてご確認しました")</f>
        <v>入居のしおりの内容についてご確認しました</v>
      </c>
      <c r="AH418" s="6" t="str">
        <f aca="false">IFERROR(__xludf.dummyfunction("""COMPUTED_VALUE"""),"確認しました")</f>
        <v>確認しました</v>
      </c>
      <c r="AI418" s="6"/>
      <c r="AJ418" s="6" t="str">
        <v/>
      </c>
      <c r="AK418" s="6" t="str">
        <v/>
      </c>
      <c r="AL418" s="6" t="str">
        <v/>
      </c>
      <c r="AM418" s="6" t="str">
        <v/>
      </c>
      <c r="AN418" s="6" t="n">
        <f aca="false">FALSE()</f>
        <v>0</v>
      </c>
    </row>
    <row r="419" customFormat="false" ht="52.5" hidden="false" customHeight="true" outlineLevel="0" collapsed="false">
      <c r="A419" s="6" t="str">
        <f aca="false">IFERROR(__xludf.dummyfunction("""COMPUTED_VALUE"""),"2026/03/19 16:42:40")</f>
        <v>2026/03/19 16:42:40</v>
      </c>
      <c r="B419" s="6"/>
      <c r="C419" s="6" t="str">
        <f aca="false">IFERROR(__xludf.dummyfunction("""COMPUTED_VALUE"""),"71496")</f>
        <v>71496</v>
      </c>
      <c r="D419" s="6"/>
      <c r="E419" s="6"/>
      <c r="F419" s="6"/>
      <c r="G419" s="6" t="str">
        <f aca="false">IFERROR(__xludf.dummyfunction("""COMPUTED_VALUE"""),"2026/04/06")</f>
        <v>2026/04/06</v>
      </c>
      <c r="H419" s="6" t="str">
        <f aca="false">IFERROR(__xludf.dummyfunction("""COMPUTED_VALUE"""),"不要")</f>
        <v>不要</v>
      </c>
      <c r="I419" s="6" t="str">
        <f aca="false">IFERROR(__xludf.dummyfunction("""COMPUTED_VALUE"""),"男性")</f>
        <v>男性</v>
      </c>
      <c r="J419" s="6" t="str">
        <f aca="false">IFERROR(__xludf.dummyfunction("""COMPUTED_VALUE"""),"日本")</f>
        <v>日本</v>
      </c>
      <c r="K419" s="6"/>
      <c r="L419" s="6"/>
      <c r="M419" s="6"/>
      <c r="N419" s="6"/>
      <c r="O419" s="6" t="str">
        <f aca="false">IFERROR(__xludf.dummyfunction("""COMPUTED_VALUE"""),"不要")</f>
        <v>不要</v>
      </c>
      <c r="P419" s="6"/>
      <c r="Q419" s="6"/>
      <c r="R419" s="6"/>
      <c r="S419" s="6" t="str">
        <f aca="false">IFERROR(__xludf.dummyfunction("""COMPUTED_VALUE"""),"家具家電付き社宅")</f>
        <v>家具家電付き社宅</v>
      </c>
      <c r="T419" s="6" t="str">
        <f aca="false">IFERROR(__xludf.dummyfunction("""COMPUTED_VALUE"""),"利用しない")</f>
        <v>利用しない</v>
      </c>
      <c r="U419" s="6"/>
      <c r="V419" s="6" t="str">
        <f aca="false">IFERROR(__xludf.dummyfunction("""COMPUTED_VALUE"""),"徒歩, 自動車, 電車")</f>
        <v>徒歩, 自動車, 電車</v>
      </c>
      <c r="W419" s="6"/>
      <c r="X419" s="6" t="str">
        <f aca="false">IFERROR(__xludf.dummyfunction("""COMPUTED_VALUE"""),"実家")</f>
        <v>実家</v>
      </c>
      <c r="Y419" s="6"/>
      <c r="Z419" s="6" t="str">
        <f aca="false">IFERROR(__xludf.dummyfunction("""COMPUTED_VALUE"""),"希望しない")</f>
        <v>希望しない</v>
      </c>
      <c r="AA419" s="6" t="str">
        <f aca="false">IFERROR(__xludf.dummyfunction("""COMPUTED_VALUE"""),"単身")</f>
        <v>単身</v>
      </c>
      <c r="AB419" s="6"/>
      <c r="AC419" s="6"/>
      <c r="AD419" s="6"/>
      <c r="AE419" s="6" t="str">
        <f aca="false">IFERROR(__xludf.dummyfunction("""COMPUTED_VALUE"""),"確認しました。")</f>
        <v>確認しました。</v>
      </c>
      <c r="AF419" s="6" t="str">
        <f aca="false">IFERROR(__xludf.dummyfunction("""COMPUTED_VALUE"""),"社宅基準の内容について確認しました")</f>
        <v>社宅基準の内容について確認しました</v>
      </c>
      <c r="AG419" s="6" t="str">
        <f aca="false">IFERROR(__xludf.dummyfunction("""COMPUTED_VALUE"""),"入居のしおりの内容についてご確認しました")</f>
        <v>入居のしおりの内容についてご確認しました</v>
      </c>
      <c r="AH419" s="6" t="str">
        <f aca="false">IFERROR(__xludf.dummyfunction("""COMPUTED_VALUE"""),"確認しました")</f>
        <v>確認しました</v>
      </c>
      <c r="AI419" s="6"/>
      <c r="AJ419" s="6" t="str">
        <v/>
      </c>
      <c r="AK419" s="6" t="str">
        <v/>
      </c>
      <c r="AL419" s="6" t="str">
        <v/>
      </c>
      <c r="AM419" s="6" t="str">
        <v/>
      </c>
      <c r="AN419" s="6" t="n">
        <f aca="false">FALSE()</f>
        <v>0</v>
      </c>
    </row>
    <row r="420" customFormat="false" ht="52.5" hidden="false" customHeight="true" outlineLevel="0" collapsed="false">
      <c r="A420" s="6" t="str">
        <f aca="false">IFERROR(__xludf.dummyfunction("""COMPUTED_VALUE"""),"2026/03/19 17:07:30")</f>
        <v>2026/03/19 17:07:30</v>
      </c>
      <c r="B420" s="6"/>
      <c r="C420" s="6" t="str">
        <f aca="false">IFERROR(__xludf.dummyfunction("""COMPUTED_VALUE"""),"71572")</f>
        <v>71572</v>
      </c>
      <c r="D420" s="6"/>
      <c r="E420" s="6"/>
      <c r="F420" s="6"/>
      <c r="G420" s="6" t="str">
        <f aca="false">IFERROR(__xludf.dummyfunction("""COMPUTED_VALUE"""),"2026/03/30")</f>
        <v>2026/03/30</v>
      </c>
      <c r="H420" s="6" t="str">
        <f aca="false">IFERROR(__xludf.dummyfunction("""COMPUTED_VALUE"""),"必要")</f>
        <v>必要</v>
      </c>
      <c r="I420" s="6" t="str">
        <f aca="false">IFERROR(__xludf.dummyfunction("""COMPUTED_VALUE"""),"男性")</f>
        <v>男性</v>
      </c>
      <c r="J420" s="6" t="str">
        <f aca="false">IFERROR(__xludf.dummyfunction("""COMPUTED_VALUE"""),"日本")</f>
        <v>日本</v>
      </c>
      <c r="K420" s="6" t="str">
        <f aca="false">IFERROR(__xludf.dummyfunction("""COMPUTED_VALUE"""),"5")</f>
        <v>5</v>
      </c>
      <c r="L420" s="6" t="str">
        <f aca="false">IFERROR(__xludf.dummyfunction("""COMPUTED_VALUE"""),"単身用冷蔵庫、洗濯機、テレビ、電子レンジ、掃除機")</f>
        <v>単身用冷蔵庫、洗濯機、テレビ、電子レンジ、掃除機</v>
      </c>
      <c r="M420" s="6" t="str">
        <f aca="false">IFERROR(__xludf.dummyfunction("""COMPUTED_VALUE"""),"シングルベッド、三人掛けソファ、PCデスク、テーブル、本棚、プラスチックタンス、テレビ台、棚、カーペット")</f>
        <v>シングルベッド、三人掛けソファ、PCデスク、テーブル、本棚、プラスチックタンス、テレビ台、棚、カーペット</v>
      </c>
      <c r="N420" s="6" t="str">
        <f aca="false">IFERROR(__xludf.dummyfunction("""COMPUTED_VALUE"""),"衣装ケース")</f>
        <v>衣装ケース</v>
      </c>
      <c r="O420" s="6" t="str">
        <f aca="false">IFERROR(__xludf.dummyfunction("""COMPUTED_VALUE"""),"不要")</f>
        <v>不要</v>
      </c>
      <c r="P420" s="6"/>
      <c r="Q420" s="6"/>
      <c r="R420" s="6"/>
      <c r="S420" s="6" t="str">
        <f aca="false">IFERROR(__xludf.dummyfunction("""COMPUTED_VALUE"""),"家具家電なし社宅")</f>
        <v>家具家電なし社宅</v>
      </c>
      <c r="T420" s="6" t="str">
        <f aca="false">IFERROR(__xludf.dummyfunction("""COMPUTED_VALUE"""),"利用しない")</f>
        <v>利用しない</v>
      </c>
      <c r="U420" s="6"/>
      <c r="V420" s="6" t="str">
        <f aca="false">IFERROR(__xludf.dummyfunction("""COMPUTED_VALUE"""),"大型自動二輪")</f>
        <v>大型自動二輪</v>
      </c>
      <c r="W420" s="6"/>
      <c r="X420" s="6" t="str">
        <f aca="false">IFERROR(__xludf.dummyfunction("""COMPUTED_VALUE"""),"株式会社ビーネックステクノロジーズの社宅")</f>
        <v>株式会社ビーネックステクノロジーズの社宅</v>
      </c>
      <c r="Y420" s="6" t="str">
        <f aca="false">IFERROR(__xludf.dummyfunction("""COMPUTED_VALUE"""),"なし")</f>
        <v>なし</v>
      </c>
      <c r="Z420" s="6" t="str">
        <f aca="false">IFERROR(__xludf.dummyfunction("""COMPUTED_VALUE"""),"希望する")</f>
        <v>希望する</v>
      </c>
      <c r="AA420" s="6" t="str">
        <f aca="false">IFERROR(__xludf.dummyfunction("""COMPUTED_VALUE"""),"単身")</f>
        <v>単身</v>
      </c>
      <c r="AB420" s="6"/>
      <c r="AC420" s="6"/>
      <c r="AD420" s="6" t="str">
        <f aca="false">IFERROR(__xludf.dummyfunction("""COMPUTED_VALUE"""),"屋根付き駐輪場、無料Wi-Fi、浴室乾燥機")</f>
        <v>屋根付き駐輪場、無料Wi-Fi、浴室乾燥機</v>
      </c>
      <c r="AE420" s="6" t="str">
        <f aca="false">IFERROR(__xludf.dummyfunction("""COMPUTED_VALUE"""),"確認しました。")</f>
        <v>確認しました。</v>
      </c>
      <c r="AF420" s="6" t="str">
        <f aca="false">IFERROR(__xludf.dummyfunction("""COMPUTED_VALUE"""),"社宅基準の内容について確認しました")</f>
        <v>社宅基準の内容について確認しました</v>
      </c>
      <c r="AG420" s="6" t="str">
        <f aca="false">IFERROR(__xludf.dummyfunction("""COMPUTED_VALUE"""),"入居のしおりの内容についてご確認しました")</f>
        <v>入居のしおりの内容についてご確認しました</v>
      </c>
      <c r="AH420" s="6" t="str">
        <f aca="false">IFERROR(__xludf.dummyfunction("""COMPUTED_VALUE"""),"確認しました")</f>
        <v>確認しました</v>
      </c>
      <c r="AI420" s="6"/>
      <c r="AJ420" s="6" t="str">
        <v/>
      </c>
      <c r="AK420" s="6" t="str">
        <v/>
      </c>
      <c r="AL420" s="6" t="str">
        <v/>
      </c>
      <c r="AM420" s="6" t="str">
        <v/>
      </c>
      <c r="AN420" s="6" t="n">
        <f aca="false">FALSE()</f>
        <v>0</v>
      </c>
    </row>
    <row r="421" customFormat="false" ht="52.5" hidden="false" customHeight="true" outlineLevel="0" collapsed="false">
      <c r="A421" s="6" t="str">
        <f aca="false">IFERROR(__xludf.dummyfunction("""COMPUTED_VALUE"""),"2026/03/19 18:34:36")</f>
        <v>2026/03/19 18:34:36</v>
      </c>
      <c r="B421" s="6"/>
      <c r="C421" s="6" t="str">
        <f aca="false">IFERROR(__xludf.dummyfunction("""COMPUTED_VALUE"""),"69836")</f>
        <v>69836</v>
      </c>
      <c r="D421" s="6"/>
      <c r="E421" s="6"/>
      <c r="F421" s="6"/>
      <c r="G421" s="6" t="str">
        <f aca="false">IFERROR(__xludf.dummyfunction("""COMPUTED_VALUE"""),"2026/04/25")</f>
        <v>2026/04/25</v>
      </c>
      <c r="H421" s="6" t="str">
        <f aca="false">IFERROR(__xludf.dummyfunction("""COMPUTED_VALUE"""),"必要")</f>
        <v>必要</v>
      </c>
      <c r="I421" s="6" t="str">
        <f aca="false">IFERROR(__xludf.dummyfunction("""COMPUTED_VALUE"""),"男性")</f>
        <v>男性</v>
      </c>
      <c r="J421" s="6" t="str">
        <f aca="false">IFERROR(__xludf.dummyfunction("""COMPUTED_VALUE"""),"日本")</f>
        <v>日本</v>
      </c>
      <c r="K421" s="6" t="str">
        <f aca="false">IFERROR(__xludf.dummyfunction("""COMPUTED_VALUE"""),"6")</f>
        <v>6</v>
      </c>
      <c r="L421" s="6" t="str">
        <f aca="false">IFERROR(__xludf.dummyfunction("""COMPUTED_VALUE"""),"27inchモニター２台
モニターアーム１つ
ドライヤー
加湿器")</f>
        <v>27inchモニター２台
モニターアーム１つ
ドライヤー
加湿器</v>
      </c>
      <c r="M421" s="6" t="str">
        <f aca="false">IFERROR(__xludf.dummyfunction("""COMPUTED_VALUE"""),"デスク(110cm・60cm・71cm)")</f>
        <v>デスク(110cm・60cm・71cm)</v>
      </c>
      <c r="N421" s="6"/>
      <c r="O421" s="6" t="str">
        <f aca="false">IFERROR(__xludf.dummyfunction("""COMPUTED_VALUE"""),"不要")</f>
        <v>不要</v>
      </c>
      <c r="P421" s="6"/>
      <c r="Q421" s="6"/>
      <c r="R421" s="6"/>
      <c r="S421" s="6" t="str">
        <f aca="false">IFERROR(__xludf.dummyfunction("""COMPUTED_VALUE"""),"家具家電なし社宅")</f>
        <v>家具家電なし社宅</v>
      </c>
      <c r="T421" s="6" t="str">
        <f aca="false">IFERROR(__xludf.dummyfunction("""COMPUTED_VALUE"""),"利用する")</f>
        <v>利用する</v>
      </c>
      <c r="U421" s="6" t="str">
        <f aca="false">IFERROR(__xludf.dummyfunction("""COMPUTED_VALUE"""),"冷凍冷蔵庫(170L)
電子レンジ
全自動洗濯機")</f>
        <v>冷凍冷蔵庫(170L)
電子レンジ
全自動洗濯機</v>
      </c>
      <c r="V421" s="6" t="str">
        <f aca="false">IFERROR(__xludf.dummyfunction("""COMPUTED_VALUE"""),"徒歩, 自転車")</f>
        <v>徒歩, 自転車</v>
      </c>
      <c r="W421" s="6"/>
      <c r="X421" s="6" t="str">
        <f aca="false">IFERROR(__xludf.dummyfunction("""COMPUTED_VALUE"""),"実家")</f>
        <v>実家</v>
      </c>
      <c r="Y421" s="6"/>
      <c r="Z421" s="6" t="str">
        <f aca="false">IFERROR(__xludf.dummyfunction("""COMPUTED_VALUE"""),"希望する")</f>
        <v>希望する</v>
      </c>
      <c r="AA421" s="6" t="str">
        <f aca="false">IFERROR(__xludf.dummyfunction("""COMPUTED_VALUE"""),"単身")</f>
        <v>単身</v>
      </c>
      <c r="AB421" s="6"/>
      <c r="AC421" s="6"/>
      <c r="AD421" s="6" t="str">
        <f aca="false">IFERROR(__xludf.dummyfunction("""COMPUTED_VALUE"""),"三点セパレートの物件を希望します。
備え付けのガスコンロおよびエアコンがある物件を希望します。")</f>
        <v>三点セパレートの物件を希望します。
備え付けのガスコンロおよびエアコンがある物件を希望します。</v>
      </c>
      <c r="AE421" s="6" t="str">
        <f aca="false">IFERROR(__xludf.dummyfunction("""COMPUTED_VALUE"""),"確認しました。")</f>
        <v>確認しました。</v>
      </c>
      <c r="AF421" s="6" t="str">
        <f aca="false">IFERROR(__xludf.dummyfunction("""COMPUTED_VALUE"""),"社宅基準の内容について確認しました")</f>
        <v>社宅基準の内容について確認しました</v>
      </c>
      <c r="AG421" s="6" t="str">
        <f aca="false">IFERROR(__xludf.dummyfunction("""COMPUTED_VALUE"""),"入居のしおりの内容についてご確認しました")</f>
        <v>入居のしおりの内容についてご確認しました</v>
      </c>
      <c r="AH421" s="6" t="str">
        <f aca="false">IFERROR(__xludf.dummyfunction("""COMPUTED_VALUE"""),"確認しました")</f>
        <v>確認しました</v>
      </c>
      <c r="AI421" s="6"/>
      <c r="AJ421" s="6" t="str">
        <v/>
      </c>
      <c r="AK421" s="6" t="str">
        <v/>
      </c>
      <c r="AL421" s="6" t="str">
        <v/>
      </c>
      <c r="AM421" s="6" t="str">
        <v/>
      </c>
      <c r="AN421" s="6" t="n">
        <f aca="false">FALSE()</f>
        <v>0</v>
      </c>
    </row>
    <row r="422" customFormat="false" ht="52.5" hidden="false" customHeight="true" outlineLevel="0" collapsed="false">
      <c r="A422" s="6" t="str">
        <f aca="false">IFERROR(__xludf.dummyfunction("""COMPUTED_VALUE"""),"2026/03/19 18:49:39")</f>
        <v>2026/03/19 18:49:39</v>
      </c>
      <c r="B422" s="6"/>
      <c r="C422" s="6" t="str">
        <f aca="false">IFERROR(__xludf.dummyfunction("""COMPUTED_VALUE"""),"71563")</f>
        <v>71563</v>
      </c>
      <c r="D422" s="6"/>
      <c r="E422" s="6"/>
      <c r="F422" s="6"/>
      <c r="G422" s="6" t="str">
        <f aca="false">IFERROR(__xludf.dummyfunction("""COMPUTED_VALUE"""),"2026/03/31")</f>
        <v>2026/03/31</v>
      </c>
      <c r="H422" s="6" t="str">
        <f aca="false">IFERROR(__xludf.dummyfunction("""COMPUTED_VALUE"""),"必要")</f>
        <v>必要</v>
      </c>
      <c r="I422" s="6" t="str">
        <f aca="false">IFERROR(__xludf.dummyfunction("""COMPUTED_VALUE"""),"男性")</f>
        <v>男性</v>
      </c>
      <c r="J422" s="6" t="str">
        <f aca="false">IFERROR(__xludf.dummyfunction("""COMPUTED_VALUE"""),"日本")</f>
        <v>日本</v>
      </c>
      <c r="K422" s="6" t="str">
        <f aca="false">IFERROR(__xludf.dummyfunction("""COMPUTED_VALUE"""),"6")</f>
        <v>6</v>
      </c>
      <c r="L422" s="6" t="str">
        <f aca="false">IFERROR(__xludf.dummyfunction("""COMPUTED_VALUE"""),"冷蔵庫（家族用）縦型洗濯機　デスクトップPC　モニター　トースター　電気ストーブ　ゲーム機（Nintendo Switch）")</f>
        <v>冷蔵庫（家族用）縦型洗濯機　デスクトップPC　モニター　トースター　電気ストーブ　ゲーム機（Nintendo Switch）</v>
      </c>
      <c r="M422" s="6" t="str">
        <f aca="false">IFERROR(__xludf.dummyfunction("""COMPUTED_VALUE"""),"ベッド（シングル）　ゲーミングチェア　机（横幅120cm・奥行70cm・高さ72cm）")</f>
        <v>ベッド（シングル）　ゲーミングチェア　机（横幅120cm・奥行70cm・高さ72cm）</v>
      </c>
      <c r="N422" s="6" t="str">
        <f aca="false">IFERROR(__xludf.dummyfunction("""COMPUTED_VALUE"""),"なし")</f>
        <v>なし</v>
      </c>
      <c r="O422" s="6" t="str">
        <f aca="false">IFERROR(__xludf.dummyfunction("""COMPUTED_VALUE"""),"不要")</f>
        <v>不要</v>
      </c>
      <c r="P422" s="6"/>
      <c r="Q422" s="6"/>
      <c r="R422" s="6"/>
      <c r="S422" s="6" t="str">
        <f aca="false">IFERROR(__xludf.dummyfunction("""COMPUTED_VALUE"""),"家具家電付き社宅")</f>
        <v>家具家電付き社宅</v>
      </c>
      <c r="T422" s="6" t="str">
        <f aca="false">IFERROR(__xludf.dummyfunction("""COMPUTED_VALUE"""),"利用しない")</f>
        <v>利用しない</v>
      </c>
      <c r="U422" s="6"/>
      <c r="V422" s="6" t="str">
        <f aca="false">IFERROR(__xludf.dummyfunction("""COMPUTED_VALUE"""),"徒歩, 自動車, 電車")</f>
        <v>徒歩, 自動車, 電車</v>
      </c>
      <c r="W422" s="6"/>
      <c r="X422" s="6" t="str">
        <f aca="false">IFERROR(__xludf.dummyfunction("""COMPUTED_VALUE"""),"実家")</f>
        <v>実家</v>
      </c>
      <c r="Y422" s="6"/>
      <c r="Z422" s="6" t="str">
        <f aca="false">IFERROR(__xludf.dummyfunction("""COMPUTED_VALUE"""),"希望する")</f>
        <v>希望する</v>
      </c>
      <c r="AA422" s="6" t="str">
        <f aca="false">IFERROR(__xludf.dummyfunction("""COMPUTED_VALUE"""),"単身")</f>
        <v>単身</v>
      </c>
      <c r="AB422" s="6"/>
      <c r="AC422" s="6"/>
      <c r="AD422" s="6"/>
      <c r="AE422" s="6" t="str">
        <f aca="false">IFERROR(__xludf.dummyfunction("""COMPUTED_VALUE"""),"確認しました。")</f>
        <v>確認しました。</v>
      </c>
      <c r="AF422" s="6" t="str">
        <f aca="false">IFERROR(__xludf.dummyfunction("""COMPUTED_VALUE"""),"社宅基準の内容について確認しました")</f>
        <v>社宅基準の内容について確認しました</v>
      </c>
      <c r="AG422" s="6" t="str">
        <f aca="false">IFERROR(__xludf.dummyfunction("""COMPUTED_VALUE"""),"入居のしおりの内容についてご確認しました")</f>
        <v>入居のしおりの内容についてご確認しました</v>
      </c>
      <c r="AH422" s="6" t="str">
        <f aca="false">IFERROR(__xludf.dummyfunction("""COMPUTED_VALUE"""),"確認しました")</f>
        <v>確認しました</v>
      </c>
      <c r="AI422" s="6"/>
      <c r="AJ422" s="6" t="str">
        <v/>
      </c>
      <c r="AK422" s="6" t="str">
        <v/>
      </c>
      <c r="AL422" s="6" t="str">
        <v/>
      </c>
      <c r="AM422" s="6" t="str">
        <v/>
      </c>
      <c r="AN422" s="6" t="n">
        <f aca="false">FALSE()</f>
        <v>0</v>
      </c>
    </row>
    <row r="423" customFormat="false" ht="52.5" hidden="false" customHeight="true" outlineLevel="0" collapsed="false">
      <c r="A423" s="6" t="str">
        <f aca="false">IFERROR(__xludf.dummyfunction("""COMPUTED_VALUE"""),"2026/03/19 19:16:33")</f>
        <v>2026/03/19 19:16:33</v>
      </c>
      <c r="B423" s="6"/>
      <c r="C423" s="6" t="str">
        <f aca="false">IFERROR(__xludf.dummyfunction("""COMPUTED_VALUE"""),"71562")</f>
        <v>71562</v>
      </c>
      <c r="D423" s="6"/>
      <c r="E423" s="6"/>
      <c r="F423" s="6"/>
      <c r="G423" s="6" t="str">
        <f aca="false">IFERROR(__xludf.dummyfunction("""COMPUTED_VALUE"""),"2026/03/31")</f>
        <v>2026/03/31</v>
      </c>
      <c r="H423" s="6" t="str">
        <f aca="false">IFERROR(__xludf.dummyfunction("""COMPUTED_VALUE"""),"必要")</f>
        <v>必要</v>
      </c>
      <c r="I423" s="6" t="str">
        <f aca="false">IFERROR(__xludf.dummyfunction("""COMPUTED_VALUE"""),"男性")</f>
        <v>男性</v>
      </c>
      <c r="J423" s="6" t="str">
        <f aca="false">IFERROR(__xludf.dummyfunction("""COMPUTED_VALUE"""),"日本")</f>
        <v>日本</v>
      </c>
      <c r="K423" s="6" t="str">
        <f aca="false">IFERROR(__xludf.dummyfunction("""COMPUTED_VALUE"""),"6")</f>
        <v>6</v>
      </c>
      <c r="L423" s="6" t="str">
        <f aca="false">IFERROR(__xludf.dummyfunction("""COMPUTED_VALUE"""),"冷蔵庫単身用、洗濯機、炊飯器、電子レンジ")</f>
        <v>冷蔵庫単身用、洗濯機、炊飯器、電子レンジ</v>
      </c>
      <c r="M423" s="6" t="str">
        <f aca="false">IFERROR(__xludf.dummyfunction("""COMPUTED_VALUE"""),"折りたたみベッド、マットレスシングル、布団一式、pcデスク、ゲーミングチェア、デスクトップpc、モニター1枚")</f>
        <v>折りたたみベッド、マットレスシングル、布団一式、pcデスク、ゲーミングチェア、デスクトップpc、モニター1枚</v>
      </c>
      <c r="N423" s="6"/>
      <c r="O423" s="6" t="str">
        <f aca="false">IFERROR(__xludf.dummyfunction("""COMPUTED_VALUE"""),"不要")</f>
        <v>不要</v>
      </c>
      <c r="P423" s="6"/>
      <c r="Q423" s="6"/>
      <c r="R423" s="6"/>
      <c r="S423" s="6" t="str">
        <f aca="false">IFERROR(__xludf.dummyfunction("""COMPUTED_VALUE"""),"家具家電なし社宅")</f>
        <v>家具家電なし社宅</v>
      </c>
      <c r="T423" s="6" t="str">
        <f aca="false">IFERROR(__xludf.dummyfunction("""COMPUTED_VALUE"""),"利用する")</f>
        <v>利用する</v>
      </c>
      <c r="U423" s="6" t="str">
        <f aca="false">IFERROR(__xludf.dummyfunction("""COMPUTED_VALUE"""),"冷蔵庫170ℓ炊飯器")</f>
        <v>冷蔵庫170ℓ炊飯器</v>
      </c>
      <c r="V423" s="6" t="str">
        <f aca="false">IFERROR(__xludf.dummyfunction("""COMPUTED_VALUE"""),"徒歩, 電車, バス")</f>
        <v>徒歩, 電車, バス</v>
      </c>
      <c r="W423" s="6"/>
      <c r="X423" s="6" t="str">
        <f aca="false">IFERROR(__xludf.dummyfunction("""COMPUTED_VALUE"""),"株式会社ビーネックステクノロジーズの社宅")</f>
        <v>株式会社ビーネックステクノロジーズの社宅</v>
      </c>
      <c r="Y423" s="6" t="str">
        <f aca="false">IFERROR(__xludf.dummyfunction("""COMPUTED_VALUE"""),"冷蔵庫、炊飯器回収希望")</f>
        <v>冷蔵庫、炊飯器回収希望</v>
      </c>
      <c r="Z423" s="6" t="str">
        <f aca="false">IFERROR(__xludf.dummyfunction("""COMPUTED_VALUE"""),"希望しない")</f>
        <v>希望しない</v>
      </c>
      <c r="AA423" s="6" t="str">
        <f aca="false">IFERROR(__xludf.dummyfunction("""COMPUTED_VALUE"""),"単身")</f>
        <v>単身</v>
      </c>
      <c r="AB423" s="6"/>
      <c r="AC423" s="6"/>
      <c r="AD423" s="6" t="str">
        <f aca="false">IFERROR(__xludf.dummyfunction("""COMPUTED_VALUE"""),"勤務地周辺ともう少し街の方に寄った地域で物件資料いただきたいです。
騒音が気になるため鉄筋コンクリートやrcの物件があれば嬉しいです。")</f>
        <v>勤務地周辺ともう少し街の方に寄った地域で物件資料いただきたいです。
騒音が気になるため鉄筋コンクリートやrcの物件があれば嬉しいです。</v>
      </c>
      <c r="AE423" s="6" t="str">
        <f aca="false">IFERROR(__xludf.dummyfunction("""COMPUTED_VALUE"""),"確認しました。")</f>
        <v>確認しました。</v>
      </c>
      <c r="AF423" s="6" t="str">
        <f aca="false">IFERROR(__xludf.dummyfunction("""COMPUTED_VALUE"""),"社宅基準の内容について確認しました")</f>
        <v>社宅基準の内容について確認しました</v>
      </c>
      <c r="AG423" s="6" t="str">
        <f aca="false">IFERROR(__xludf.dummyfunction("""COMPUTED_VALUE"""),"入居のしおりの内容についてご確認しました")</f>
        <v>入居のしおりの内容についてご確認しました</v>
      </c>
      <c r="AH423" s="6" t="str">
        <f aca="false">IFERROR(__xludf.dummyfunction("""COMPUTED_VALUE"""),"確認しました")</f>
        <v>確認しました</v>
      </c>
      <c r="AI423" s="6"/>
      <c r="AJ423" s="6" t="str">
        <v/>
      </c>
      <c r="AK423" s="6" t="str">
        <v/>
      </c>
      <c r="AL423" s="6" t="str">
        <v/>
      </c>
      <c r="AM423" s="6" t="str">
        <v/>
      </c>
      <c r="AN423" s="6" t="n">
        <f aca="false">FALSE()</f>
        <v>0</v>
      </c>
    </row>
    <row r="424" customFormat="false" ht="52.5" hidden="false" customHeight="true" outlineLevel="0" collapsed="false">
      <c r="A424" s="6" t="str">
        <f aca="false">IFERROR(__xludf.dummyfunction("""COMPUTED_VALUE"""),"2026/03/19 19:55:58")</f>
        <v>2026/03/19 19:55:58</v>
      </c>
      <c r="B424" s="6"/>
      <c r="C424" s="6" t="str">
        <f aca="false">IFERROR(__xludf.dummyfunction("""COMPUTED_VALUE"""),"71486")</f>
        <v>71486</v>
      </c>
      <c r="D424" s="6"/>
      <c r="E424" s="6"/>
      <c r="F424" s="6"/>
      <c r="G424" s="6" t="str">
        <f aca="false">IFERROR(__xludf.dummyfunction("""COMPUTED_VALUE"""),"2026/03/30")</f>
        <v>2026/03/30</v>
      </c>
      <c r="H424" s="6" t="str">
        <f aca="false">IFERROR(__xludf.dummyfunction("""COMPUTED_VALUE"""),"必要")</f>
        <v>必要</v>
      </c>
      <c r="I424" s="6" t="str">
        <f aca="false">IFERROR(__xludf.dummyfunction("""COMPUTED_VALUE"""),"男性")</f>
        <v>男性</v>
      </c>
      <c r="J424" s="6" t="str">
        <f aca="false">IFERROR(__xludf.dummyfunction("""COMPUTED_VALUE"""),"日本")</f>
        <v>日本</v>
      </c>
      <c r="K424" s="6" t="str">
        <f aca="false">IFERROR(__xludf.dummyfunction("""COMPUTED_VALUE"""),"10")</f>
        <v>10</v>
      </c>
      <c r="L424" s="6" t="str">
        <f aca="false">IFERROR(__xludf.dummyfunction("""COMPUTED_VALUE"""),"扇風機 CDプレイヤー パソコン モニター ")</f>
        <v>扇風機 CDプレイヤー パソコン モニター </v>
      </c>
      <c r="M424" s="6" t="str">
        <f aca="false">IFERROR(__xludf.dummyfunction("""COMPUTED_VALUE"""),"なし")</f>
        <v>なし</v>
      </c>
      <c r="N424" s="6" t="str">
        <f aca="false">IFERROR(__xludf.dummyfunction("""COMPUTED_VALUE"""),"なし")</f>
        <v>なし</v>
      </c>
      <c r="O424" s="6" t="str">
        <f aca="false">IFERROR(__xludf.dummyfunction("""COMPUTED_VALUE"""),"不要")</f>
        <v>不要</v>
      </c>
      <c r="P424" s="6"/>
      <c r="Q424" s="6"/>
      <c r="R424" s="6"/>
      <c r="S424" s="6" t="str">
        <f aca="false">IFERROR(__xludf.dummyfunction("""COMPUTED_VALUE"""),"家具家電付き社宅")</f>
        <v>家具家電付き社宅</v>
      </c>
      <c r="T424" s="6" t="str">
        <f aca="false">IFERROR(__xludf.dummyfunction("""COMPUTED_VALUE"""),"利用しない")</f>
        <v>利用しない</v>
      </c>
      <c r="U424" s="6"/>
      <c r="V424" s="6" t="str">
        <f aca="false">IFERROR(__xludf.dummyfunction("""COMPUTED_VALUE"""),"自動車, 電車, バス")</f>
        <v>自動車, 電車, バス</v>
      </c>
      <c r="W424" s="6"/>
      <c r="X424" s="6" t="str">
        <f aca="false">IFERROR(__xludf.dummyfunction("""COMPUTED_VALUE"""),"実家")</f>
        <v>実家</v>
      </c>
      <c r="Y424" s="6"/>
      <c r="Z424" s="6" t="str">
        <f aca="false">IFERROR(__xludf.dummyfunction("""COMPUTED_VALUE"""),"希望する")</f>
        <v>希望する</v>
      </c>
      <c r="AA424" s="6" t="str">
        <f aca="false">IFERROR(__xludf.dummyfunction("""COMPUTED_VALUE"""),"単身")</f>
        <v>単身</v>
      </c>
      <c r="AB424" s="6"/>
      <c r="AC424" s="6"/>
      <c r="AD424" s="6"/>
      <c r="AE424" s="6" t="str">
        <f aca="false">IFERROR(__xludf.dummyfunction("""COMPUTED_VALUE"""),"確認しました。")</f>
        <v>確認しました。</v>
      </c>
      <c r="AF424" s="6" t="str">
        <f aca="false">IFERROR(__xludf.dummyfunction("""COMPUTED_VALUE"""),"社宅基準の内容について確認しました")</f>
        <v>社宅基準の内容について確認しました</v>
      </c>
      <c r="AG424" s="6" t="str">
        <f aca="false">IFERROR(__xludf.dummyfunction("""COMPUTED_VALUE"""),"入居のしおりの内容についてご確認しました")</f>
        <v>入居のしおりの内容についてご確認しました</v>
      </c>
      <c r="AH424" s="6" t="str">
        <f aca="false">IFERROR(__xludf.dummyfunction("""COMPUTED_VALUE"""),"確認しました")</f>
        <v>確認しました</v>
      </c>
      <c r="AI424" s="6"/>
      <c r="AJ424" s="6" t="str">
        <v/>
      </c>
      <c r="AK424" s="6" t="str">
        <v/>
      </c>
      <c r="AL424" s="6" t="str">
        <v/>
      </c>
      <c r="AM424" s="6" t="str">
        <v/>
      </c>
      <c r="AN424" s="6" t="n">
        <f aca="false">FALSE()</f>
        <v>0</v>
      </c>
    </row>
    <row r="425" customFormat="false" ht="52.5" hidden="false" customHeight="true" outlineLevel="0" collapsed="false">
      <c r="A425" s="6" t="str">
        <f aca="false">IFERROR(__xludf.dummyfunction("""COMPUTED_VALUE"""),"2026/03/19 21:36:56")</f>
        <v>2026/03/19 21:36:56</v>
      </c>
      <c r="B425" s="6"/>
      <c r="C425" s="6" t="str">
        <f aca="false">IFERROR(__xludf.dummyfunction("""COMPUTED_VALUE"""),"71541")</f>
        <v>71541</v>
      </c>
      <c r="D425" s="6"/>
      <c r="E425" s="6"/>
      <c r="F425" s="6"/>
      <c r="G425" s="6" t="str">
        <f aca="false">IFERROR(__xludf.dummyfunction("""COMPUTED_VALUE"""),"2026/03/30")</f>
        <v>2026/03/30</v>
      </c>
      <c r="H425" s="6" t="str">
        <f aca="false">IFERROR(__xludf.dummyfunction("""COMPUTED_VALUE"""),"不要")</f>
        <v>不要</v>
      </c>
      <c r="I425" s="6" t="str">
        <f aca="false">IFERROR(__xludf.dummyfunction("""COMPUTED_VALUE"""),"男性")</f>
        <v>男性</v>
      </c>
      <c r="J425" s="6" t="str">
        <f aca="false">IFERROR(__xludf.dummyfunction("""COMPUTED_VALUE"""),"日本")</f>
        <v>日本</v>
      </c>
      <c r="K425" s="6"/>
      <c r="L425" s="6"/>
      <c r="M425" s="6"/>
      <c r="N425" s="6"/>
      <c r="O425" s="6" t="str">
        <f aca="false">IFERROR(__xludf.dummyfunction("""COMPUTED_VALUE"""),"必要")</f>
        <v>必要</v>
      </c>
      <c r="P425" s="6" t="str">
        <f aca="false">IFERROR(__xludf.dummyfunction("""COMPUTED_VALUE"""),"ノートオーラ")</f>
        <v>ノートオーラ</v>
      </c>
      <c r="Q425" s="6" t="str">
        <f aca="false">IFERROR(__xludf.dummyfunction("""COMPUTED_VALUE"""),"ち48-95")</f>
        <v>ち48-95</v>
      </c>
      <c r="R425" s="6" t="str">
        <f aca="false">IFERROR(__xludf.dummyfunction("""COMPUTED_VALUE"""),"黒")</f>
        <v>黒</v>
      </c>
      <c r="S425" s="6" t="str">
        <f aca="false">IFERROR(__xludf.dummyfunction("""COMPUTED_VALUE"""),"家具家電付き社宅")</f>
        <v>家具家電付き社宅</v>
      </c>
      <c r="T425" s="6" t="str">
        <f aca="false">IFERROR(__xludf.dummyfunction("""COMPUTED_VALUE"""),"利用しない")</f>
        <v>利用しない</v>
      </c>
      <c r="U425" s="6"/>
      <c r="V425" s="6" t="str">
        <f aca="false">IFERROR(__xludf.dummyfunction("""COMPUTED_VALUE"""),"徒歩, 自動車, バス, 社用バス")</f>
        <v>徒歩, 自動車, バス, 社用バス</v>
      </c>
      <c r="W425" s="6"/>
      <c r="X425" s="6" t="str">
        <f aca="false">IFERROR(__xludf.dummyfunction("""COMPUTED_VALUE"""),"実家")</f>
        <v>実家</v>
      </c>
      <c r="Y425" s="6"/>
      <c r="Z425" s="6" t="str">
        <f aca="false">IFERROR(__xludf.dummyfunction("""COMPUTED_VALUE"""),"希望する")</f>
        <v>希望する</v>
      </c>
      <c r="AA425" s="6" t="str">
        <f aca="false">IFERROR(__xludf.dummyfunction("""COMPUTED_VALUE"""),"単身")</f>
        <v>単身</v>
      </c>
      <c r="AB425" s="6"/>
      <c r="AC425" s="6"/>
      <c r="AD425" s="6" t="str">
        <f aca="false">IFERROR(__xludf.dummyfunction("""COMPUTED_VALUE"""),"騒音が少ない
スーパーが近い")</f>
        <v>騒音が少ない
スーパーが近い</v>
      </c>
      <c r="AE425" s="6" t="str">
        <f aca="false">IFERROR(__xludf.dummyfunction("""COMPUTED_VALUE"""),"確認しました。")</f>
        <v>確認しました。</v>
      </c>
      <c r="AF425" s="6" t="str">
        <f aca="false">IFERROR(__xludf.dummyfunction("""COMPUTED_VALUE"""),"社宅基準の内容について確認しました")</f>
        <v>社宅基準の内容について確認しました</v>
      </c>
      <c r="AG425" s="6" t="str">
        <f aca="false">IFERROR(__xludf.dummyfunction("""COMPUTED_VALUE"""),"入居のしおりの内容についてご確認しました")</f>
        <v>入居のしおりの内容についてご確認しました</v>
      </c>
      <c r="AH425" s="6" t="str">
        <f aca="false">IFERROR(__xludf.dummyfunction("""COMPUTED_VALUE"""),"確認しました")</f>
        <v>確認しました</v>
      </c>
      <c r="AI425" s="6"/>
      <c r="AJ425" s="6" t="str">
        <v/>
      </c>
      <c r="AK425" s="6" t="str">
        <v/>
      </c>
      <c r="AL425" s="6" t="str">
        <v/>
      </c>
      <c r="AM425" s="6" t="str">
        <v/>
      </c>
      <c r="AN425" s="6" t="n">
        <f aca="false">FALSE()</f>
        <v>0</v>
      </c>
    </row>
    <row r="426" customFormat="false" ht="52.5" hidden="false" customHeight="true" outlineLevel="0" collapsed="false">
      <c r="A426" s="6" t="str">
        <f aca="false">IFERROR(__xludf.dummyfunction("""COMPUTED_VALUE"""),"2026/03/19 21:59:01")</f>
        <v>2026/03/19 21:59:01</v>
      </c>
      <c r="B426" s="6"/>
      <c r="C426" s="6" t="str">
        <f aca="false">IFERROR(__xludf.dummyfunction("""COMPUTED_VALUE"""),"71540")</f>
        <v>71540</v>
      </c>
      <c r="D426" s="6"/>
      <c r="E426" s="6"/>
      <c r="F426" s="6"/>
      <c r="G426" s="6" t="str">
        <f aca="false">IFERROR(__xludf.dummyfunction("""COMPUTED_VALUE"""),"2026/03/31")</f>
        <v>2026/03/31</v>
      </c>
      <c r="H426" s="6" t="str">
        <f aca="false">IFERROR(__xludf.dummyfunction("""COMPUTED_VALUE"""),"必要")</f>
        <v>必要</v>
      </c>
      <c r="I426" s="6" t="str">
        <f aca="false">IFERROR(__xludf.dummyfunction("""COMPUTED_VALUE"""),"男性")</f>
        <v>男性</v>
      </c>
      <c r="J426" s="6" t="str">
        <f aca="false">IFERROR(__xludf.dummyfunction("""COMPUTED_VALUE"""),"日本")</f>
        <v>日本</v>
      </c>
      <c r="K426" s="6" t="str">
        <f aca="false">IFERROR(__xludf.dummyfunction("""COMPUTED_VALUE"""),"10")</f>
        <v>10</v>
      </c>
      <c r="L426" s="6" t="str">
        <f aca="false">IFERROR(__xludf.dummyfunction("""COMPUTED_VALUE"""),"なし")</f>
        <v>なし</v>
      </c>
      <c r="M426" s="6" t="str">
        <f aca="false">IFERROR(__xludf.dummyfunction("""COMPUTED_VALUE"""),"なし")</f>
        <v>なし</v>
      </c>
      <c r="N426" s="6" t="str">
        <f aca="false">IFERROR(__xludf.dummyfunction("""COMPUTED_VALUE"""),"自転車")</f>
        <v>自転車</v>
      </c>
      <c r="O426" s="6" t="str">
        <f aca="false">IFERROR(__xludf.dummyfunction("""COMPUTED_VALUE"""),"不要")</f>
        <v>不要</v>
      </c>
      <c r="P426" s="6"/>
      <c r="Q426" s="6"/>
      <c r="R426" s="6"/>
      <c r="S426" s="6" t="str">
        <f aca="false">IFERROR(__xludf.dummyfunction("""COMPUTED_VALUE"""),"家具家電付き社宅")</f>
        <v>家具家電付き社宅</v>
      </c>
      <c r="T426" s="6" t="str">
        <f aca="false">IFERROR(__xludf.dummyfunction("""COMPUTED_VALUE"""),"利用しない")</f>
        <v>利用しない</v>
      </c>
      <c r="U426" s="6"/>
      <c r="V426" s="6" t="str">
        <f aca="false">IFERROR(__xludf.dummyfunction("""COMPUTED_VALUE"""),"電車, バス")</f>
        <v>電車, バス</v>
      </c>
      <c r="W426" s="6"/>
      <c r="X426" s="6" t="str">
        <f aca="false">IFERROR(__xludf.dummyfunction("""COMPUTED_VALUE"""),"実家")</f>
        <v>実家</v>
      </c>
      <c r="Y426" s="6"/>
      <c r="Z426" s="6" t="str">
        <f aca="false">IFERROR(__xludf.dummyfunction("""COMPUTED_VALUE"""),"希望する")</f>
        <v>希望する</v>
      </c>
      <c r="AA426" s="6" t="str">
        <f aca="false">IFERROR(__xludf.dummyfunction("""COMPUTED_VALUE"""),"単身")</f>
        <v>単身</v>
      </c>
      <c r="AB426" s="6"/>
      <c r="AC426" s="6"/>
      <c r="AD426" s="6"/>
      <c r="AE426" s="6" t="str">
        <f aca="false">IFERROR(__xludf.dummyfunction("""COMPUTED_VALUE"""),"確認しました。")</f>
        <v>確認しました。</v>
      </c>
      <c r="AF426" s="6" t="str">
        <f aca="false">IFERROR(__xludf.dummyfunction("""COMPUTED_VALUE"""),"社宅基準の内容について確認しました")</f>
        <v>社宅基準の内容について確認しました</v>
      </c>
      <c r="AG426" s="6" t="str">
        <f aca="false">IFERROR(__xludf.dummyfunction("""COMPUTED_VALUE"""),"入居のしおりの内容についてご確認しました")</f>
        <v>入居のしおりの内容についてご確認しました</v>
      </c>
      <c r="AH426" s="6" t="str">
        <f aca="false">IFERROR(__xludf.dummyfunction("""COMPUTED_VALUE"""),"確認しました")</f>
        <v>確認しました</v>
      </c>
      <c r="AI426" s="6"/>
      <c r="AJ426" s="6" t="str">
        <v/>
      </c>
      <c r="AK426" s="6" t="str">
        <v/>
      </c>
      <c r="AL426" s="6" t="str">
        <v/>
      </c>
      <c r="AM426" s="6" t="str">
        <v/>
      </c>
      <c r="AN426" s="6" t="n">
        <f aca="false">FALSE()</f>
        <v>0</v>
      </c>
    </row>
    <row r="427" customFormat="false" ht="52.5" hidden="false" customHeight="true" outlineLevel="0" collapsed="false">
      <c r="A427" s="6" t="str">
        <f aca="false">IFERROR(__xludf.dummyfunction("""COMPUTED_VALUE"""),"2026/03/19 22:16:10")</f>
        <v>2026/03/19 22:16:10</v>
      </c>
      <c r="B427" s="6"/>
      <c r="C427" s="6" t="str">
        <f aca="false">IFERROR(__xludf.dummyfunction("""COMPUTED_VALUE"""),"71561")</f>
        <v>71561</v>
      </c>
      <c r="D427" s="6"/>
      <c r="E427" s="6"/>
      <c r="F427" s="6"/>
      <c r="G427" s="6" t="str">
        <f aca="false">IFERROR(__xludf.dummyfunction("""COMPUTED_VALUE"""),"2026/04/27")</f>
        <v>2026/04/27</v>
      </c>
      <c r="H427" s="6" t="str">
        <f aca="false">IFERROR(__xludf.dummyfunction("""COMPUTED_VALUE"""),"必要")</f>
        <v>必要</v>
      </c>
      <c r="I427" s="6" t="str">
        <f aca="false">IFERROR(__xludf.dummyfunction("""COMPUTED_VALUE"""),"男性")</f>
        <v>男性</v>
      </c>
      <c r="J427" s="6" t="str">
        <f aca="false">IFERROR(__xludf.dummyfunction("""COMPUTED_VALUE"""),"ネパール")</f>
        <v>ネパール</v>
      </c>
      <c r="K427" s="6" t="str">
        <f aca="false">IFERROR(__xludf.dummyfunction("""COMPUTED_VALUE"""),"5")</f>
        <v>5</v>
      </c>
      <c r="L427" s="6" t="str">
        <f aca="false">IFERROR(__xludf.dummyfunction("""COMPUTED_VALUE"""),"なし")</f>
        <v>なし</v>
      </c>
      <c r="M427" s="6" t="str">
        <f aca="false">IFERROR(__xludf.dummyfunction("""COMPUTED_VALUE"""),"なし")</f>
        <v>なし</v>
      </c>
      <c r="N427" s="6" t="str">
        <f aca="false">IFERROR(__xludf.dummyfunction("""COMPUTED_VALUE"""),"なし")</f>
        <v>なし</v>
      </c>
      <c r="O427" s="6" t="str">
        <f aca="false">IFERROR(__xludf.dummyfunction("""COMPUTED_VALUE"""),"不要")</f>
        <v>不要</v>
      </c>
      <c r="P427" s="6"/>
      <c r="Q427" s="6"/>
      <c r="R427" s="6"/>
      <c r="S427" s="6" t="str">
        <f aca="false">IFERROR(__xludf.dummyfunction("""COMPUTED_VALUE"""),"家具家電なし社宅")</f>
        <v>家具家電なし社宅</v>
      </c>
      <c r="T427" s="6" t="str">
        <f aca="false">IFERROR(__xludf.dummyfunction("""COMPUTED_VALUE"""),"利用する")</f>
        <v>利用する</v>
      </c>
      <c r="U427" s="6" t="str">
        <f aca="false">IFERROR(__xludf.dummyfunction("""COMPUTED_VALUE"""),"冷蔵庫 2 ドア80l,全自動洗濯機、電子レンジ")</f>
        <v>冷蔵庫 2 ドア80l,全自動洗濯機、電子レンジ</v>
      </c>
      <c r="V427" s="6" t="str">
        <f aca="false">IFERROR(__xludf.dummyfunction("""COMPUTED_VALUE"""),"徒歩, 電車, バス, 社用バス")</f>
        <v>徒歩, 電車, バス, 社用バス</v>
      </c>
      <c r="W427" s="6"/>
      <c r="X427" s="6" t="str">
        <f aca="false">IFERROR(__xludf.dummyfunction("""COMPUTED_VALUE"""),"株式会社ビーネックステクノロジーズの社宅")</f>
        <v>株式会社ビーネックステクノロジーズの社宅</v>
      </c>
      <c r="Y427" s="6" t="str">
        <f aca="false">IFERROR(__xludf.dummyfunction("""COMPUTED_VALUE"""),"なし")</f>
        <v>なし</v>
      </c>
      <c r="Z427" s="6" t="str">
        <f aca="false">IFERROR(__xludf.dummyfunction("""COMPUTED_VALUE"""),"希望する")</f>
        <v>希望する</v>
      </c>
      <c r="AA427" s="6" t="str">
        <f aca="false">IFERROR(__xludf.dummyfunction("""COMPUTED_VALUE"""),"単身")</f>
        <v>単身</v>
      </c>
      <c r="AB427" s="6"/>
      <c r="AC427" s="6"/>
      <c r="AD427" s="6" t="str">
        <f aca="false">IFERROR(__xludf.dummyfunction("""COMPUTED_VALUE"""),"はい,わかりました。")</f>
        <v>はい,わかりました。</v>
      </c>
      <c r="AE427" s="6" t="str">
        <f aca="false">IFERROR(__xludf.dummyfunction("""COMPUTED_VALUE"""),"確認しました。")</f>
        <v>確認しました。</v>
      </c>
      <c r="AF427" s="6" t="str">
        <f aca="false">IFERROR(__xludf.dummyfunction("""COMPUTED_VALUE"""),"社宅基準の内容について確認しました")</f>
        <v>社宅基準の内容について確認しました</v>
      </c>
      <c r="AG427" s="6" t="str">
        <f aca="false">IFERROR(__xludf.dummyfunction("""COMPUTED_VALUE"""),"入居のしおりの内容についてご確認しました")</f>
        <v>入居のしおりの内容についてご確認しました</v>
      </c>
      <c r="AH427" s="6" t="str">
        <f aca="false">IFERROR(__xludf.dummyfunction("""COMPUTED_VALUE"""),"確認しました")</f>
        <v>確認しました</v>
      </c>
      <c r="AI427" s="6"/>
      <c r="AJ427" s="6" t="str">
        <v/>
      </c>
      <c r="AK427" s="6" t="str">
        <v/>
      </c>
      <c r="AL427" s="6" t="str">
        <v/>
      </c>
      <c r="AM427" s="6" t="str">
        <v/>
      </c>
      <c r="AN427" s="6" t="n">
        <f aca="false">TRUE()</f>
        <v>1</v>
      </c>
    </row>
    <row r="428" customFormat="false" ht="52.5" hidden="false" customHeight="true" outlineLevel="0" collapsed="false">
      <c r="A428" s="6" t="str">
        <f aca="false">IFERROR(__xludf.dummyfunction("""COMPUTED_VALUE"""),"2026/03/19 22:16:11")</f>
        <v>2026/03/19 22:16:11</v>
      </c>
      <c r="B428" s="6"/>
      <c r="C428" s="6" t="str">
        <f aca="false">IFERROR(__xludf.dummyfunction("""COMPUTED_VALUE"""),"71560")</f>
        <v>71560</v>
      </c>
      <c r="D428" s="6"/>
      <c r="E428" s="6"/>
      <c r="F428" s="6"/>
      <c r="G428" s="6" t="str">
        <f aca="false">IFERROR(__xludf.dummyfunction("""COMPUTED_VALUE"""),"2026/04/27")</f>
        <v>2026/04/27</v>
      </c>
      <c r="H428" s="6" t="str">
        <f aca="false">IFERROR(__xludf.dummyfunction("""COMPUTED_VALUE"""),"必要")</f>
        <v>必要</v>
      </c>
      <c r="I428" s="6" t="str">
        <f aca="false">IFERROR(__xludf.dummyfunction("""COMPUTED_VALUE"""),"男性")</f>
        <v>男性</v>
      </c>
      <c r="J428" s="6" t="str">
        <f aca="false">IFERROR(__xludf.dummyfunction("""COMPUTED_VALUE"""),"ネパール")</f>
        <v>ネパール</v>
      </c>
      <c r="K428" s="6" t="str">
        <f aca="false">IFERROR(__xludf.dummyfunction("""COMPUTED_VALUE"""),"4")</f>
        <v>4</v>
      </c>
      <c r="L428" s="6" t="str">
        <f aca="false">IFERROR(__xludf.dummyfunction("""COMPUTED_VALUE"""),"いいえ")</f>
        <v>いいえ</v>
      </c>
      <c r="M428" s="6" t="str">
        <f aca="false">IFERROR(__xludf.dummyfunction("""COMPUTED_VALUE"""),"いいえ")</f>
        <v>いいえ</v>
      </c>
      <c r="N428" s="6" t="str">
        <f aca="false">IFERROR(__xludf.dummyfunction("""COMPUTED_VALUE"""),"いいえ")</f>
        <v>いいえ</v>
      </c>
      <c r="O428" s="6" t="str">
        <f aca="false">IFERROR(__xludf.dummyfunction("""COMPUTED_VALUE"""),"不要")</f>
        <v>不要</v>
      </c>
      <c r="P428" s="6"/>
      <c r="Q428" s="6"/>
      <c r="R428" s="6"/>
      <c r="S428" s="6" t="str">
        <f aca="false">IFERROR(__xludf.dummyfunction("""COMPUTED_VALUE"""),"家具家電なし社宅")</f>
        <v>家具家電なし社宅</v>
      </c>
      <c r="T428" s="6" t="str">
        <f aca="false">IFERROR(__xludf.dummyfunction("""COMPUTED_VALUE"""),"利用する")</f>
        <v>利用する</v>
      </c>
      <c r="U428" s="6" t="str">
        <f aca="false">IFERROR(__xludf.dummyfunction("""COMPUTED_VALUE"""),"冷蔵庫２ドア、洗濯機、、洗濯機、電子レンジ、")</f>
        <v>冷蔵庫２ドア、洗濯機、、洗濯機、電子レンジ、</v>
      </c>
      <c r="V428" s="6" t="str">
        <f aca="false">IFERROR(__xludf.dummyfunction("""COMPUTED_VALUE"""),"徒歩, 電車, バス, 社用バス")</f>
        <v>徒歩, 電車, バス, 社用バス</v>
      </c>
      <c r="W428" s="6"/>
      <c r="X428" s="6" t="str">
        <f aca="false">IFERROR(__xludf.dummyfunction("""COMPUTED_VALUE"""),"株式会社ビーネックステクノロジーズの社宅")</f>
        <v>株式会社ビーネックステクノロジーズの社宅</v>
      </c>
      <c r="Y428" s="6" t="str">
        <f aca="false">IFERROR(__xludf.dummyfunction("""COMPUTED_VALUE"""),"いいえ")</f>
        <v>いいえ</v>
      </c>
      <c r="Z428" s="6" t="str">
        <f aca="false">IFERROR(__xludf.dummyfunction("""COMPUTED_VALUE"""),"希望する")</f>
        <v>希望する</v>
      </c>
      <c r="AA428" s="6" t="str">
        <f aca="false">IFERROR(__xludf.dummyfunction("""COMPUTED_VALUE"""),"単身")</f>
        <v>単身</v>
      </c>
      <c r="AB428" s="6"/>
      <c r="AC428" s="6"/>
      <c r="AD428" s="6" t="str">
        <f aca="false">IFERROR(__xludf.dummyfunction("""COMPUTED_VALUE"""),"はいわかりました")</f>
        <v>はいわかりました</v>
      </c>
      <c r="AE428" s="6" t="str">
        <f aca="false">IFERROR(__xludf.dummyfunction("""COMPUTED_VALUE"""),"確認しました。")</f>
        <v>確認しました。</v>
      </c>
      <c r="AF428" s="6" t="str">
        <f aca="false">IFERROR(__xludf.dummyfunction("""COMPUTED_VALUE"""),"社宅基準の内容について確認しました")</f>
        <v>社宅基準の内容について確認しました</v>
      </c>
      <c r="AG428" s="6" t="str">
        <f aca="false">IFERROR(__xludf.dummyfunction("""COMPUTED_VALUE"""),"入居のしおりの内容についてご確認しました")</f>
        <v>入居のしおりの内容についてご確認しました</v>
      </c>
      <c r="AH428" s="6" t="str">
        <f aca="false">IFERROR(__xludf.dummyfunction("""COMPUTED_VALUE"""),"確認しました")</f>
        <v>確認しました</v>
      </c>
      <c r="AI428" s="6"/>
      <c r="AJ428" s="6" t="str">
        <v/>
      </c>
      <c r="AK428" s="6" t="str">
        <v/>
      </c>
      <c r="AL428" s="6" t="str">
        <v/>
      </c>
      <c r="AM428" s="6" t="str">
        <v/>
      </c>
      <c r="AN428" s="6" t="n">
        <f aca="false">FALSE()</f>
        <v>0</v>
      </c>
    </row>
    <row r="429" customFormat="false" ht="52.5" hidden="false" customHeight="true" outlineLevel="0" collapsed="false">
      <c r="A429" s="6" t="str">
        <f aca="false">IFERROR(__xludf.dummyfunction("""COMPUTED_VALUE"""),"2026/03/19 23:16:03")</f>
        <v>2026/03/19 23:16:03</v>
      </c>
      <c r="B429" s="6"/>
      <c r="C429" s="6" t="str">
        <f aca="false">IFERROR(__xludf.dummyfunction("""COMPUTED_VALUE"""),"71557")</f>
        <v>71557</v>
      </c>
      <c r="D429" s="6"/>
      <c r="E429" s="6"/>
      <c r="F429" s="6"/>
      <c r="G429" s="6" t="str">
        <f aca="false">IFERROR(__xludf.dummyfunction("""COMPUTED_VALUE"""),"2026/03/30")</f>
        <v>2026/03/30</v>
      </c>
      <c r="H429" s="6" t="str">
        <f aca="false">IFERROR(__xludf.dummyfunction("""COMPUTED_VALUE"""),"必要")</f>
        <v>必要</v>
      </c>
      <c r="I429" s="6" t="str">
        <f aca="false">IFERROR(__xludf.dummyfunction("""COMPUTED_VALUE"""),"女性")</f>
        <v>女性</v>
      </c>
      <c r="J429" s="6" t="str">
        <f aca="false">IFERROR(__xludf.dummyfunction("""COMPUTED_VALUE"""),"中国")</f>
        <v>中国</v>
      </c>
      <c r="K429" s="6" t="str">
        <f aca="false">IFERROR(__xludf.dummyfunction("""COMPUTED_VALUE"""),"25")</f>
        <v>25</v>
      </c>
      <c r="L429" s="6" t="str">
        <f aca="false">IFERROR(__xludf.dummyfunction("""COMPUTED_VALUE"""),"単身用冷蔵庫:パナソニック（NR-B175W）
定格内容積 168L
外形寸法(幅×奥行×高さ) 480×586×1293mm")</f>
        <v>単身用冷蔵庫:パナソニック（NR-B175W）
定格内容積 168L
外形寸法(幅×奥行×高さ) 480×586×1293mm</v>
      </c>
      <c r="M429" s="6" t="str">
        <f aca="false">IFERROR(__xludf.dummyfunction("""COMPUTED_VALUE"""),"2人掛けソファ
奥行き: 95 cm
高さ: 83 cm
幅: 190 cm
本棚
奥行き: 30 cm
高さ: 175 cm
幅: 90 cm
テーブル
高さ: 74 cm
長さ: 100 cm
幅: 60 cm")</f>
        <v>2人掛けソファ
奥行き: 95 cm
高さ: 83 cm
幅: 190 cm
本棚
奥行き: 30 cm
高さ: 175 cm
幅: 90 cm
テーブル
高さ: 74 cm
長さ: 100 cm
幅: 60 cm</v>
      </c>
      <c r="N429" s="6" t="str">
        <f aca="false">IFERROR(__xludf.dummyfunction("""COMPUTED_VALUE"""),"収納ケース1
幅65×奥行41×高さ85cm
収納ケース2
幅41.8×奥行29×高さ89cm
収納ケース3
幅22×奥行41×高さ80cm
収納ケース4
幅40×奥行70×高さ65cm
こたつ
幅50×奥行85×高さ35cm
折りたたみコンテナX5
幅530×奥行366×高さ283mm
液晶テレビ　22型
自炊用具
ノーフライヤー
スーツケース100L型X3
ボールX5
椅子
盆栽
20型自転車")</f>
        <v>収納ケース1
幅65×奥行41×高さ85cm
収納ケース2
幅41.8×奥行29×高さ89cm
収納ケース3
幅22×奥行41×高さ80cm
収納ケース4
幅40×奥行70×高さ65cm
こたつ
幅50×奥行85×高さ35cm
折りたたみコンテナX5
幅530×奥行366×高さ283mm
液晶テレビ　22型
自炊用具
ノーフライヤー
スーツケース100L型X3
ボールX5
椅子
盆栽
20型自転車</v>
      </c>
      <c r="O429" s="6" t="str">
        <f aca="false">IFERROR(__xludf.dummyfunction("""COMPUTED_VALUE"""),"不要")</f>
        <v>不要</v>
      </c>
      <c r="P429" s="6"/>
      <c r="Q429" s="6"/>
      <c r="R429" s="6"/>
      <c r="S429" s="6" t="str">
        <f aca="false">IFERROR(__xludf.dummyfunction("""COMPUTED_VALUE"""),"家具家電なし社宅")</f>
        <v>家具家電なし社宅</v>
      </c>
      <c r="T429" s="6" t="str">
        <f aca="false">IFERROR(__xludf.dummyfunction("""COMPUTED_VALUE"""),"利用しない")</f>
        <v>利用しない</v>
      </c>
      <c r="U429" s="6"/>
      <c r="V429" s="6" t="str">
        <f aca="false">IFERROR(__xludf.dummyfunction("""COMPUTED_VALUE"""),"徒歩")</f>
        <v>徒歩</v>
      </c>
      <c r="W429" s="6"/>
      <c r="X429" s="6" t="str">
        <f aca="false">IFERROR(__xludf.dummyfunction("""COMPUTED_VALUE"""),"株式会社ビーネックステクノロジーズの社宅")</f>
        <v>株式会社ビーネックステクノロジーズの社宅</v>
      </c>
      <c r="Y429" s="6" t="str">
        <f aca="false">IFERROR(__xludf.dummyfunction("""COMPUTED_VALUE"""),"利用なし")</f>
        <v>利用なし</v>
      </c>
      <c r="Z429" s="6" t="str">
        <f aca="false">IFERROR(__xludf.dummyfunction("""COMPUTED_VALUE"""),"希望しない")</f>
        <v>希望しない</v>
      </c>
      <c r="AA429" s="6" t="str">
        <f aca="false">IFERROR(__xludf.dummyfunction("""COMPUTED_VALUE"""),"単身")</f>
        <v>単身</v>
      </c>
      <c r="AB429" s="6"/>
      <c r="AC429" s="6"/>
      <c r="AD429" s="6" t="str">
        <f aca="false">IFERROR(__xludf.dummyfunction("""COMPUTED_VALUE"""),"2階以上、都市ガスまたオール電化、駐輪場")</f>
        <v>2階以上、都市ガスまたオール電化、駐輪場</v>
      </c>
      <c r="AE429" s="6" t="str">
        <f aca="false">IFERROR(__xludf.dummyfunction("""COMPUTED_VALUE"""),"確認しました。")</f>
        <v>確認しました。</v>
      </c>
      <c r="AF429" s="6" t="str">
        <f aca="false">IFERROR(__xludf.dummyfunction("""COMPUTED_VALUE"""),"社宅基準の内容について確認しました")</f>
        <v>社宅基準の内容について確認しました</v>
      </c>
      <c r="AG429" s="6" t="str">
        <f aca="false">IFERROR(__xludf.dummyfunction("""COMPUTED_VALUE"""),"入居のしおりの内容についてご確認しました")</f>
        <v>入居のしおりの内容についてご確認しました</v>
      </c>
      <c r="AH429" s="6" t="str">
        <f aca="false">IFERROR(__xludf.dummyfunction("""COMPUTED_VALUE"""),"確認しました")</f>
        <v>確認しました</v>
      </c>
      <c r="AI429" s="6"/>
      <c r="AJ429" s="6" t="str">
        <v/>
      </c>
      <c r="AK429" s="6" t="str">
        <v/>
      </c>
      <c r="AL429" s="6" t="str">
        <v/>
      </c>
      <c r="AM429" s="6" t="str">
        <v/>
      </c>
      <c r="AN429" s="6" t="n">
        <f aca="false">FALSE()</f>
        <v>0</v>
      </c>
    </row>
    <row r="430" customFormat="false" ht="52.5" hidden="false" customHeight="true" outlineLevel="0" collapsed="false">
      <c r="A430" s="6" t="str">
        <f aca="false">IFERROR(__xludf.dummyfunction("""COMPUTED_VALUE"""),"2026/03/20 12:12:09")</f>
        <v>2026/03/20 12:12:09</v>
      </c>
      <c r="B430" s="6"/>
      <c r="C430" s="6" t="str">
        <f aca="false">IFERROR(__xludf.dummyfunction("""COMPUTED_VALUE"""),"71602")</f>
        <v>71602</v>
      </c>
      <c r="D430" s="6"/>
      <c r="E430" s="6"/>
      <c r="F430" s="6"/>
      <c r="G430" s="6" t="str">
        <f aca="false">IFERROR(__xludf.dummyfunction("""COMPUTED_VALUE"""),"2026/04/01")</f>
        <v>2026/04/01</v>
      </c>
      <c r="H430" s="6" t="str">
        <f aca="false">IFERROR(__xludf.dummyfunction("""COMPUTED_VALUE"""),"必要")</f>
        <v>必要</v>
      </c>
      <c r="I430" s="6" t="str">
        <f aca="false">IFERROR(__xludf.dummyfunction("""COMPUTED_VALUE"""),"男性")</f>
        <v>男性</v>
      </c>
      <c r="J430" s="6" t="str">
        <f aca="false">IFERROR(__xludf.dummyfunction("""COMPUTED_VALUE"""),"日本")</f>
        <v>日本</v>
      </c>
      <c r="K430" s="6" t="str">
        <f aca="false">IFERROR(__xludf.dummyfunction("""COMPUTED_VALUE"""),"6")</f>
        <v>6</v>
      </c>
      <c r="L430" s="6" t="str">
        <f aca="false">IFERROR(__xludf.dummyfunction("""COMPUTED_VALUE"""),"冷蔵庫(単身用)、レンジ、掃除機、炊飯器")</f>
        <v>冷蔵庫(単身用)、レンジ、掃除機、炊飯器</v>
      </c>
      <c r="M430" s="6" t="str">
        <f aca="false">IFERROR(__xludf.dummyfunction("""COMPUTED_VALUE"""),"テーブル(横50×縦30)")</f>
        <v>テーブル(横50×縦30)</v>
      </c>
      <c r="N430" s="6"/>
      <c r="O430" s="6" t="str">
        <f aca="false">IFERROR(__xludf.dummyfunction("""COMPUTED_VALUE"""),"不要")</f>
        <v>不要</v>
      </c>
      <c r="P430" s="6"/>
      <c r="Q430" s="6"/>
      <c r="R430" s="6"/>
      <c r="S430" s="6" t="str">
        <f aca="false">IFERROR(__xludf.dummyfunction("""COMPUTED_VALUE"""),"家具家電付き社宅")</f>
        <v>家具家電付き社宅</v>
      </c>
      <c r="T430" s="6" t="str">
        <f aca="false">IFERROR(__xludf.dummyfunction("""COMPUTED_VALUE"""),"利用しない")</f>
        <v>利用しない</v>
      </c>
      <c r="U430" s="6"/>
      <c r="V430" s="6" t="str">
        <f aca="false">IFERROR(__xludf.dummyfunction("""COMPUTED_VALUE"""),"徒歩, 電車")</f>
        <v>徒歩, 電車</v>
      </c>
      <c r="W430" s="6"/>
      <c r="X430" s="6" t="str">
        <f aca="false">IFERROR(__xludf.dummyfunction("""COMPUTED_VALUE"""),"実家")</f>
        <v>実家</v>
      </c>
      <c r="Y430" s="6"/>
      <c r="Z430" s="6" t="str">
        <f aca="false">IFERROR(__xludf.dummyfunction("""COMPUTED_VALUE"""),"希望する")</f>
        <v>希望する</v>
      </c>
      <c r="AA430" s="6" t="str">
        <f aca="false">IFERROR(__xludf.dummyfunction("""COMPUTED_VALUE"""),"単身")</f>
        <v>単身</v>
      </c>
      <c r="AB430" s="6"/>
      <c r="AC430" s="6"/>
      <c r="AD430" s="6"/>
      <c r="AE430" s="6" t="str">
        <f aca="false">IFERROR(__xludf.dummyfunction("""COMPUTED_VALUE"""),"確認しました。")</f>
        <v>確認しました。</v>
      </c>
      <c r="AF430" s="6" t="str">
        <f aca="false">IFERROR(__xludf.dummyfunction("""COMPUTED_VALUE"""),"社宅基準の内容について確認しました")</f>
        <v>社宅基準の内容について確認しました</v>
      </c>
      <c r="AG430" s="6" t="str">
        <f aca="false">IFERROR(__xludf.dummyfunction("""COMPUTED_VALUE"""),"入居のしおりの内容についてご確認しました")</f>
        <v>入居のしおりの内容についてご確認しました</v>
      </c>
      <c r="AH430" s="6" t="str">
        <f aca="false">IFERROR(__xludf.dummyfunction("""COMPUTED_VALUE"""),"確認しました")</f>
        <v>確認しました</v>
      </c>
      <c r="AI430" s="6"/>
      <c r="AJ430" s="6" t="str">
        <v/>
      </c>
      <c r="AK430" s="6" t="str">
        <v/>
      </c>
      <c r="AL430" s="6" t="str">
        <v/>
      </c>
      <c r="AM430" s="6" t="str">
        <v/>
      </c>
      <c r="AN430" s="6" t="n">
        <f aca="false">FALSE()</f>
        <v>0</v>
      </c>
    </row>
    <row r="431" customFormat="false" ht="52.5" hidden="false" customHeight="true" outlineLevel="0" collapsed="false">
      <c r="A431" s="6" t="str">
        <f aca="false">IFERROR(__xludf.dummyfunction("""COMPUTED_VALUE"""),"2026/03/20 15:52:58")</f>
        <v>2026/03/20 15:52:58</v>
      </c>
      <c r="B431" s="6"/>
      <c r="C431" s="6" t="str">
        <f aca="false">IFERROR(__xludf.dummyfunction("""COMPUTED_VALUE"""),"71565")</f>
        <v>71565</v>
      </c>
      <c r="D431" s="6"/>
      <c r="E431" s="6"/>
      <c r="F431" s="6"/>
      <c r="G431" s="6" t="str">
        <f aca="false">IFERROR(__xludf.dummyfunction("""COMPUTED_VALUE"""),"2026/03/31")</f>
        <v>2026/03/31</v>
      </c>
      <c r="H431" s="6" t="str">
        <f aca="false">IFERROR(__xludf.dummyfunction("""COMPUTED_VALUE"""),"必要")</f>
        <v>必要</v>
      </c>
      <c r="I431" s="6" t="str">
        <f aca="false">IFERROR(__xludf.dummyfunction("""COMPUTED_VALUE"""),"男性")</f>
        <v>男性</v>
      </c>
      <c r="J431" s="6" t="str">
        <f aca="false">IFERROR(__xludf.dummyfunction("""COMPUTED_VALUE"""),"日本")</f>
        <v>日本</v>
      </c>
      <c r="K431" s="6" t="str">
        <f aca="false">IFERROR(__xludf.dummyfunction("""COMPUTED_VALUE"""),"20")</f>
        <v>20</v>
      </c>
      <c r="L431" s="6" t="str">
        <f aca="false">IFERROR(__xludf.dummyfunction("""COMPUTED_VALUE"""),"冷蔵庫単身用、電子レンジ、テレビ24インチ、")</f>
        <v>冷蔵庫単身用、電子レンジ、テレビ24インチ、</v>
      </c>
      <c r="M431" s="6" t="str">
        <f aca="false">IFERROR(__xludf.dummyfunction("""COMPUTED_VALUE"""),"テーブル2、衣装ケース1、カラーボックス2、パイプハンガー3、布団袋2")</f>
        <v>テーブル2、衣装ケース1、カラーボックス2、パイプハンガー3、布団袋2</v>
      </c>
      <c r="N431" s="6"/>
      <c r="O431" s="6" t="str">
        <f aca="false">IFERROR(__xludf.dummyfunction("""COMPUTED_VALUE"""),"不要")</f>
        <v>不要</v>
      </c>
      <c r="P431" s="6"/>
      <c r="Q431" s="6"/>
      <c r="R431" s="6"/>
      <c r="S431" s="6" t="str">
        <f aca="false">IFERROR(__xludf.dummyfunction("""COMPUTED_VALUE"""),"家具家電なし社宅")</f>
        <v>家具家電なし社宅</v>
      </c>
      <c r="T431" s="6" t="str">
        <f aca="false">IFERROR(__xludf.dummyfunction("""COMPUTED_VALUE"""),"利用しない")</f>
        <v>利用しない</v>
      </c>
      <c r="U431" s="6"/>
      <c r="V431" s="6" t="str">
        <f aca="false">IFERROR(__xludf.dummyfunction("""COMPUTED_VALUE"""),"電車")</f>
        <v>電車</v>
      </c>
      <c r="W431" s="6"/>
      <c r="X431" s="6" t="str">
        <f aca="false">IFERROR(__xludf.dummyfunction("""COMPUTED_VALUE"""),"実家")</f>
        <v>実家</v>
      </c>
      <c r="Y431" s="6"/>
      <c r="Z431" s="6" t="str">
        <f aca="false">IFERROR(__xludf.dummyfunction("""COMPUTED_VALUE"""),"希望する")</f>
        <v>希望する</v>
      </c>
      <c r="AA431" s="6" t="str">
        <f aca="false">IFERROR(__xludf.dummyfunction("""COMPUTED_VALUE"""),"単身")</f>
        <v>単身</v>
      </c>
      <c r="AB431" s="6"/>
      <c r="AC431" s="6"/>
      <c r="AD431" s="6"/>
      <c r="AE431" s="6" t="str">
        <f aca="false">IFERROR(__xludf.dummyfunction("""COMPUTED_VALUE"""),"確認しました。")</f>
        <v>確認しました。</v>
      </c>
      <c r="AF431" s="6" t="str">
        <f aca="false">IFERROR(__xludf.dummyfunction("""COMPUTED_VALUE"""),"社宅基準の内容について確認しました")</f>
        <v>社宅基準の内容について確認しました</v>
      </c>
      <c r="AG431" s="6" t="str">
        <f aca="false">IFERROR(__xludf.dummyfunction("""COMPUTED_VALUE"""),"入居のしおりの内容についてご確認しました")</f>
        <v>入居のしおりの内容についてご確認しました</v>
      </c>
      <c r="AH431" s="6" t="str">
        <f aca="false">IFERROR(__xludf.dummyfunction("""COMPUTED_VALUE"""),"確認しました")</f>
        <v>確認しました</v>
      </c>
      <c r="AI431" s="6"/>
      <c r="AJ431" s="6" t="str">
        <v/>
      </c>
      <c r="AK431" s="6" t="str">
        <v/>
      </c>
      <c r="AL431" s="6" t="str">
        <v/>
      </c>
      <c r="AM431" s="6" t="str">
        <v/>
      </c>
      <c r="AN431" s="6" t="n">
        <f aca="false">FALSE()</f>
        <v>0</v>
      </c>
    </row>
    <row r="432" customFormat="false" ht="52.5" hidden="false" customHeight="true" outlineLevel="0" collapsed="false">
      <c r="A432" s="6" t="str">
        <f aca="false">IFERROR(__xludf.dummyfunction("""COMPUTED_VALUE"""),"2026/03/20 18:28:29")</f>
        <v>2026/03/20 18:28:29</v>
      </c>
      <c r="B432" s="6"/>
      <c r="C432" s="6" t="str">
        <f aca="false">IFERROR(__xludf.dummyfunction("""COMPUTED_VALUE"""),"71599")</f>
        <v>71599</v>
      </c>
      <c r="D432" s="6"/>
      <c r="E432" s="6"/>
      <c r="F432" s="6"/>
      <c r="G432" s="6" t="str">
        <f aca="false">IFERROR(__xludf.dummyfunction("""COMPUTED_VALUE"""),"2026/04/14")</f>
        <v>2026/04/14</v>
      </c>
      <c r="H432" s="6" t="str">
        <f aca="false">IFERROR(__xludf.dummyfunction("""COMPUTED_VALUE"""),"必要")</f>
        <v>必要</v>
      </c>
      <c r="I432" s="6" t="str">
        <f aca="false">IFERROR(__xludf.dummyfunction("""COMPUTED_VALUE"""),"男性")</f>
        <v>男性</v>
      </c>
      <c r="J432" s="6" t="str">
        <f aca="false">IFERROR(__xludf.dummyfunction("""COMPUTED_VALUE"""),"中国")</f>
        <v>中国</v>
      </c>
      <c r="K432" s="6" t="str">
        <f aca="false">IFERROR(__xludf.dummyfunction("""COMPUTED_VALUE"""),"20")</f>
        <v>20</v>
      </c>
      <c r="L432" s="6" t="str">
        <f aca="false">IFERROR(__xludf.dummyfunction("""COMPUTED_VALUE"""),"テレビ45インチ
冷蔵庫262L
電子レンジ
洗濯機
空気洗浄機　幅375×奥239×高さ574
掃除機　小型
キーボード　100x30x6、
三脚")</f>
        <v>テレビ45インチ
冷蔵庫262L
電子レンジ
洗濯機
空気洗浄機　幅375×奥239×高さ574
掃除機　小型
キーボード　100x30x6、
三脚</v>
      </c>
      <c r="M432" s="6" t="str">
        <f aca="false">IFERROR(__xludf.dummyfunction("""COMPUTED_VALUE"""),"テーブル　天面120x75　足分解可能
椅子
ワゴン
ベッド　
衣装ケース　4段
スーツケース　普通1
スーツケース　小1
ラック　5段　150センチ　分解可能
")</f>
        <v>テーブル　天面120x75　足分解可能
椅子
ワゴン
ベッド　
衣装ケース　4段
スーツケース　普通1
スーツケース　小1
ラック　5段　150センチ　分解可能
</v>
      </c>
      <c r="N432" s="6" t="str">
        <f aca="false">IFERROR(__xludf.dummyfunction("""COMPUTED_VALUE"""),"自転車
ダンベル　24キロX2
グリンスクリーン  長さ：165cm　断面：10cmx10cm
キーボード　100x30x6cm")</f>
        <v>自転車
ダンベル　24キロX2
グリンスクリーン  長さ：165cm　断面：10cmx10cm
キーボード　100x30x6cm</v>
      </c>
      <c r="O432" s="6" t="str">
        <f aca="false">IFERROR(__xludf.dummyfunction("""COMPUTED_VALUE"""),"不要")</f>
        <v>不要</v>
      </c>
      <c r="P432" s="6"/>
      <c r="Q432" s="6"/>
      <c r="R432" s="6"/>
      <c r="S432" s="6" t="str">
        <f aca="false">IFERROR(__xludf.dummyfunction("""COMPUTED_VALUE"""),"家具家電なし社宅")</f>
        <v>家具家電なし社宅</v>
      </c>
      <c r="T432" s="6" t="str">
        <f aca="false">IFERROR(__xludf.dummyfunction("""COMPUTED_VALUE"""),"利用しない")</f>
        <v>利用しない</v>
      </c>
      <c r="U432" s="6"/>
      <c r="V432" s="6" t="str">
        <f aca="false">IFERROR(__xludf.dummyfunction("""COMPUTED_VALUE"""),"徒歩, 自転車")</f>
        <v>徒歩, 自転車</v>
      </c>
      <c r="W432" s="6"/>
      <c r="X432" s="6" t="str">
        <f aca="false">IFERROR(__xludf.dummyfunction("""COMPUTED_VALUE"""),"株式会社ビーネックステクノロジーズの社宅")</f>
        <v>株式会社ビーネックステクノロジーズの社宅</v>
      </c>
      <c r="Y432" s="6" t="str">
        <f aca="false">IFERROR(__xludf.dummyfunction("""COMPUTED_VALUE"""),"利用なし")</f>
        <v>利用なし</v>
      </c>
      <c r="Z432" s="6" t="str">
        <f aca="false">IFERROR(__xludf.dummyfunction("""COMPUTED_VALUE"""),"希望する")</f>
        <v>希望する</v>
      </c>
      <c r="AA432" s="6" t="str">
        <f aca="false">IFERROR(__xludf.dummyfunction("""COMPUTED_VALUE"""),"単身")</f>
        <v>単身</v>
      </c>
      <c r="AB432" s="6"/>
      <c r="AC432" s="6"/>
      <c r="AD432" s="6"/>
      <c r="AE432" s="6" t="str">
        <f aca="false">IFERROR(__xludf.dummyfunction("""COMPUTED_VALUE"""),"確認しました。")</f>
        <v>確認しました。</v>
      </c>
      <c r="AF432" s="6" t="str">
        <f aca="false">IFERROR(__xludf.dummyfunction("""COMPUTED_VALUE"""),"社宅基準の内容について確認しました")</f>
        <v>社宅基準の内容について確認しました</v>
      </c>
      <c r="AG432" s="6" t="str">
        <f aca="false">IFERROR(__xludf.dummyfunction("""COMPUTED_VALUE"""),"入居のしおりの内容についてご確認しました")</f>
        <v>入居のしおりの内容についてご確認しました</v>
      </c>
      <c r="AH432" s="6" t="str">
        <f aca="false">IFERROR(__xludf.dummyfunction("""COMPUTED_VALUE"""),"確認しました")</f>
        <v>確認しました</v>
      </c>
      <c r="AI432" s="6"/>
      <c r="AJ432" s="6" t="str">
        <v/>
      </c>
      <c r="AK432" s="6" t="str">
        <v/>
      </c>
      <c r="AL432" s="6" t="str">
        <v/>
      </c>
      <c r="AM432" s="6" t="str">
        <v/>
      </c>
      <c r="AN432" s="6" t="n">
        <f aca="false">FALSE()</f>
        <v>0</v>
      </c>
    </row>
    <row r="433" customFormat="false" ht="52.5" hidden="false" customHeight="true" outlineLevel="0" collapsed="false">
      <c r="A433" s="6" t="str">
        <f aca="false">IFERROR(__xludf.dummyfunction("""COMPUTED_VALUE"""),"2026/03/20 19:00:04")</f>
        <v>2026/03/20 19:00:04</v>
      </c>
      <c r="B433" s="6"/>
      <c r="C433" s="6" t="str">
        <f aca="false">IFERROR(__xludf.dummyfunction("""COMPUTED_VALUE"""),"71599")</f>
        <v>71599</v>
      </c>
      <c r="D433" s="6"/>
      <c r="E433" s="6"/>
      <c r="F433" s="6"/>
      <c r="G433" s="6" t="str">
        <f aca="false">IFERROR(__xludf.dummyfunction("""COMPUTED_VALUE"""),"2026/04/14")</f>
        <v>2026/04/14</v>
      </c>
      <c r="H433" s="6" t="str">
        <f aca="false">IFERROR(__xludf.dummyfunction("""COMPUTED_VALUE"""),"必要")</f>
        <v>必要</v>
      </c>
      <c r="I433" s="6" t="str">
        <f aca="false">IFERROR(__xludf.dummyfunction("""COMPUTED_VALUE"""),"男性")</f>
        <v>男性</v>
      </c>
      <c r="J433" s="6" t="str">
        <f aca="false">IFERROR(__xludf.dummyfunction("""COMPUTED_VALUE"""),"中国")</f>
        <v>中国</v>
      </c>
      <c r="K433" s="6" t="str">
        <f aca="false">IFERROR(__xludf.dummyfunction("""COMPUTED_VALUE"""),"20")</f>
        <v>20</v>
      </c>
      <c r="L433" s="6" t="str">
        <f aca="false">IFERROR(__xludf.dummyfunction("""COMPUTED_VALUE"""),"テレビ45インチ冷蔵庫262L 電子レンジ洗濯機空気洗浄機　幅375×奥239×高さ574 掃除機　小型キーボード　100x30x6、三脚")</f>
        <v>テレビ45インチ冷蔵庫262L 電子レンジ洗濯機空気洗浄機　幅375×奥239×高さ574 掃除機　小型キーボード　100x30x6、三脚</v>
      </c>
      <c r="M433" s="6" t="str">
        <f aca="false">IFERROR(__xludf.dummyfunction("""COMPUTED_VALUE"""),"テーブル　天面120x75　足分解可能、椅子、ワゴンベッド　衣装ケース　4段スーツケース　普通1 スーツケース　小1 ラック　5段　150センチ　分解可能 ")</f>
        <v>テーブル　天面120x75　足分解可能、椅子、ワゴンベッド　衣装ケース　4段スーツケース　普通1 スーツケース　小1 ラック　5段　150センチ　分解可能 </v>
      </c>
      <c r="N433" s="6" t="str">
        <f aca="false">IFERROR(__xludf.dummyfunction("""COMPUTED_VALUE"""),"自転車、ダンベル　24キロX2、グリンスクリーン 長さ：165cm　断面：10cmx10cm、キーボード　100x30x6cm")</f>
        <v>自転車、ダンベル　24キロX2、グリンスクリーン 長さ：165cm　断面：10cmx10cm、キーボード　100x30x6cm</v>
      </c>
      <c r="O433" s="6" t="str">
        <f aca="false">IFERROR(__xludf.dummyfunction("""COMPUTED_VALUE"""),"不要")</f>
        <v>不要</v>
      </c>
      <c r="P433" s="6"/>
      <c r="Q433" s="6"/>
      <c r="R433" s="6"/>
      <c r="S433" s="6" t="str">
        <f aca="false">IFERROR(__xludf.dummyfunction("""COMPUTED_VALUE"""),"家具家電なし社宅")</f>
        <v>家具家電なし社宅</v>
      </c>
      <c r="T433" s="6" t="str">
        <f aca="false">IFERROR(__xludf.dummyfunction("""COMPUTED_VALUE"""),"利用しない")</f>
        <v>利用しない</v>
      </c>
      <c r="U433" s="6"/>
      <c r="V433" s="6" t="str">
        <f aca="false">IFERROR(__xludf.dummyfunction("""COMPUTED_VALUE"""),"徒歩, 自転車")</f>
        <v>徒歩, 自転車</v>
      </c>
      <c r="W433" s="6"/>
      <c r="X433" s="6" t="str">
        <f aca="false">IFERROR(__xludf.dummyfunction("""COMPUTED_VALUE"""),"株式会社ビーネックステクノロジーズの社宅")</f>
        <v>株式会社ビーネックステクノロジーズの社宅</v>
      </c>
      <c r="Y433" s="6" t="str">
        <f aca="false">IFERROR(__xludf.dummyfunction("""COMPUTED_VALUE"""),"利用無し")</f>
        <v>利用無し</v>
      </c>
      <c r="Z433" s="6" t="str">
        <f aca="false">IFERROR(__xludf.dummyfunction("""COMPUTED_VALUE"""),"希望する")</f>
        <v>希望する</v>
      </c>
      <c r="AA433" s="6" t="str">
        <f aca="false">IFERROR(__xludf.dummyfunction("""COMPUTED_VALUE"""),"単身")</f>
        <v>単身</v>
      </c>
      <c r="AB433" s="6"/>
      <c r="AC433" s="6"/>
      <c r="AD433" s="6" t="str">
        <f aca="false">IFERROR(__xludf.dummyfunction("""COMPUTED_VALUE"""),"マンションタイプ
広さ25平米以上
（南東・南西を含む）南向き、
都市ガス
ひかりネット対応
オール電化ではない場合、ガスコンロ付き
駅（バス停）へ徒歩可能な距離
生活施設近隣
派遣先会社まで歩いて10分程度
駐輪場付き")</f>
        <v>マンションタイプ
広さ25平米以上
（南東・南西を含む）南向き、
都市ガス
ひかりネット対応
オール電化ではない場合、ガスコンロ付き
駅（バス停）へ徒歩可能な距離
生活施設近隣
派遣先会社まで歩いて10分程度
駐輪場付き</v>
      </c>
      <c r="AE433" s="6" t="str">
        <f aca="false">IFERROR(__xludf.dummyfunction("""COMPUTED_VALUE"""),"確認しました。")</f>
        <v>確認しました。</v>
      </c>
      <c r="AF433" s="6" t="str">
        <f aca="false">IFERROR(__xludf.dummyfunction("""COMPUTED_VALUE"""),"社宅基準の内容について確認しました")</f>
        <v>社宅基準の内容について確認しました</v>
      </c>
      <c r="AG433" s="6" t="str">
        <f aca="false">IFERROR(__xludf.dummyfunction("""COMPUTED_VALUE"""),"入居のしおりの内容についてご確認しました")</f>
        <v>入居のしおりの内容についてご確認しました</v>
      </c>
      <c r="AH433" s="6" t="str">
        <f aca="false">IFERROR(__xludf.dummyfunction("""COMPUTED_VALUE"""),"確認しました")</f>
        <v>確認しました</v>
      </c>
      <c r="AI433" s="6"/>
      <c r="AJ433" s="6" t="str">
        <v/>
      </c>
      <c r="AK433" s="6" t="str">
        <v/>
      </c>
      <c r="AL433" s="6" t="str">
        <v/>
      </c>
      <c r="AM433" s="6" t="str">
        <v/>
      </c>
      <c r="AN433" s="6" t="n">
        <f aca="false">FALSE()</f>
        <v>0</v>
      </c>
    </row>
    <row r="434" customFormat="false" ht="52.5" hidden="false" customHeight="true" outlineLevel="0" collapsed="false">
      <c r="A434" s="6" t="str">
        <f aca="false">IFERROR(__xludf.dummyfunction("""COMPUTED_VALUE"""),"2026/03/20 21:24:26")</f>
        <v>2026/03/20 21:24:26</v>
      </c>
      <c r="B434" s="6"/>
      <c r="C434" s="6" t="str">
        <f aca="false">IFERROR(__xludf.dummyfunction("""COMPUTED_VALUE"""),"71609")</f>
        <v>71609</v>
      </c>
      <c r="D434" s="6"/>
      <c r="E434" s="6"/>
      <c r="F434" s="6"/>
      <c r="G434" s="6" t="str">
        <f aca="false">IFERROR(__xludf.dummyfunction("""COMPUTED_VALUE"""),"2026/03/29")</f>
        <v>2026/03/29</v>
      </c>
      <c r="H434" s="6" t="str">
        <f aca="false">IFERROR(__xludf.dummyfunction("""COMPUTED_VALUE"""),"必要")</f>
        <v>必要</v>
      </c>
      <c r="I434" s="6" t="str">
        <f aca="false">IFERROR(__xludf.dummyfunction("""COMPUTED_VALUE"""),"男性")</f>
        <v>男性</v>
      </c>
      <c r="J434" s="6" t="str">
        <f aca="false">IFERROR(__xludf.dummyfunction("""COMPUTED_VALUE"""),"日本")</f>
        <v>日本</v>
      </c>
      <c r="K434" s="6" t="str">
        <f aca="false">IFERROR(__xludf.dummyfunction("""COMPUTED_VALUE"""),"23")</f>
        <v>23</v>
      </c>
      <c r="L434" s="6" t="str">
        <f aca="false">IFERROR(__xludf.dummyfunction("""COMPUTED_VALUE"""),"オーブントースター")</f>
        <v>オーブントースター</v>
      </c>
      <c r="M434" s="6" t="str">
        <f aca="false">IFERROR(__xludf.dummyfunction("""COMPUTED_VALUE"""),"布団")</f>
        <v>布団</v>
      </c>
      <c r="N434" s="6" t="str">
        <f aca="false">IFERROR(__xludf.dummyfunction("""COMPUTED_VALUE"""),"本・雑誌類")</f>
        <v>本・雑誌類</v>
      </c>
      <c r="O434" s="6" t="str">
        <f aca="false">IFERROR(__xludf.dummyfunction("""COMPUTED_VALUE"""),"不要")</f>
        <v>不要</v>
      </c>
      <c r="P434" s="6"/>
      <c r="Q434" s="6"/>
      <c r="R434" s="6"/>
      <c r="S434" s="6" t="str">
        <f aca="false">IFERROR(__xludf.dummyfunction("""COMPUTED_VALUE"""),"家具家電付き社宅")</f>
        <v>家具家電付き社宅</v>
      </c>
      <c r="T434" s="6" t="str">
        <f aca="false">IFERROR(__xludf.dummyfunction("""COMPUTED_VALUE"""),"利用しない")</f>
        <v>利用しない</v>
      </c>
      <c r="U434" s="6"/>
      <c r="V434" s="6" t="str">
        <f aca="false">IFERROR(__xludf.dummyfunction("""COMPUTED_VALUE"""),"徒歩, 自転車")</f>
        <v>徒歩, 自転車</v>
      </c>
      <c r="W434" s="6"/>
      <c r="X434" s="6" t="str">
        <f aca="false">IFERROR(__xludf.dummyfunction("""COMPUTED_VALUE"""),"株式会社ビーネックステクノロジーズの社宅")</f>
        <v>株式会社ビーネックステクノロジーズの社宅</v>
      </c>
      <c r="Y434" s="6" t="str">
        <f aca="false">IFERROR(__xludf.dummyfunction("""COMPUTED_VALUE"""),"利用なし")</f>
        <v>利用なし</v>
      </c>
      <c r="Z434" s="6" t="str">
        <f aca="false">IFERROR(__xludf.dummyfunction("""COMPUTED_VALUE"""),"希望する")</f>
        <v>希望する</v>
      </c>
      <c r="AA434" s="6" t="str">
        <f aca="false">IFERROR(__xludf.dummyfunction("""COMPUTED_VALUE"""),"単身")</f>
        <v>単身</v>
      </c>
      <c r="AB434" s="6"/>
      <c r="AC434" s="6"/>
      <c r="AD434" s="6"/>
      <c r="AE434" s="6" t="str">
        <f aca="false">IFERROR(__xludf.dummyfunction("""COMPUTED_VALUE"""),"確認しました。")</f>
        <v>確認しました。</v>
      </c>
      <c r="AF434" s="6" t="str">
        <f aca="false">IFERROR(__xludf.dummyfunction("""COMPUTED_VALUE"""),"社宅基準の内容について確認しました")</f>
        <v>社宅基準の内容について確認しました</v>
      </c>
      <c r="AG434" s="6" t="str">
        <f aca="false">IFERROR(__xludf.dummyfunction("""COMPUTED_VALUE"""),"入居のしおりの内容についてご確認しました")</f>
        <v>入居のしおりの内容についてご確認しました</v>
      </c>
      <c r="AH434" s="6" t="str">
        <f aca="false">IFERROR(__xludf.dummyfunction("""COMPUTED_VALUE"""),"確認しました")</f>
        <v>確認しました</v>
      </c>
      <c r="AI434" s="6"/>
      <c r="AJ434" s="6" t="str">
        <v/>
      </c>
      <c r="AK434" s="6" t="str">
        <v/>
      </c>
      <c r="AL434" s="6" t="str">
        <v/>
      </c>
      <c r="AM434" s="6" t="str">
        <v/>
      </c>
      <c r="AN434" s="6" t="n">
        <f aca="false">FALSE()</f>
        <v>0</v>
      </c>
    </row>
    <row r="435" customFormat="false" ht="52.5" hidden="false" customHeight="true" outlineLevel="0" collapsed="false">
      <c r="A435" s="6" t="str">
        <f aca="false">IFERROR(__xludf.dummyfunction("""COMPUTED_VALUE"""),"2026/03/21 1:16:52")</f>
        <v>2026/03/21 1:16:52</v>
      </c>
      <c r="B435" s="6"/>
      <c r="C435" s="6" t="str">
        <f aca="false">IFERROR(__xludf.dummyfunction("""COMPUTED_VALUE"""),"71568")</f>
        <v>71568</v>
      </c>
      <c r="D435" s="6"/>
      <c r="E435" s="6"/>
      <c r="F435" s="6"/>
      <c r="G435" s="6" t="str">
        <f aca="false">IFERROR(__xludf.dummyfunction("""COMPUTED_VALUE"""),"2026/04/01")</f>
        <v>2026/04/01</v>
      </c>
      <c r="H435" s="6" t="str">
        <f aca="false">IFERROR(__xludf.dummyfunction("""COMPUTED_VALUE"""),"必要")</f>
        <v>必要</v>
      </c>
      <c r="I435" s="6" t="str">
        <f aca="false">IFERROR(__xludf.dummyfunction("""COMPUTED_VALUE"""),"男性")</f>
        <v>男性</v>
      </c>
      <c r="J435" s="6" t="str">
        <f aca="false">IFERROR(__xludf.dummyfunction("""COMPUTED_VALUE"""),"日本")</f>
        <v>日本</v>
      </c>
      <c r="K435" s="6" t="str">
        <f aca="false">IFERROR(__xludf.dummyfunction("""COMPUTED_VALUE"""),"20")</f>
        <v>20</v>
      </c>
      <c r="L435" s="6" t="str">
        <f aca="false">IFERROR(__xludf.dummyfunction("""COMPUTED_VALUE"""),"テレビ、電子レンジ、洗濯機")</f>
        <v>テレビ、電子レンジ、洗濯機</v>
      </c>
      <c r="M435" s="6" t="str">
        <f aca="false">IFERROR(__xludf.dummyfunction("""COMPUTED_VALUE"""),"本棚(96×31×74)、すのこ(96×98×5)")</f>
        <v>本棚(96×31×74)、すのこ(96×98×5)</v>
      </c>
      <c r="N435" s="6" t="str">
        <f aca="false">IFERROR(__xludf.dummyfunction("""COMPUTED_VALUE"""),"折り畳み自転車")</f>
        <v>折り畳み自転車</v>
      </c>
      <c r="O435" s="6" t="str">
        <f aca="false">IFERROR(__xludf.dummyfunction("""COMPUTED_VALUE"""),"不要")</f>
        <v>不要</v>
      </c>
      <c r="P435" s="6"/>
      <c r="Q435" s="6"/>
      <c r="R435" s="6"/>
      <c r="S435" s="6" t="str">
        <f aca="false">IFERROR(__xludf.dummyfunction("""COMPUTED_VALUE"""),"家具家電なし社宅")</f>
        <v>家具家電なし社宅</v>
      </c>
      <c r="T435" s="6" t="str">
        <f aca="false">IFERROR(__xludf.dummyfunction("""COMPUTED_VALUE"""),"利用しない")</f>
        <v>利用しない</v>
      </c>
      <c r="U435" s="6"/>
      <c r="V435" s="6" t="str">
        <f aca="false">IFERROR(__xludf.dummyfunction("""COMPUTED_VALUE"""),"電車")</f>
        <v>電車</v>
      </c>
      <c r="W435" s="6"/>
      <c r="X435" s="6" t="str">
        <f aca="false">IFERROR(__xludf.dummyfunction("""COMPUTED_VALUE"""),"実家")</f>
        <v>実家</v>
      </c>
      <c r="Y435" s="6"/>
      <c r="Z435" s="6" t="str">
        <f aca="false">IFERROR(__xludf.dummyfunction("""COMPUTED_VALUE"""),"希望する")</f>
        <v>希望する</v>
      </c>
      <c r="AA435" s="6" t="str">
        <f aca="false">IFERROR(__xludf.dummyfunction("""COMPUTED_VALUE"""),"単身")</f>
        <v>単身</v>
      </c>
      <c r="AB435" s="6"/>
      <c r="AC435" s="6"/>
      <c r="AD435" s="6" t="str">
        <f aca="false">IFERROR(__xludf.dummyfunction("""COMPUTED_VALUE"""),"・バス・トイレ別
・駐輪場あり
・2階以上
・1DK
・エアコン付き
・25平米以上
・最寄駅(大阪環状線野田または西九条)から徒歩15分圏内
・築15年以内")</f>
        <v>・バス・トイレ別
・駐輪場あり
・2階以上
・1DK
・エアコン付き
・25平米以上
・最寄駅(大阪環状線野田または西九条)から徒歩15分圏内
・築15年以内</v>
      </c>
      <c r="AE435" s="6" t="str">
        <f aca="false">IFERROR(__xludf.dummyfunction("""COMPUTED_VALUE"""),"確認しました。")</f>
        <v>確認しました。</v>
      </c>
      <c r="AF435" s="6" t="str">
        <f aca="false">IFERROR(__xludf.dummyfunction("""COMPUTED_VALUE"""),"社宅基準の内容について確認しました")</f>
        <v>社宅基準の内容について確認しました</v>
      </c>
      <c r="AG435" s="6" t="str">
        <f aca="false">IFERROR(__xludf.dummyfunction("""COMPUTED_VALUE"""),"入居のしおりの内容についてご確認しました")</f>
        <v>入居のしおりの内容についてご確認しました</v>
      </c>
      <c r="AH435" s="6" t="str">
        <f aca="false">IFERROR(__xludf.dummyfunction("""COMPUTED_VALUE"""),"確認しました")</f>
        <v>確認しました</v>
      </c>
      <c r="AI435" s="6"/>
      <c r="AJ435" s="6" t="str">
        <v/>
      </c>
      <c r="AK435" s="6" t="str">
        <v/>
      </c>
      <c r="AL435" s="6" t="str">
        <v/>
      </c>
      <c r="AM435" s="6" t="str">
        <v/>
      </c>
      <c r="AN435" s="6" t="n">
        <f aca="false">FALSE()</f>
        <v>0</v>
      </c>
    </row>
    <row r="436" customFormat="false" ht="52.5" hidden="false" customHeight="true" outlineLevel="0" collapsed="false">
      <c r="A436" s="6" t="str">
        <f aca="false">IFERROR(__xludf.dummyfunction("""COMPUTED_VALUE"""),"2026/03/21 9:09:52")</f>
        <v>2026/03/21 9:09:52</v>
      </c>
      <c r="B436" s="6"/>
      <c r="C436" s="6" t="str">
        <f aca="false">IFERROR(__xludf.dummyfunction("""COMPUTED_VALUE"""),"71603")</f>
        <v>71603</v>
      </c>
      <c r="D436" s="6"/>
      <c r="E436" s="6"/>
      <c r="F436" s="6"/>
      <c r="G436" s="6" t="str">
        <f aca="false">IFERROR(__xludf.dummyfunction("""COMPUTED_VALUE"""),"2026/04/11")</f>
        <v>2026/04/11</v>
      </c>
      <c r="H436" s="6" t="str">
        <f aca="false">IFERROR(__xludf.dummyfunction("""COMPUTED_VALUE"""),"必要")</f>
        <v>必要</v>
      </c>
      <c r="I436" s="6" t="str">
        <f aca="false">IFERROR(__xludf.dummyfunction("""COMPUTED_VALUE"""),"男性")</f>
        <v>男性</v>
      </c>
      <c r="J436" s="6" t="str">
        <f aca="false">IFERROR(__xludf.dummyfunction("""COMPUTED_VALUE"""),"日本")</f>
        <v>日本</v>
      </c>
      <c r="K436" s="6" t="str">
        <f aca="false">IFERROR(__xludf.dummyfunction("""COMPUTED_VALUE"""),"10")</f>
        <v>10</v>
      </c>
      <c r="L436" s="6" t="str">
        <f aca="false">IFERROR(__xludf.dummyfunction("""COMPUTED_VALUE"""),"冷蔵庫(単身用)   洗濯機(50・50・80)")</f>
        <v>冷蔵庫(単身用)   洗濯機(50・50・80)</v>
      </c>
      <c r="M436" s="6" t="str">
        <f aca="false">IFERROR(__xludf.dummyfunction("""COMPUTED_VALUE"""),"なし")</f>
        <v>なし</v>
      </c>
      <c r="N436" s="6"/>
      <c r="O436" s="6" t="str">
        <f aca="false">IFERROR(__xludf.dummyfunction("""COMPUTED_VALUE"""),"不要")</f>
        <v>不要</v>
      </c>
      <c r="P436" s="6"/>
      <c r="Q436" s="6"/>
      <c r="R436" s="6"/>
      <c r="S436" s="6" t="str">
        <f aca="false">IFERROR(__xludf.dummyfunction("""COMPUTED_VALUE"""),"家具家電なし社宅")</f>
        <v>家具家電なし社宅</v>
      </c>
      <c r="T436" s="6" t="str">
        <f aca="false">IFERROR(__xludf.dummyfunction("""COMPUTED_VALUE"""),"利用しない")</f>
        <v>利用しない</v>
      </c>
      <c r="U436" s="6"/>
      <c r="V436" s="6" t="str">
        <f aca="false">IFERROR(__xludf.dummyfunction("""COMPUTED_VALUE"""),"徒歩, 電車")</f>
        <v>徒歩, 電車</v>
      </c>
      <c r="W436" s="6"/>
      <c r="X436" s="6" t="str">
        <f aca="false">IFERROR(__xludf.dummyfunction("""COMPUTED_VALUE"""),"ご自身で契約中の物件")</f>
        <v>ご自身で契約中の物件</v>
      </c>
      <c r="Y436" s="6"/>
      <c r="Z436" s="6" t="str">
        <f aca="false">IFERROR(__xludf.dummyfunction("""COMPUTED_VALUE"""),"希望する")</f>
        <v>希望する</v>
      </c>
      <c r="AA436" s="6" t="str">
        <f aca="false">IFERROR(__xludf.dummyfunction("""COMPUTED_VALUE"""),"単身")</f>
        <v>単身</v>
      </c>
      <c r="AB436" s="6"/>
      <c r="AC436" s="6"/>
      <c r="AD436" s="6"/>
      <c r="AE436" s="6" t="str">
        <f aca="false">IFERROR(__xludf.dummyfunction("""COMPUTED_VALUE"""),"確認しました。")</f>
        <v>確認しました。</v>
      </c>
      <c r="AF436" s="6" t="str">
        <f aca="false">IFERROR(__xludf.dummyfunction("""COMPUTED_VALUE"""),"社宅基準の内容について確認しました")</f>
        <v>社宅基準の内容について確認しました</v>
      </c>
      <c r="AG436" s="6" t="str">
        <f aca="false">IFERROR(__xludf.dummyfunction("""COMPUTED_VALUE"""),"入居のしおりの内容についてご確認しました")</f>
        <v>入居のしおりの内容についてご確認しました</v>
      </c>
      <c r="AH436" s="6" t="str">
        <f aca="false">IFERROR(__xludf.dummyfunction("""COMPUTED_VALUE"""),"確認しました")</f>
        <v>確認しました</v>
      </c>
      <c r="AI436" s="6"/>
      <c r="AJ436" s="6" t="str">
        <v/>
      </c>
      <c r="AK436" s="6" t="str">
        <v/>
      </c>
      <c r="AL436" s="6" t="str">
        <v/>
      </c>
      <c r="AM436" s="6" t="str">
        <v/>
      </c>
      <c r="AN436" s="6" t="n">
        <f aca="false">FALSE()</f>
        <v>0</v>
      </c>
    </row>
    <row r="437" customFormat="false" ht="52.5" hidden="false" customHeight="true" outlineLevel="0" collapsed="false">
      <c r="A437" s="6" t="str">
        <f aca="false">IFERROR(__xludf.dummyfunction("""COMPUTED_VALUE"""),"2026/03/21 11:28:54")</f>
        <v>2026/03/21 11:28:54</v>
      </c>
      <c r="B437" s="6"/>
      <c r="C437" s="6" t="str">
        <f aca="false">IFERROR(__xludf.dummyfunction("""COMPUTED_VALUE"""),"71500")</f>
        <v>71500</v>
      </c>
      <c r="D437" s="6"/>
      <c r="E437" s="6"/>
      <c r="F437" s="6"/>
      <c r="G437" s="6" t="str">
        <f aca="false">IFERROR(__xludf.dummyfunction("""COMPUTED_VALUE"""),"2026/04/01")</f>
        <v>2026/04/01</v>
      </c>
      <c r="H437" s="6" t="str">
        <f aca="false">IFERROR(__xludf.dummyfunction("""COMPUTED_VALUE"""),"必要")</f>
        <v>必要</v>
      </c>
      <c r="I437" s="6" t="str">
        <f aca="false">IFERROR(__xludf.dummyfunction("""COMPUTED_VALUE"""),"男性")</f>
        <v>男性</v>
      </c>
      <c r="J437" s="6" t="str">
        <f aca="false">IFERROR(__xludf.dummyfunction("""COMPUTED_VALUE"""),"日本")</f>
        <v>日本</v>
      </c>
      <c r="K437" s="6" t="str">
        <f aca="false">IFERROR(__xludf.dummyfunction("""COMPUTED_VALUE"""),"20")</f>
        <v>20</v>
      </c>
      <c r="L437" s="6" t="str">
        <f aca="false">IFERROR(__xludf.dummyfunction("""COMPUTED_VALUE"""),"乾燥機、扇風機")</f>
        <v>乾燥機、扇風機</v>
      </c>
      <c r="M437" s="6" t="str">
        <f aca="false">IFERROR(__xludf.dummyfunction("""COMPUTED_VALUE"""),"布団、テーブル(高さ30センチ、横200cm)")</f>
        <v>布団、テーブル(高さ30センチ、横200cm)</v>
      </c>
      <c r="N437" s="6"/>
      <c r="O437" s="6" t="str">
        <f aca="false">IFERROR(__xludf.dummyfunction("""COMPUTED_VALUE"""),"不要")</f>
        <v>不要</v>
      </c>
      <c r="P437" s="6"/>
      <c r="Q437" s="6"/>
      <c r="R437" s="6"/>
      <c r="S437" s="6" t="str">
        <f aca="false">IFERROR(__xludf.dummyfunction("""COMPUTED_VALUE"""),"家具家電付き社宅")</f>
        <v>家具家電付き社宅</v>
      </c>
      <c r="T437" s="6" t="str">
        <f aca="false">IFERROR(__xludf.dummyfunction("""COMPUTED_VALUE"""),"利用しない")</f>
        <v>利用しない</v>
      </c>
      <c r="U437" s="6"/>
      <c r="V437" s="6" t="str">
        <f aca="false">IFERROR(__xludf.dummyfunction("""COMPUTED_VALUE"""),"電車, バス")</f>
        <v>電車, バス</v>
      </c>
      <c r="W437" s="6"/>
      <c r="X437" s="6" t="str">
        <f aca="false">IFERROR(__xludf.dummyfunction("""COMPUTED_VALUE"""),"株式会社ビーネックステクノロジーズの社宅")</f>
        <v>株式会社ビーネックステクノロジーズの社宅</v>
      </c>
      <c r="Y437" s="6" t="str">
        <f aca="false">IFERROR(__xludf.dummyfunction("""COMPUTED_VALUE"""),"自転車、ガスコンロ、冷蔵庫、洗濯機、電子レンジ")</f>
        <v>自転車、ガスコンロ、冷蔵庫、洗濯機、電子レンジ</v>
      </c>
      <c r="Z437" s="6" t="str">
        <f aca="false">IFERROR(__xludf.dummyfunction("""COMPUTED_VALUE"""),"希望しない")</f>
        <v>希望しない</v>
      </c>
      <c r="AA437" s="6" t="str">
        <f aca="false">IFERROR(__xludf.dummyfunction("""COMPUTED_VALUE"""),"単身")</f>
        <v>単身</v>
      </c>
      <c r="AB437" s="6"/>
      <c r="AC437" s="6"/>
      <c r="AD437" s="6"/>
      <c r="AE437" s="6" t="str">
        <f aca="false">IFERROR(__xludf.dummyfunction("""COMPUTED_VALUE"""),"確認しました。")</f>
        <v>確認しました。</v>
      </c>
      <c r="AF437" s="6" t="str">
        <f aca="false">IFERROR(__xludf.dummyfunction("""COMPUTED_VALUE"""),"社宅基準の内容について確認しました")</f>
        <v>社宅基準の内容について確認しました</v>
      </c>
      <c r="AG437" s="6" t="str">
        <f aca="false">IFERROR(__xludf.dummyfunction("""COMPUTED_VALUE"""),"入居のしおりの内容についてご確認しました")</f>
        <v>入居のしおりの内容についてご確認しました</v>
      </c>
      <c r="AH437" s="6" t="str">
        <f aca="false">IFERROR(__xludf.dummyfunction("""COMPUTED_VALUE"""),"確認しました")</f>
        <v>確認しました</v>
      </c>
      <c r="AI437" s="6"/>
      <c r="AJ437" s="6" t="str">
        <v/>
      </c>
      <c r="AK437" s="6" t="str">
        <v/>
      </c>
      <c r="AL437" s="6" t="str">
        <v/>
      </c>
      <c r="AM437" s="6" t="str">
        <v/>
      </c>
      <c r="AN437" s="6" t="n">
        <f aca="false">FALSE()</f>
        <v>0</v>
      </c>
    </row>
    <row r="438" customFormat="false" ht="52.5" hidden="false" customHeight="true" outlineLevel="0" collapsed="false">
      <c r="A438" s="6" t="str">
        <f aca="false">IFERROR(__xludf.dummyfunction("""COMPUTED_VALUE"""),"2026/03/21 14:53:57")</f>
        <v>2026/03/21 14:53:57</v>
      </c>
      <c r="B438" s="6"/>
      <c r="C438" s="6" t="str">
        <f aca="false">IFERROR(__xludf.dummyfunction("""COMPUTED_VALUE"""),"71513")</f>
        <v>71513</v>
      </c>
      <c r="D438" s="6"/>
      <c r="E438" s="6"/>
      <c r="F438" s="6"/>
      <c r="G438" s="6" t="str">
        <f aca="false">IFERROR(__xludf.dummyfunction("""COMPUTED_VALUE"""),"2026/03/28")</f>
        <v>2026/03/28</v>
      </c>
      <c r="H438" s="6" t="str">
        <f aca="false">IFERROR(__xludf.dummyfunction("""COMPUTED_VALUE"""),"必要")</f>
        <v>必要</v>
      </c>
      <c r="I438" s="6" t="str">
        <f aca="false">IFERROR(__xludf.dummyfunction("""COMPUTED_VALUE"""),"男性")</f>
        <v>男性</v>
      </c>
      <c r="J438" s="6" t="str">
        <f aca="false">IFERROR(__xludf.dummyfunction("""COMPUTED_VALUE"""),"日本")</f>
        <v>日本</v>
      </c>
      <c r="K438" s="6" t="str">
        <f aca="false">IFERROR(__xludf.dummyfunction("""COMPUTED_VALUE"""),"10")</f>
        <v>10</v>
      </c>
      <c r="L438" s="6" t="str">
        <f aca="false">IFERROR(__xludf.dummyfunction("""COMPUTED_VALUE"""),"なし")</f>
        <v>なし</v>
      </c>
      <c r="M438" s="6" t="str">
        <f aca="false">IFERROR(__xludf.dummyfunction("""COMPUTED_VALUE"""),"机
幅120×奥行60×高さ72cm 2脚
椅子  一脚")</f>
        <v>机
幅120×奥行60×高さ72cm 2脚
椅子  一脚</v>
      </c>
      <c r="N438" s="6" t="str">
        <f aca="false">IFERROR(__xludf.dummyfunction("""COMPUTED_VALUE"""),"大きめのぬいぐるみ1")</f>
        <v>大きめのぬいぐるみ1</v>
      </c>
      <c r="O438" s="6" t="str">
        <f aca="false">IFERROR(__xludf.dummyfunction("""COMPUTED_VALUE"""),"不要")</f>
        <v>不要</v>
      </c>
      <c r="P438" s="6"/>
      <c r="Q438" s="6"/>
      <c r="R438" s="6"/>
      <c r="S438" s="6" t="str">
        <f aca="false">IFERROR(__xludf.dummyfunction("""COMPUTED_VALUE"""),"家具家電なし社宅")</f>
        <v>家具家電なし社宅</v>
      </c>
      <c r="T438" s="6" t="str">
        <f aca="false">IFERROR(__xludf.dummyfunction("""COMPUTED_VALUE"""),"利用しない")</f>
        <v>利用しない</v>
      </c>
      <c r="U438" s="6"/>
      <c r="V438" s="6" t="str">
        <f aca="false">IFERROR(__xludf.dummyfunction("""COMPUTED_VALUE"""),"電車, 社用バス")</f>
        <v>電車, 社用バス</v>
      </c>
      <c r="W438" s="6"/>
      <c r="X438" s="6" t="str">
        <f aca="false">IFERROR(__xludf.dummyfunction("""COMPUTED_VALUE"""),"実家")</f>
        <v>実家</v>
      </c>
      <c r="Y438" s="6"/>
      <c r="Z438" s="6" t="str">
        <f aca="false">IFERROR(__xludf.dummyfunction("""COMPUTED_VALUE"""),"希望する")</f>
        <v>希望する</v>
      </c>
      <c r="AA438" s="6" t="str">
        <f aca="false">IFERROR(__xludf.dummyfunction("""COMPUTED_VALUE"""),"単身")</f>
        <v>単身</v>
      </c>
      <c r="AB438" s="6"/>
      <c r="AC438" s="6"/>
      <c r="AD438" s="6" t="str">
        <f aca="false">IFERROR(__xludf.dummyfunction("""COMPUTED_VALUE"""),"明石駅
西明石駅の近くがいい
レオパレス不可")</f>
        <v>明石駅
西明石駅の近くがいい
レオパレス不可</v>
      </c>
      <c r="AE438" s="6" t="str">
        <f aca="false">IFERROR(__xludf.dummyfunction("""COMPUTED_VALUE"""),"確認しました。")</f>
        <v>確認しました。</v>
      </c>
      <c r="AF438" s="6" t="str">
        <f aca="false">IFERROR(__xludf.dummyfunction("""COMPUTED_VALUE"""),"社宅基準の内容について確認しました")</f>
        <v>社宅基準の内容について確認しました</v>
      </c>
      <c r="AG438" s="6" t="str">
        <f aca="false">IFERROR(__xludf.dummyfunction("""COMPUTED_VALUE"""),"入居のしおりの内容についてご確認しました")</f>
        <v>入居のしおりの内容についてご確認しました</v>
      </c>
      <c r="AH438" s="6" t="str">
        <f aca="false">IFERROR(__xludf.dummyfunction("""COMPUTED_VALUE"""),"確認しました")</f>
        <v>確認しました</v>
      </c>
      <c r="AI438" s="6"/>
      <c r="AJ438" s="6" t="str">
        <v/>
      </c>
      <c r="AK438" s="6" t="str">
        <v/>
      </c>
      <c r="AL438" s="6" t="str">
        <v/>
      </c>
      <c r="AM438" s="6" t="str">
        <v/>
      </c>
      <c r="AN438" s="6" t="n">
        <f aca="false">FALSE()</f>
        <v>0</v>
      </c>
    </row>
    <row r="439" customFormat="false" ht="52.5" hidden="false" customHeight="true" outlineLevel="0" collapsed="false">
      <c r="A439" s="6" t="str">
        <f aca="false">IFERROR(__xludf.dummyfunction("""COMPUTED_VALUE"""),"2026/03/21 15:48:37")</f>
        <v>2026/03/21 15:48:37</v>
      </c>
      <c r="B439" s="6"/>
      <c r="C439" s="6" t="str">
        <f aca="false">IFERROR(__xludf.dummyfunction("""COMPUTED_VALUE"""),"71587")</f>
        <v>71587</v>
      </c>
      <c r="D439" s="6"/>
      <c r="E439" s="6"/>
      <c r="F439" s="6"/>
      <c r="G439" s="6" t="str">
        <f aca="false">IFERROR(__xludf.dummyfunction("""COMPUTED_VALUE"""),"2026/03/25")</f>
        <v>2026/03/25</v>
      </c>
      <c r="H439" s="6" t="str">
        <f aca="false">IFERROR(__xludf.dummyfunction("""COMPUTED_VALUE"""),"必要")</f>
        <v>必要</v>
      </c>
      <c r="I439" s="6" t="str">
        <f aca="false">IFERROR(__xludf.dummyfunction("""COMPUTED_VALUE"""),"男性")</f>
        <v>男性</v>
      </c>
      <c r="J439" s="6" t="str">
        <f aca="false">IFERROR(__xludf.dummyfunction("""COMPUTED_VALUE"""),"日本")</f>
        <v>日本</v>
      </c>
      <c r="K439" s="6" t="str">
        <f aca="false">IFERROR(__xludf.dummyfunction("""COMPUTED_VALUE"""),"0")</f>
        <v>0</v>
      </c>
      <c r="L439" s="6" t="str">
        <f aca="false">IFERROR(__xludf.dummyfunction("""COMPUTED_VALUE"""),"冷蔵庫単身用    電子レンジ  洗濯機(横 55センチ 縦 80センチ）ウォーターサーバー ")</f>
        <v>冷蔵庫単身用    電子レンジ  洗濯機(横 55センチ 縦 80センチ）ウォーターサーバー </v>
      </c>
      <c r="M439" s="6" t="str">
        <f aca="false">IFERROR(__xludf.dummyfunction("""COMPUTED_VALUE"""),"棚3つ (横 40 縦90 ）棚 (横120 縦 40 ）")</f>
        <v>棚3つ (横 40 縦90 ）棚 (横120 縦 40 ）</v>
      </c>
      <c r="N439" s="6" t="str">
        <f aca="false">IFERROR(__xludf.dummyfunction("""COMPUTED_VALUE"""),"なし")</f>
        <v>なし</v>
      </c>
      <c r="O439" s="6" t="str">
        <f aca="false">IFERROR(__xludf.dummyfunction("""COMPUTED_VALUE"""),"不要")</f>
        <v>不要</v>
      </c>
      <c r="P439" s="6"/>
      <c r="Q439" s="6"/>
      <c r="R439" s="6"/>
      <c r="S439" s="6" t="str">
        <f aca="false">IFERROR(__xludf.dummyfunction("""COMPUTED_VALUE"""),"家具家電なし社宅")</f>
        <v>家具家電なし社宅</v>
      </c>
      <c r="T439" s="6" t="str">
        <f aca="false">IFERROR(__xludf.dummyfunction("""COMPUTED_VALUE"""),"利用しない")</f>
        <v>利用しない</v>
      </c>
      <c r="U439" s="6"/>
      <c r="V439" s="6" t="str">
        <f aca="false">IFERROR(__xludf.dummyfunction("""COMPUTED_VALUE"""),"電車")</f>
        <v>電車</v>
      </c>
      <c r="W439" s="6"/>
      <c r="X439" s="6" t="str">
        <f aca="false">IFERROR(__xludf.dummyfunction("""COMPUTED_VALUE"""),"ご自身で契約中の物件")</f>
        <v>ご自身で契約中の物件</v>
      </c>
      <c r="Y439" s="6"/>
      <c r="Z439" s="6" t="str">
        <f aca="false">IFERROR(__xludf.dummyfunction("""COMPUTED_VALUE"""),"希望する")</f>
        <v>希望する</v>
      </c>
      <c r="AA439" s="6" t="str">
        <f aca="false">IFERROR(__xludf.dummyfunction("""COMPUTED_VALUE"""),"単身")</f>
        <v>単身</v>
      </c>
      <c r="AB439" s="6"/>
      <c r="AC439" s="6"/>
      <c r="AD439" s="6" t="str">
        <f aca="false">IFERROR(__xludf.dummyfunction("""COMPUTED_VALUE"""),"トイレとお風呂分けて欲しいです。
駅近いと助かります。")</f>
        <v>トイレとお風呂分けて欲しいです。
駅近いと助かります。</v>
      </c>
      <c r="AE439" s="6" t="str">
        <f aca="false">IFERROR(__xludf.dummyfunction("""COMPUTED_VALUE"""),"確認しました。")</f>
        <v>確認しました。</v>
      </c>
      <c r="AF439" s="6" t="str">
        <f aca="false">IFERROR(__xludf.dummyfunction("""COMPUTED_VALUE"""),"社宅基準の内容について確認しました")</f>
        <v>社宅基準の内容について確認しました</v>
      </c>
      <c r="AG439" s="6" t="str">
        <f aca="false">IFERROR(__xludf.dummyfunction("""COMPUTED_VALUE"""),"入居のしおりの内容についてご確認しました")</f>
        <v>入居のしおりの内容についてご確認しました</v>
      </c>
      <c r="AH439" s="6" t="str">
        <f aca="false">IFERROR(__xludf.dummyfunction("""COMPUTED_VALUE"""),"確認しました")</f>
        <v>確認しました</v>
      </c>
      <c r="AI439" s="6"/>
      <c r="AJ439" s="6" t="str">
        <v/>
      </c>
      <c r="AK439" s="6" t="str">
        <v/>
      </c>
      <c r="AL439" s="6" t="str">
        <v/>
      </c>
      <c r="AM439" s="6" t="str">
        <v/>
      </c>
      <c r="AN439" s="6" t="n">
        <f aca="false">FALSE()</f>
        <v>0</v>
      </c>
    </row>
    <row r="440" customFormat="false" ht="52.5" hidden="false" customHeight="true" outlineLevel="0" collapsed="false">
      <c r="A440" s="6" t="str">
        <f aca="false">IFERROR(__xludf.dummyfunction("""COMPUTED_VALUE"""),"2026/03/23 7:24:43")</f>
        <v>2026/03/23 7:24:43</v>
      </c>
      <c r="B440" s="6"/>
      <c r="C440" s="6" t="str">
        <f aca="false">IFERROR(__xludf.dummyfunction("""COMPUTED_VALUE"""),"71514")</f>
        <v>71514</v>
      </c>
      <c r="D440" s="6"/>
      <c r="E440" s="6"/>
      <c r="F440" s="6"/>
      <c r="G440" s="6" t="str">
        <f aca="false">IFERROR(__xludf.dummyfunction("""COMPUTED_VALUE"""),"2026/03/31")</f>
        <v>2026/03/31</v>
      </c>
      <c r="H440" s="6" t="str">
        <f aca="false">IFERROR(__xludf.dummyfunction("""COMPUTED_VALUE"""),"必要")</f>
        <v>必要</v>
      </c>
      <c r="I440" s="6" t="str">
        <f aca="false">IFERROR(__xludf.dummyfunction("""COMPUTED_VALUE"""),"男性")</f>
        <v>男性</v>
      </c>
      <c r="J440" s="6" t="str">
        <f aca="false">IFERROR(__xludf.dummyfunction("""COMPUTED_VALUE"""),"日本")</f>
        <v>日本</v>
      </c>
      <c r="K440" s="6" t="str">
        <f aca="false">IFERROR(__xludf.dummyfunction("""COMPUTED_VALUE"""),"20")</f>
        <v>20</v>
      </c>
      <c r="L440" s="6" t="str">
        <f aca="false">IFERROR(__xludf.dummyfunction("""COMPUTED_VALUE"""),"電子レンジ、炊飯器")</f>
        <v>電子レンジ、炊飯器</v>
      </c>
      <c r="M440" s="6" t="str">
        <f aca="false">IFERROR(__xludf.dummyfunction("""COMPUTED_VALUE"""),"机（100cm×60cm×75cm）、本棚（60cmx30cmx90cm　と　60cmx30cmx90cm）、ミニテーブル（55cm×55cm×45cm）、テレビ、デスクトップPC及びディスプレイ、ベッド（シングル）、ソファ（2人がけ）")</f>
        <v>机（100cm×60cm×75cm）、本棚（60cmx30cmx90cm　と　60cmx30cmx90cm）、ミニテーブル（55cm×55cm×45cm）、テレビ、デスクトップPC及びディスプレイ、ベッド（シングル）、ソファ（2人がけ）</v>
      </c>
      <c r="N440" s="6" t="str">
        <f aca="false">IFERROR(__xludf.dummyfunction("""COMPUTED_VALUE"""),"折りたたみ式自転車、衣類、ぬいぐるみなど")</f>
        <v>折りたたみ式自転車、衣類、ぬいぐるみなど</v>
      </c>
      <c r="O440" s="6" t="str">
        <f aca="false">IFERROR(__xludf.dummyfunction("""COMPUTED_VALUE"""),"不要")</f>
        <v>不要</v>
      </c>
      <c r="P440" s="6"/>
      <c r="Q440" s="6"/>
      <c r="R440" s="6"/>
      <c r="S440" s="6" t="str">
        <f aca="false">IFERROR(__xludf.dummyfunction("""COMPUTED_VALUE"""),"家具家電なし社宅")</f>
        <v>家具家電なし社宅</v>
      </c>
      <c r="T440" s="6" t="str">
        <f aca="false">IFERROR(__xludf.dummyfunction("""COMPUTED_VALUE"""),"利用しない")</f>
        <v>利用しない</v>
      </c>
      <c r="U440" s="6"/>
      <c r="V440" s="6" t="str">
        <f aca="false">IFERROR(__xludf.dummyfunction("""COMPUTED_VALUE"""),"徒歩, 電車")</f>
        <v>徒歩, 電車</v>
      </c>
      <c r="W440" s="6"/>
      <c r="X440" s="6" t="str">
        <f aca="false">IFERROR(__xludf.dummyfunction("""COMPUTED_VALUE"""),"実家")</f>
        <v>実家</v>
      </c>
      <c r="Y440" s="6"/>
      <c r="Z440" s="6" t="str">
        <f aca="false">IFERROR(__xludf.dummyfunction("""COMPUTED_VALUE"""),"希望する")</f>
        <v>希望する</v>
      </c>
      <c r="AA440" s="6" t="str">
        <f aca="false">IFERROR(__xludf.dummyfunction("""COMPUTED_VALUE"""),"単身")</f>
        <v>単身</v>
      </c>
      <c r="AB440" s="6"/>
      <c r="AC440" s="6"/>
      <c r="AD440" s="6" t="str">
        <f aca="false">IFERROR(__xludf.dummyfunction("""COMPUTED_VALUE"""),"手洗いに関しましてはセパレートの物件を希望致します。")</f>
        <v>手洗いに関しましてはセパレートの物件を希望致します。</v>
      </c>
      <c r="AE440" s="6" t="str">
        <f aca="false">IFERROR(__xludf.dummyfunction("""COMPUTED_VALUE"""),"確認しました。")</f>
        <v>確認しました。</v>
      </c>
      <c r="AF440" s="6" t="str">
        <f aca="false">IFERROR(__xludf.dummyfunction("""COMPUTED_VALUE"""),"社宅基準の内容について確認しました")</f>
        <v>社宅基準の内容について確認しました</v>
      </c>
      <c r="AG440" s="6" t="str">
        <f aca="false">IFERROR(__xludf.dummyfunction("""COMPUTED_VALUE"""),"入居のしおりの内容についてご確認しました")</f>
        <v>入居のしおりの内容についてご確認しました</v>
      </c>
      <c r="AH440" s="6" t="str">
        <f aca="false">IFERROR(__xludf.dummyfunction("""COMPUTED_VALUE"""),"確認しました")</f>
        <v>確認しました</v>
      </c>
      <c r="AI440" s="6"/>
      <c r="AJ440" s="6" t="str">
        <v/>
      </c>
      <c r="AK440" s="6" t="str">
        <v/>
      </c>
      <c r="AL440" s="6" t="str">
        <v/>
      </c>
      <c r="AM440" s="6" t="str">
        <v/>
      </c>
      <c r="AN440" s="6" t="n">
        <f aca="false">FALSE()</f>
        <v>0</v>
      </c>
    </row>
    <row r="441" customFormat="false" ht="52.5" hidden="false" customHeight="true" outlineLevel="0" collapsed="false">
      <c r="A441" s="6" t="str">
        <f aca="false">IFERROR(__xludf.dummyfunction("""COMPUTED_VALUE"""),"2026/03/23 11:01:07")</f>
        <v>2026/03/23 11:01:07</v>
      </c>
      <c r="B441" s="6"/>
      <c r="C441" s="6" t="str">
        <f aca="false">IFERROR(__xludf.dummyfunction("""COMPUTED_VALUE"""),"71385")</f>
        <v>71385</v>
      </c>
      <c r="D441" s="6"/>
      <c r="E441" s="6"/>
      <c r="F441" s="6"/>
      <c r="G441" s="6" t="str">
        <f aca="false">IFERROR(__xludf.dummyfunction("""COMPUTED_VALUE"""),"2026/03/31")</f>
        <v>2026/03/31</v>
      </c>
      <c r="H441" s="6" t="str">
        <f aca="false">IFERROR(__xludf.dummyfunction("""COMPUTED_VALUE"""),"必要")</f>
        <v>必要</v>
      </c>
      <c r="I441" s="6" t="str">
        <f aca="false">IFERROR(__xludf.dummyfunction("""COMPUTED_VALUE"""),"男性")</f>
        <v>男性</v>
      </c>
      <c r="J441" s="6" t="str">
        <f aca="false">IFERROR(__xludf.dummyfunction("""COMPUTED_VALUE"""),"日本")</f>
        <v>日本</v>
      </c>
      <c r="K441" s="6" t="str">
        <f aca="false">IFERROR(__xludf.dummyfunction("""COMPUTED_VALUE"""),"5")</f>
        <v>5</v>
      </c>
      <c r="L441" s="6" t="str">
        <f aca="false">IFERROR(__xludf.dummyfunction("""COMPUTED_VALUE"""),"冷蔵庫　単身用")</f>
        <v>冷蔵庫　単身用</v>
      </c>
      <c r="M441" s="6" t="str">
        <f aca="false">IFERROR(__xludf.dummyfunction("""COMPUTED_VALUE"""),"なし")</f>
        <v>なし</v>
      </c>
      <c r="N441" s="6"/>
      <c r="O441" s="6" t="str">
        <f aca="false">IFERROR(__xludf.dummyfunction("""COMPUTED_VALUE"""),"不要")</f>
        <v>不要</v>
      </c>
      <c r="P441" s="6"/>
      <c r="Q441" s="6"/>
      <c r="R441" s="6"/>
      <c r="S441" s="6" t="str">
        <f aca="false">IFERROR(__xludf.dummyfunction("""COMPUTED_VALUE"""),"家具家電なし社宅")</f>
        <v>家具家電なし社宅</v>
      </c>
      <c r="T441" s="6" t="str">
        <f aca="false">IFERROR(__xludf.dummyfunction("""COMPUTED_VALUE"""),"利用しない")</f>
        <v>利用しない</v>
      </c>
      <c r="U441" s="6"/>
      <c r="V441" s="6" t="str">
        <f aca="false">IFERROR(__xludf.dummyfunction("""COMPUTED_VALUE"""),"徒歩, 自転車")</f>
        <v>徒歩, 自転車</v>
      </c>
      <c r="W441" s="6"/>
      <c r="X441" s="6" t="str">
        <f aca="false">IFERROR(__xludf.dummyfunction("""COMPUTED_VALUE"""),"実家")</f>
        <v>実家</v>
      </c>
      <c r="Y441" s="6"/>
      <c r="Z441" s="6" t="str">
        <f aca="false">IFERROR(__xludf.dummyfunction("""COMPUTED_VALUE"""),"希望する")</f>
        <v>希望する</v>
      </c>
      <c r="AA441" s="6" t="str">
        <f aca="false">IFERROR(__xludf.dummyfunction("""COMPUTED_VALUE"""),"単身")</f>
        <v>単身</v>
      </c>
      <c r="AB441" s="6"/>
      <c r="AC441" s="6"/>
      <c r="AD441" s="6"/>
      <c r="AE441" s="6" t="str">
        <f aca="false">IFERROR(__xludf.dummyfunction("""COMPUTED_VALUE"""),"確認しました。")</f>
        <v>確認しました。</v>
      </c>
      <c r="AF441" s="6" t="str">
        <f aca="false">IFERROR(__xludf.dummyfunction("""COMPUTED_VALUE"""),"社宅基準の内容について確認しました")</f>
        <v>社宅基準の内容について確認しました</v>
      </c>
      <c r="AG441" s="6" t="str">
        <f aca="false">IFERROR(__xludf.dummyfunction("""COMPUTED_VALUE"""),"入居のしおりの内容についてご確認しました")</f>
        <v>入居のしおりの内容についてご確認しました</v>
      </c>
      <c r="AH441" s="6" t="str">
        <f aca="false">IFERROR(__xludf.dummyfunction("""COMPUTED_VALUE"""),"確認しました")</f>
        <v>確認しました</v>
      </c>
      <c r="AI441" s="6"/>
      <c r="AJ441" s="6" t="str">
        <v/>
      </c>
      <c r="AK441" s="6" t="str">
        <v/>
      </c>
      <c r="AL441" s="6" t="str">
        <v/>
      </c>
      <c r="AM441" s="6" t="str">
        <v/>
      </c>
      <c r="AN441" s="6" t="n">
        <f aca="false">FALSE()</f>
        <v>0</v>
      </c>
    </row>
    <row r="442" customFormat="false" ht="52.5" hidden="false" customHeight="true" outlineLevel="0" collapsed="false">
      <c r="A442" s="6" t="str">
        <f aca="false">IFERROR(__xludf.dummyfunction("""COMPUTED_VALUE"""),"2026/03/23 11:04:11")</f>
        <v>2026/03/23 11:04:11</v>
      </c>
      <c r="B442" s="6"/>
      <c r="C442" s="6" t="str">
        <f aca="false">IFERROR(__xludf.dummyfunction("""COMPUTED_VALUE"""),"69838")</f>
        <v>69838</v>
      </c>
      <c r="D442" s="6"/>
      <c r="E442" s="6"/>
      <c r="F442" s="6"/>
      <c r="G442" s="6" t="str">
        <f aca="false">IFERROR(__xludf.dummyfunction("""COMPUTED_VALUE"""),"2026/05/02")</f>
        <v>2026/05/02</v>
      </c>
      <c r="H442" s="6" t="str">
        <f aca="false">IFERROR(__xludf.dummyfunction("""COMPUTED_VALUE"""),"必要")</f>
        <v>必要</v>
      </c>
      <c r="I442" s="6" t="str">
        <f aca="false">IFERROR(__xludf.dummyfunction("""COMPUTED_VALUE"""),"男性")</f>
        <v>男性</v>
      </c>
      <c r="J442" s="6" t="str">
        <f aca="false">IFERROR(__xludf.dummyfunction("""COMPUTED_VALUE"""),"日本")</f>
        <v>日本</v>
      </c>
      <c r="K442" s="6" t="str">
        <f aca="false">IFERROR(__xludf.dummyfunction("""COMPUTED_VALUE"""),"6")</f>
        <v>6</v>
      </c>
      <c r="L442" s="6" t="str">
        <f aca="false">IFERROR(__xludf.dummyfunction("""COMPUTED_VALUE"""),"なし")</f>
        <v>なし</v>
      </c>
      <c r="M442" s="6" t="str">
        <f aca="false">IFERROR(__xludf.dummyfunction("""COMPUTED_VALUE"""),"なし")</f>
        <v>なし</v>
      </c>
      <c r="N442" s="6" t="str">
        <f aca="false">IFERROR(__xludf.dummyfunction("""COMPUTED_VALUE"""),"ギター")</f>
        <v>ギター</v>
      </c>
      <c r="O442" s="6" t="str">
        <f aca="false">IFERROR(__xludf.dummyfunction("""COMPUTED_VALUE"""),"不要")</f>
        <v>不要</v>
      </c>
      <c r="P442" s="6"/>
      <c r="Q442" s="6"/>
      <c r="R442" s="6"/>
      <c r="S442" s="6" t="str">
        <f aca="false">IFERROR(__xludf.dummyfunction("""COMPUTED_VALUE"""),"家具家電付き社宅")</f>
        <v>家具家電付き社宅</v>
      </c>
      <c r="T442" s="6" t="str">
        <f aca="false">IFERROR(__xludf.dummyfunction("""COMPUTED_VALUE"""),"利用しない")</f>
        <v>利用しない</v>
      </c>
      <c r="U442" s="6"/>
      <c r="V442" s="6" t="str">
        <f aca="false">IFERROR(__xludf.dummyfunction("""COMPUTED_VALUE"""),"徒歩, 自転車, 電車")</f>
        <v>徒歩, 自転車, 電車</v>
      </c>
      <c r="W442" s="6"/>
      <c r="X442" s="6" t="str">
        <f aca="false">IFERROR(__xludf.dummyfunction("""COMPUTED_VALUE"""),"実家")</f>
        <v>実家</v>
      </c>
      <c r="Y442" s="6"/>
      <c r="Z442" s="6" t="str">
        <f aca="false">IFERROR(__xludf.dummyfunction("""COMPUTED_VALUE"""),"希望する")</f>
        <v>希望する</v>
      </c>
      <c r="AA442" s="6" t="str">
        <f aca="false">IFERROR(__xludf.dummyfunction("""COMPUTED_VALUE"""),"単身")</f>
        <v>単身</v>
      </c>
      <c r="AB442" s="6"/>
      <c r="AC442" s="6"/>
      <c r="AD442" s="6"/>
      <c r="AE442" s="6" t="str">
        <f aca="false">IFERROR(__xludf.dummyfunction("""COMPUTED_VALUE"""),"確認しました。")</f>
        <v>確認しました。</v>
      </c>
      <c r="AF442" s="6" t="str">
        <f aca="false">IFERROR(__xludf.dummyfunction("""COMPUTED_VALUE"""),"社宅基準の内容について確認しました")</f>
        <v>社宅基準の内容について確認しました</v>
      </c>
      <c r="AG442" s="6" t="str">
        <f aca="false">IFERROR(__xludf.dummyfunction("""COMPUTED_VALUE"""),"入居のしおりの内容についてご確認しました")</f>
        <v>入居のしおりの内容についてご確認しました</v>
      </c>
      <c r="AH442" s="6" t="str">
        <f aca="false">IFERROR(__xludf.dummyfunction("""COMPUTED_VALUE"""),"確認しました")</f>
        <v>確認しました</v>
      </c>
      <c r="AI442" s="6"/>
      <c r="AJ442" s="6" t="str">
        <v/>
      </c>
      <c r="AK442" s="6" t="str">
        <v/>
      </c>
      <c r="AL442" s="6" t="str">
        <v/>
      </c>
      <c r="AM442" s="6" t="str">
        <v/>
      </c>
      <c r="AN442" s="6" t="n">
        <f aca="false">FALSE()</f>
        <v>0</v>
      </c>
    </row>
    <row r="443" customFormat="false" ht="52.5" hidden="false" customHeight="true" outlineLevel="0" collapsed="false">
      <c r="A443" s="6" t="str">
        <f aca="false">IFERROR(__xludf.dummyfunction("""COMPUTED_VALUE"""),"2026/03/23 11:15:20")</f>
        <v>2026/03/23 11:15:20</v>
      </c>
      <c r="B443" s="6"/>
      <c r="C443" s="6" t="str">
        <f aca="false">IFERROR(__xludf.dummyfunction("""COMPUTED_VALUE"""),"71709")</f>
        <v>71709</v>
      </c>
      <c r="D443" s="6"/>
      <c r="E443" s="6"/>
      <c r="F443" s="6"/>
      <c r="G443" s="6" t="str">
        <f aca="false">IFERROR(__xludf.dummyfunction("""COMPUTED_VALUE"""),"2026/04/01")</f>
        <v>2026/04/01</v>
      </c>
      <c r="H443" s="6" t="str">
        <f aca="false">IFERROR(__xludf.dummyfunction("""COMPUTED_VALUE"""),"必要")</f>
        <v>必要</v>
      </c>
      <c r="I443" s="6" t="str">
        <f aca="false">IFERROR(__xludf.dummyfunction("""COMPUTED_VALUE"""),"男性")</f>
        <v>男性</v>
      </c>
      <c r="J443" s="6" t="str">
        <f aca="false">IFERROR(__xludf.dummyfunction("""COMPUTED_VALUE"""),"日本")</f>
        <v>日本</v>
      </c>
      <c r="K443" s="6" t="str">
        <f aca="false">IFERROR(__xludf.dummyfunction("""COMPUTED_VALUE"""),"10")</f>
        <v>10</v>
      </c>
      <c r="L443" s="6" t="str">
        <f aca="false">IFERROR(__xludf.dummyfunction("""COMPUTED_VALUE"""),"なし")</f>
        <v>なし</v>
      </c>
      <c r="M443" s="6" t="str">
        <f aca="false">IFERROR(__xludf.dummyfunction("""COMPUTED_VALUE"""),"パソコン用モニター24インチ1枚、パソコン用モニター21.5インチ1枚、デスクトップパソコン本体")</f>
        <v>パソコン用モニター24インチ1枚、パソコン用モニター21.5インチ1枚、デスクトップパソコン本体</v>
      </c>
      <c r="N443" s="6" t="str">
        <f aca="false">IFERROR(__xludf.dummyfunction("""COMPUTED_VALUE"""),"キャンプ用品")</f>
        <v>キャンプ用品</v>
      </c>
      <c r="O443" s="6" t="str">
        <f aca="false">IFERROR(__xludf.dummyfunction("""COMPUTED_VALUE"""),"不要")</f>
        <v>不要</v>
      </c>
      <c r="P443" s="6"/>
      <c r="Q443" s="6"/>
      <c r="R443" s="6"/>
      <c r="S443" s="6" t="str">
        <f aca="false">IFERROR(__xludf.dummyfunction("""COMPUTED_VALUE"""),"家具家電付き社宅")</f>
        <v>家具家電付き社宅</v>
      </c>
      <c r="T443" s="6" t="str">
        <f aca="false">IFERROR(__xludf.dummyfunction("""COMPUTED_VALUE"""),"利用する")</f>
        <v>利用する</v>
      </c>
      <c r="U443" s="6" t="str">
        <f aca="false">IFERROR(__xludf.dummyfunction("""COMPUTED_VALUE"""),"掃除機、炊飯器")</f>
        <v>掃除機、炊飯器</v>
      </c>
      <c r="V443" s="6" t="str">
        <f aca="false">IFERROR(__xludf.dummyfunction("""COMPUTED_VALUE"""),"徒歩")</f>
        <v>徒歩</v>
      </c>
      <c r="W443" s="6"/>
      <c r="X443" s="6" t="str">
        <f aca="false">IFERROR(__xludf.dummyfunction("""COMPUTED_VALUE"""),"実家")</f>
        <v>実家</v>
      </c>
      <c r="Y443" s="6"/>
      <c r="Z443" s="6" t="str">
        <f aca="false">IFERROR(__xludf.dummyfunction("""COMPUTED_VALUE"""),"希望する")</f>
        <v>希望する</v>
      </c>
      <c r="AA443" s="6" t="str">
        <f aca="false">IFERROR(__xludf.dummyfunction("""COMPUTED_VALUE"""),"単身")</f>
        <v>単身</v>
      </c>
      <c r="AB443" s="6"/>
      <c r="AC443" s="6"/>
      <c r="AD443" s="6"/>
      <c r="AE443" s="6" t="str">
        <f aca="false">IFERROR(__xludf.dummyfunction("""COMPUTED_VALUE"""),"確認しました。")</f>
        <v>確認しました。</v>
      </c>
      <c r="AF443" s="6" t="str">
        <f aca="false">IFERROR(__xludf.dummyfunction("""COMPUTED_VALUE"""),"社宅基準の内容について確認しました")</f>
        <v>社宅基準の内容について確認しました</v>
      </c>
      <c r="AG443" s="6" t="str">
        <f aca="false">IFERROR(__xludf.dummyfunction("""COMPUTED_VALUE"""),"入居のしおりの内容についてご確認しました")</f>
        <v>入居のしおりの内容についてご確認しました</v>
      </c>
      <c r="AH443" s="6" t="str">
        <f aca="false">IFERROR(__xludf.dummyfunction("""COMPUTED_VALUE"""),"確認しました")</f>
        <v>確認しました</v>
      </c>
      <c r="AI443" s="6"/>
      <c r="AJ443" s="6" t="str">
        <v/>
      </c>
      <c r="AK443" s="6" t="str">
        <v/>
      </c>
      <c r="AL443" s="6" t="str">
        <v/>
      </c>
      <c r="AM443" s="6" t="str">
        <v/>
      </c>
      <c r="AN443" s="6" t="n">
        <f aca="false">FALSE()</f>
        <v>0</v>
      </c>
    </row>
    <row r="444" customFormat="false" ht="52.5" hidden="false" customHeight="true" outlineLevel="0" collapsed="false">
      <c r="A444" s="6" t="str">
        <f aca="false">IFERROR(__xludf.dummyfunction("""COMPUTED_VALUE"""),"2026/03/23 18:17:42")</f>
        <v>2026/03/23 18:17:42</v>
      </c>
      <c r="B444" s="6"/>
      <c r="C444" s="6" t="str">
        <f aca="false">IFERROR(__xludf.dummyfunction("""COMPUTED_VALUE"""),"71483")</f>
        <v>71483</v>
      </c>
      <c r="D444" s="6"/>
      <c r="E444" s="6"/>
      <c r="F444" s="6"/>
      <c r="G444" s="6" t="str">
        <f aca="false">IFERROR(__xludf.dummyfunction("""COMPUTED_VALUE"""),"2026/04/05")</f>
        <v>2026/04/05</v>
      </c>
      <c r="H444" s="6" t="str">
        <f aca="false">IFERROR(__xludf.dummyfunction("""COMPUTED_VALUE"""),"不要")</f>
        <v>不要</v>
      </c>
      <c r="I444" s="6" t="str">
        <f aca="false">IFERROR(__xludf.dummyfunction("""COMPUTED_VALUE"""),"男性")</f>
        <v>男性</v>
      </c>
      <c r="J444" s="6" t="str">
        <f aca="false">IFERROR(__xludf.dummyfunction("""COMPUTED_VALUE"""),"日本")</f>
        <v>日本</v>
      </c>
      <c r="K444" s="6"/>
      <c r="L444" s="6"/>
      <c r="M444" s="6"/>
      <c r="N444" s="6"/>
      <c r="O444" s="6" t="str">
        <f aca="false">IFERROR(__xludf.dummyfunction("""COMPUTED_VALUE"""),"不要")</f>
        <v>不要</v>
      </c>
      <c r="P444" s="6"/>
      <c r="Q444" s="6"/>
      <c r="R444" s="6"/>
      <c r="S444" s="6" t="str">
        <f aca="false">IFERROR(__xludf.dummyfunction("""COMPUTED_VALUE"""),"家具家電なし社宅")</f>
        <v>家具家電なし社宅</v>
      </c>
      <c r="T444" s="6" t="str">
        <f aca="false">IFERROR(__xludf.dummyfunction("""COMPUTED_VALUE"""),"利用しない")</f>
        <v>利用しない</v>
      </c>
      <c r="U444" s="6"/>
      <c r="V444" s="6" t="str">
        <f aca="false">IFERROR(__xludf.dummyfunction("""COMPUTED_VALUE"""),"徒歩")</f>
        <v>徒歩</v>
      </c>
      <c r="W444" s="6"/>
      <c r="X444" s="6" t="str">
        <f aca="false">IFERROR(__xludf.dummyfunction("""COMPUTED_VALUE"""),"実家")</f>
        <v>実家</v>
      </c>
      <c r="Y444" s="6"/>
      <c r="Z444" s="6" t="str">
        <f aca="false">IFERROR(__xludf.dummyfunction("""COMPUTED_VALUE"""),"希望する")</f>
        <v>希望する</v>
      </c>
      <c r="AA444" s="6" t="str">
        <f aca="false">IFERROR(__xludf.dummyfunction("""COMPUTED_VALUE"""),"家族")</f>
        <v>家族</v>
      </c>
      <c r="AB444" s="6" t="str">
        <f aca="false">IFERROR(__xludf.dummyfunction("""COMPUTED_VALUE"""),"氏名：安田 美佳
フリガナ：ヤスダ ミカ
生年月日：1999年6月20日
携帯番号：080-8806-3164
続柄：妻
氏名：安田 朱椛
フリガナ：ヤスダ シュウカ
生年月日：2024年11月25日
携帯番号：
続柄：子")</f>
        <v>氏名：安田 美佳
フリガナ：ヤスダ ミカ
生年月日：1999年6月20日
携帯番号：080-8806-3164
続柄：妻
氏名：安田 朱椛
フリガナ：ヤスダ シュウカ
生年月日：2024年11月25日
携帯番号：
続柄：子</v>
      </c>
      <c r="AC444" s="6"/>
      <c r="AD444" s="6" t="str">
        <f aca="false">IFERROR(__xludf.dummyfunction("""COMPUTED_VALUE"""),"子供がいるので幼稚園等が少し近いと有難いです。")</f>
        <v>子供がいるので幼稚園等が少し近いと有難いです。</v>
      </c>
      <c r="AE444" s="6" t="str">
        <f aca="false">IFERROR(__xludf.dummyfunction("""COMPUTED_VALUE"""),"確認しました。")</f>
        <v>確認しました。</v>
      </c>
      <c r="AF444" s="6" t="str">
        <f aca="false">IFERROR(__xludf.dummyfunction("""COMPUTED_VALUE"""),"社宅基準の内容について確認しました")</f>
        <v>社宅基準の内容について確認しました</v>
      </c>
      <c r="AG444" s="6" t="str">
        <f aca="false">IFERROR(__xludf.dummyfunction("""COMPUTED_VALUE"""),"入居のしおりの内容についてご確認しました")</f>
        <v>入居のしおりの内容についてご確認しました</v>
      </c>
      <c r="AH444" s="6" t="str">
        <f aca="false">IFERROR(__xludf.dummyfunction("""COMPUTED_VALUE"""),"確認しました")</f>
        <v>確認しました</v>
      </c>
      <c r="AI444" s="6"/>
      <c r="AJ444" s="6" t="str">
        <v/>
      </c>
      <c r="AK444" s="6" t="str">
        <v/>
      </c>
      <c r="AL444" s="6" t="str">
        <v/>
      </c>
      <c r="AM444" s="6" t="str">
        <v/>
      </c>
      <c r="AN444" s="6" t="n">
        <f aca="false">FALSE()</f>
        <v>0</v>
      </c>
    </row>
    <row r="445" customFormat="false" ht="52.5" hidden="false" customHeight="true" outlineLevel="0" collapsed="false">
      <c r="A445" s="6" t="str">
        <f aca="false">IFERROR(__xludf.dummyfunction("""COMPUTED_VALUE"""),"2026/03/23 19:18:07")</f>
        <v>2026/03/23 19:18:07</v>
      </c>
      <c r="B445" s="6"/>
      <c r="C445" s="6" t="str">
        <f aca="false">IFERROR(__xludf.dummyfunction("""COMPUTED_VALUE"""),"71755")</f>
        <v>71755</v>
      </c>
      <c r="D445" s="6"/>
      <c r="E445" s="6"/>
      <c r="F445" s="6"/>
      <c r="G445" s="6" t="str">
        <f aca="false">IFERROR(__xludf.dummyfunction("""COMPUTED_VALUE"""),"2026/03/29")</f>
        <v>2026/03/29</v>
      </c>
      <c r="H445" s="6" t="str">
        <f aca="false">IFERROR(__xludf.dummyfunction("""COMPUTED_VALUE"""),"必要")</f>
        <v>必要</v>
      </c>
      <c r="I445" s="6" t="str">
        <f aca="false">IFERROR(__xludf.dummyfunction("""COMPUTED_VALUE"""),"男性")</f>
        <v>男性</v>
      </c>
      <c r="J445" s="6" t="str">
        <f aca="false">IFERROR(__xludf.dummyfunction("""COMPUTED_VALUE"""),"日本")</f>
        <v>日本</v>
      </c>
      <c r="K445" s="6" t="str">
        <f aca="false">IFERROR(__xludf.dummyfunction("""COMPUTED_VALUE"""),"15")</f>
        <v>15</v>
      </c>
      <c r="L445" s="6" t="str">
        <f aca="false">IFERROR(__xludf.dummyfunction("""COMPUTED_VALUE"""),"電子レンジ、パソコン、オーブントースター")</f>
        <v>電子レンジ、パソコン、オーブントースター</v>
      </c>
      <c r="M445" s="6" t="str">
        <f aca="false">IFERROR(__xludf.dummyfunction("""COMPUTED_VALUE"""),"折り畳みベッド(シングル)、ソファー(2人)、家具調こたつ、PCラック")</f>
        <v>折り畳みベッド(シングル)、ソファー(2人)、家具調こたつ、PCラック</v>
      </c>
      <c r="N445" s="6" t="str">
        <f aca="false">IFERROR(__xludf.dummyfunction("""COMPUTED_VALUE"""),"自転車")</f>
        <v>自転車</v>
      </c>
      <c r="O445" s="6" t="str">
        <f aca="false">IFERROR(__xludf.dummyfunction("""COMPUTED_VALUE"""),"不要")</f>
        <v>不要</v>
      </c>
      <c r="P445" s="6"/>
      <c r="Q445" s="6"/>
      <c r="R445" s="6"/>
      <c r="S445" s="6" t="str">
        <f aca="false">IFERROR(__xludf.dummyfunction("""COMPUTED_VALUE"""),"家具家電付き社宅")</f>
        <v>家具家電付き社宅</v>
      </c>
      <c r="T445" s="6" t="str">
        <f aca="false">IFERROR(__xludf.dummyfunction("""COMPUTED_VALUE"""),"利用しない")</f>
        <v>利用しない</v>
      </c>
      <c r="U445" s="6"/>
      <c r="V445" s="6" t="str">
        <f aca="false">IFERROR(__xludf.dummyfunction("""COMPUTED_VALUE"""),"徒歩, 電車")</f>
        <v>徒歩, 電車</v>
      </c>
      <c r="W445" s="6"/>
      <c r="X445" s="6" t="str">
        <f aca="false">IFERROR(__xludf.dummyfunction("""COMPUTED_VALUE"""),"株式会社ビーネックステクノロジーズの社宅")</f>
        <v>株式会社ビーネックステクノロジーズの社宅</v>
      </c>
      <c r="Y445" s="6" t="str">
        <f aca="false">IFERROR(__xludf.dummyfunction("""COMPUTED_VALUE"""),"冷蔵庫、洗濯機をレンタル中")</f>
        <v>冷蔵庫、洗濯機をレンタル中</v>
      </c>
      <c r="Z445" s="6" t="str">
        <f aca="false">IFERROR(__xludf.dummyfunction("""COMPUTED_VALUE"""),"希望する")</f>
        <v>希望する</v>
      </c>
      <c r="AA445" s="6" t="str">
        <f aca="false">IFERROR(__xludf.dummyfunction("""COMPUTED_VALUE"""),"単身")</f>
        <v>単身</v>
      </c>
      <c r="AB445" s="6"/>
      <c r="AC445" s="6"/>
      <c r="AD445" s="6" t="str">
        <f aca="false">IFERROR(__xludf.dummyfunction("""COMPUTED_VALUE"""),"承知しました。")</f>
        <v>承知しました。</v>
      </c>
      <c r="AE445" s="6" t="str">
        <f aca="false">IFERROR(__xludf.dummyfunction("""COMPUTED_VALUE"""),"確認しました。")</f>
        <v>確認しました。</v>
      </c>
      <c r="AF445" s="6" t="str">
        <f aca="false">IFERROR(__xludf.dummyfunction("""COMPUTED_VALUE"""),"社宅基準の内容について確認しました")</f>
        <v>社宅基準の内容について確認しました</v>
      </c>
      <c r="AG445" s="6" t="str">
        <f aca="false">IFERROR(__xludf.dummyfunction("""COMPUTED_VALUE"""),"入居のしおりの内容についてご確認しました")</f>
        <v>入居のしおりの内容についてご確認しました</v>
      </c>
      <c r="AH445" s="6" t="str">
        <f aca="false">IFERROR(__xludf.dummyfunction("""COMPUTED_VALUE"""),"確認しました")</f>
        <v>確認しました</v>
      </c>
      <c r="AI445" s="6"/>
      <c r="AJ445" s="6" t="str">
        <v/>
      </c>
      <c r="AK445" s="6" t="str">
        <v/>
      </c>
      <c r="AL445" s="6" t="str">
        <v/>
      </c>
      <c r="AM445" s="6" t="str">
        <v/>
      </c>
      <c r="AN445" s="6" t="n">
        <f aca="false">FALSE()</f>
        <v>0</v>
      </c>
    </row>
    <row r="446" customFormat="false" ht="52.5" hidden="false" customHeight="true" outlineLevel="0" collapsed="false">
      <c r="A446" s="6" t="str">
        <f aca="false">IFERROR(__xludf.dummyfunction("""COMPUTED_VALUE"""),"2026/03/23 19:31:30")</f>
        <v>2026/03/23 19:31:30</v>
      </c>
      <c r="B446" s="6"/>
      <c r="C446" s="6" t="str">
        <f aca="false">IFERROR(__xludf.dummyfunction("""COMPUTED_VALUE"""),"71708")</f>
        <v>71708</v>
      </c>
      <c r="D446" s="6"/>
      <c r="E446" s="6"/>
      <c r="F446" s="6"/>
      <c r="G446" s="6" t="str">
        <f aca="false">IFERROR(__xludf.dummyfunction("""COMPUTED_VALUE"""),"2026/03/29")</f>
        <v>2026/03/29</v>
      </c>
      <c r="H446" s="6" t="str">
        <f aca="false">IFERROR(__xludf.dummyfunction("""COMPUTED_VALUE"""),"必要")</f>
        <v>必要</v>
      </c>
      <c r="I446" s="6" t="str">
        <f aca="false">IFERROR(__xludf.dummyfunction("""COMPUTED_VALUE"""),"男性")</f>
        <v>男性</v>
      </c>
      <c r="J446" s="6" t="str">
        <f aca="false">IFERROR(__xludf.dummyfunction("""COMPUTED_VALUE"""),"日本")</f>
        <v>日本</v>
      </c>
      <c r="K446" s="6" t="str">
        <f aca="false">IFERROR(__xludf.dummyfunction("""COMPUTED_VALUE"""),"15")</f>
        <v>15</v>
      </c>
      <c r="L446" s="6" t="str">
        <f aca="false">IFERROR(__xludf.dummyfunction("""COMPUTED_VALUE"""),"PC、32インチモニター2枚")</f>
        <v>PC、32インチモニター2枚</v>
      </c>
      <c r="M446" s="6" t="str">
        <f aca="false">IFERROR(__xludf.dummyfunction("""COMPUTED_VALUE"""),"棚　横60㌢奥行き37㌢縦97㌢、椅子　横80㌢奥行き80㌢縦130㌢、机　横120㌢奥行き70㌢縦80㌢、机　横40㌢奥行き80㌢縦80㌢、")</f>
        <v>棚　横60㌢奥行き37㌢縦97㌢、椅子　横80㌢奥行き80㌢縦130㌢、机　横120㌢奥行き70㌢縦80㌢、机　横40㌢奥行き80㌢縦80㌢、</v>
      </c>
      <c r="N446" s="6" t="str">
        <f aca="false">IFERROR(__xludf.dummyfunction("""COMPUTED_VALUE"""),"自転車")</f>
        <v>自転車</v>
      </c>
      <c r="O446" s="6" t="str">
        <f aca="false">IFERROR(__xludf.dummyfunction("""COMPUTED_VALUE"""),"不要")</f>
        <v>不要</v>
      </c>
      <c r="P446" s="6"/>
      <c r="Q446" s="6"/>
      <c r="R446" s="6"/>
      <c r="S446" s="6" t="str">
        <f aca="false">IFERROR(__xludf.dummyfunction("""COMPUTED_VALUE"""),"家具家電なし社宅")</f>
        <v>家具家電なし社宅</v>
      </c>
      <c r="T446" s="6" t="str">
        <f aca="false">IFERROR(__xludf.dummyfunction("""COMPUTED_VALUE"""),"利用しない")</f>
        <v>利用しない</v>
      </c>
      <c r="U446" s="6"/>
      <c r="V446" s="6" t="str">
        <f aca="false">IFERROR(__xludf.dummyfunction("""COMPUTED_VALUE"""),"自転車, 電車, バス")</f>
        <v>自転車, 電車, バス</v>
      </c>
      <c r="W446" s="6"/>
      <c r="X446" s="6" t="str">
        <f aca="false">IFERROR(__xludf.dummyfunction("""COMPUTED_VALUE"""),"実家")</f>
        <v>実家</v>
      </c>
      <c r="Y446" s="6"/>
      <c r="Z446" s="6" t="str">
        <f aca="false">IFERROR(__xludf.dummyfunction("""COMPUTED_VALUE"""),"希望する")</f>
        <v>希望する</v>
      </c>
      <c r="AA446" s="6" t="str">
        <f aca="false">IFERROR(__xludf.dummyfunction("""COMPUTED_VALUE"""),"単身")</f>
        <v>単身</v>
      </c>
      <c r="AB446" s="6"/>
      <c r="AC446" s="6"/>
      <c r="AD446" s="6"/>
      <c r="AE446" s="6" t="str">
        <f aca="false">IFERROR(__xludf.dummyfunction("""COMPUTED_VALUE"""),"確認しました。")</f>
        <v>確認しました。</v>
      </c>
      <c r="AF446" s="6" t="str">
        <f aca="false">IFERROR(__xludf.dummyfunction("""COMPUTED_VALUE"""),"社宅基準の内容について確認しました")</f>
        <v>社宅基準の内容について確認しました</v>
      </c>
      <c r="AG446" s="6" t="str">
        <f aca="false">IFERROR(__xludf.dummyfunction("""COMPUTED_VALUE"""),"入居のしおりの内容についてご確認しました")</f>
        <v>入居のしおりの内容についてご確認しました</v>
      </c>
      <c r="AH446" s="6" t="str">
        <f aca="false">IFERROR(__xludf.dummyfunction("""COMPUTED_VALUE"""),"確認しました")</f>
        <v>確認しました</v>
      </c>
      <c r="AI446" s="6"/>
      <c r="AJ446" s="6" t="str">
        <v/>
      </c>
      <c r="AK446" s="6" t="str">
        <v/>
      </c>
      <c r="AL446" s="6" t="str">
        <v/>
      </c>
      <c r="AM446" s="6" t="str">
        <v/>
      </c>
      <c r="AN446" s="6" t="n">
        <f aca="false">FALSE()</f>
        <v>0</v>
      </c>
    </row>
    <row r="447" customFormat="false" ht="52.5" hidden="false" customHeight="true" outlineLevel="0" collapsed="false">
      <c r="A447" s="6" t="str">
        <f aca="false">IFERROR(__xludf.dummyfunction("""COMPUTED_VALUE"""),"2026/03/23 20:57:38")</f>
        <v>2026/03/23 20:57:38</v>
      </c>
      <c r="B447" s="6"/>
      <c r="C447" s="6" t="str">
        <f aca="false">IFERROR(__xludf.dummyfunction("""COMPUTED_VALUE"""),"71721")</f>
        <v>71721</v>
      </c>
      <c r="D447" s="6"/>
      <c r="E447" s="6"/>
      <c r="F447" s="6"/>
      <c r="G447" s="6" t="str">
        <f aca="false">IFERROR(__xludf.dummyfunction("""COMPUTED_VALUE"""),"2026/05/01")</f>
        <v>2026/05/01</v>
      </c>
      <c r="H447" s="6" t="str">
        <f aca="false">IFERROR(__xludf.dummyfunction("""COMPUTED_VALUE"""),"不要")</f>
        <v>不要</v>
      </c>
      <c r="I447" s="6" t="str">
        <f aca="false">IFERROR(__xludf.dummyfunction("""COMPUTED_VALUE"""),"女性")</f>
        <v>女性</v>
      </c>
      <c r="J447" s="6" t="str">
        <f aca="false">IFERROR(__xludf.dummyfunction("""COMPUTED_VALUE"""),"日本")</f>
        <v>日本</v>
      </c>
      <c r="K447" s="6"/>
      <c r="L447" s="6"/>
      <c r="M447" s="6"/>
      <c r="N447" s="6"/>
      <c r="O447" s="6" t="str">
        <f aca="false">IFERROR(__xludf.dummyfunction("""COMPUTED_VALUE"""),"必要")</f>
        <v>必要</v>
      </c>
      <c r="P447" s="6" t="str">
        <f aca="false">IFERROR(__xludf.dummyfunction("""COMPUTED_VALUE"""),"ホンダ、W-RW")</f>
        <v>ホンダ、W-RW</v>
      </c>
      <c r="Q447" s="6" t="str">
        <f aca="false">IFERROR(__xludf.dummyfunction("""COMPUTED_VALUE"""),"も35-88")</f>
        <v>も35-88</v>
      </c>
      <c r="R447" s="6" t="str">
        <f aca="false">IFERROR(__xludf.dummyfunction("""COMPUTED_VALUE"""),"白")</f>
        <v>白</v>
      </c>
      <c r="S447" s="6" t="str">
        <f aca="false">IFERROR(__xludf.dummyfunction("""COMPUTED_VALUE"""),"家具家電付き社宅")</f>
        <v>家具家電付き社宅</v>
      </c>
      <c r="T447" s="6" t="str">
        <f aca="false">IFERROR(__xludf.dummyfunction("""COMPUTED_VALUE"""),"利用する")</f>
        <v>利用する</v>
      </c>
      <c r="U447" s="6" t="str">
        <f aca="false">IFERROR(__xludf.dummyfunction("""COMPUTED_VALUE"""),"なし")</f>
        <v>なし</v>
      </c>
      <c r="V447" s="6" t="str">
        <f aca="false">IFERROR(__xludf.dummyfunction("""COMPUTED_VALUE"""),"徒歩, 電車, バス, 社用バス")</f>
        <v>徒歩, 電車, バス, 社用バス</v>
      </c>
      <c r="W447" s="6"/>
      <c r="X447" s="6" t="str">
        <f aca="false">IFERROR(__xludf.dummyfunction("""COMPUTED_VALUE"""),"株式会社ビーネックステクノロジーズの社宅")</f>
        <v>株式会社ビーネックステクノロジーズの社宅</v>
      </c>
      <c r="Y447" s="6" t="str">
        <f aca="false">IFERROR(__xludf.dummyfunction("""COMPUTED_VALUE"""),"利用なし")</f>
        <v>利用なし</v>
      </c>
      <c r="Z447" s="6" t="str">
        <f aca="false">IFERROR(__xludf.dummyfunction("""COMPUTED_VALUE"""),"希望しない")</f>
        <v>希望しない</v>
      </c>
      <c r="AA447" s="6" t="str">
        <f aca="false">IFERROR(__xludf.dummyfunction("""COMPUTED_VALUE"""),"単身")</f>
        <v>単身</v>
      </c>
      <c r="AB447" s="6"/>
      <c r="AC447" s="6"/>
      <c r="AD447" s="6" t="str">
        <f aca="false">IFERROR(__xludf.dummyfunction("""COMPUTED_VALUE"""),"なし")</f>
        <v>なし</v>
      </c>
      <c r="AE447" s="6" t="str">
        <f aca="false">IFERROR(__xludf.dummyfunction("""COMPUTED_VALUE"""),"確認しました。")</f>
        <v>確認しました。</v>
      </c>
      <c r="AF447" s="6" t="str">
        <f aca="false">IFERROR(__xludf.dummyfunction("""COMPUTED_VALUE"""),"社宅基準の内容について確認しました")</f>
        <v>社宅基準の内容について確認しました</v>
      </c>
      <c r="AG447" s="6" t="str">
        <f aca="false">IFERROR(__xludf.dummyfunction("""COMPUTED_VALUE"""),"入居のしおりの内容についてご確認しました")</f>
        <v>入居のしおりの内容についてご確認しました</v>
      </c>
      <c r="AH447" s="6" t="str">
        <f aca="false">IFERROR(__xludf.dummyfunction("""COMPUTED_VALUE"""),"確認しました")</f>
        <v>確認しました</v>
      </c>
      <c r="AI447" s="6"/>
      <c r="AJ447" s="6" t="str">
        <v/>
      </c>
      <c r="AK447" s="6" t="str">
        <v/>
      </c>
      <c r="AL447" s="6" t="str">
        <v/>
      </c>
      <c r="AM447" s="6" t="str">
        <v/>
      </c>
      <c r="AN447" s="6" t="n">
        <f aca="false">FALSE()</f>
        <v>0</v>
      </c>
    </row>
    <row r="448" customFormat="false" ht="52.5" hidden="false" customHeight="true" outlineLevel="0" collapsed="false">
      <c r="A448" s="6" t="str">
        <f aca="false">IFERROR(__xludf.dummyfunction("""COMPUTED_VALUE"""),"2026/03/24 10:55:46")</f>
        <v>2026/03/24 10:55:46</v>
      </c>
      <c r="B448" s="6"/>
      <c r="C448" s="6" t="str">
        <f aca="false">IFERROR(__xludf.dummyfunction("""COMPUTED_VALUE"""),"71758")</f>
        <v>71758</v>
      </c>
      <c r="D448" s="6"/>
      <c r="E448" s="6"/>
      <c r="F448" s="6"/>
      <c r="G448" s="6" t="str">
        <f aca="false">IFERROR(__xludf.dummyfunction("""COMPUTED_VALUE"""),"2026/03/31")</f>
        <v>2026/03/31</v>
      </c>
      <c r="H448" s="6" t="str">
        <f aca="false">IFERROR(__xludf.dummyfunction("""COMPUTED_VALUE"""),"必要")</f>
        <v>必要</v>
      </c>
      <c r="I448" s="6" t="str">
        <f aca="false">IFERROR(__xludf.dummyfunction("""COMPUTED_VALUE"""),"男性")</f>
        <v>男性</v>
      </c>
      <c r="J448" s="6" t="str">
        <f aca="false">IFERROR(__xludf.dummyfunction("""COMPUTED_VALUE"""),"ネパール")</f>
        <v>ネパール</v>
      </c>
      <c r="K448" s="6" t="str">
        <f aca="false">IFERROR(__xludf.dummyfunction("""COMPUTED_VALUE"""),"15")</f>
        <v>15</v>
      </c>
      <c r="L448" s="6" t="str">
        <f aca="false">IFERROR(__xludf.dummyfunction("""COMPUTED_VALUE"""),"なし")</f>
        <v>なし</v>
      </c>
      <c r="M448" s="6" t="str">
        <f aca="false">IFERROR(__xludf.dummyfunction("""COMPUTED_VALUE"""),"なし")</f>
        <v>なし</v>
      </c>
      <c r="N448" s="6" t="str">
        <f aca="false">IFERROR(__xludf.dummyfunction("""COMPUTED_VALUE"""),"なし")</f>
        <v>なし</v>
      </c>
      <c r="O448" s="6" t="str">
        <f aca="false">IFERROR(__xludf.dummyfunction("""COMPUTED_VALUE"""),"不要")</f>
        <v>不要</v>
      </c>
      <c r="P448" s="6"/>
      <c r="Q448" s="6"/>
      <c r="R448" s="6"/>
      <c r="S448" s="6" t="str">
        <f aca="false">IFERROR(__xludf.dummyfunction("""COMPUTED_VALUE"""),"家具家電付き社宅")</f>
        <v>家具家電付き社宅</v>
      </c>
      <c r="T448" s="6" t="str">
        <f aca="false">IFERROR(__xludf.dummyfunction("""COMPUTED_VALUE"""),"利用しない")</f>
        <v>利用しない</v>
      </c>
      <c r="U448" s="6"/>
      <c r="V448" s="6" t="str">
        <f aca="false">IFERROR(__xludf.dummyfunction("""COMPUTED_VALUE"""),"電車, 社用バス")</f>
        <v>電車, 社用バス</v>
      </c>
      <c r="W448" s="6"/>
      <c r="X448" s="6" t="str">
        <f aca="false">IFERROR(__xludf.dummyfunction("""COMPUTED_VALUE"""),"株式会社ビーネックステクノロジーズの社宅")</f>
        <v>株式会社ビーネックステクノロジーズの社宅</v>
      </c>
      <c r="Y448" s="6" t="str">
        <f aca="false">IFERROR(__xludf.dummyfunction("""COMPUTED_VALUE"""),"なし")</f>
        <v>なし</v>
      </c>
      <c r="Z448" s="6" t="str">
        <f aca="false">IFERROR(__xludf.dummyfunction("""COMPUTED_VALUE"""),"希望する")</f>
        <v>希望する</v>
      </c>
      <c r="AA448" s="6" t="str">
        <f aca="false">IFERROR(__xludf.dummyfunction("""COMPUTED_VALUE"""),"単身")</f>
        <v>単身</v>
      </c>
      <c r="AB448" s="6"/>
      <c r="AC448" s="6"/>
      <c r="AD448" s="6"/>
      <c r="AE448" s="6" t="str">
        <f aca="false">IFERROR(__xludf.dummyfunction("""COMPUTED_VALUE"""),"確認しました。")</f>
        <v>確認しました。</v>
      </c>
      <c r="AF448" s="6" t="str">
        <f aca="false">IFERROR(__xludf.dummyfunction("""COMPUTED_VALUE"""),"社宅基準の内容について確認しました")</f>
        <v>社宅基準の内容について確認しました</v>
      </c>
      <c r="AG448" s="6" t="str">
        <f aca="false">IFERROR(__xludf.dummyfunction("""COMPUTED_VALUE"""),"入居のしおりの内容についてご確認しました")</f>
        <v>入居のしおりの内容についてご確認しました</v>
      </c>
      <c r="AH448" s="6" t="str">
        <f aca="false">IFERROR(__xludf.dummyfunction("""COMPUTED_VALUE"""),"確認しました")</f>
        <v>確認しました</v>
      </c>
      <c r="AI448" s="6"/>
      <c r="AJ448" s="6" t="str">
        <v/>
      </c>
      <c r="AK448" s="6" t="str">
        <v/>
      </c>
      <c r="AL448" s="6" t="str">
        <v/>
      </c>
      <c r="AM448" s="6" t="str">
        <v/>
      </c>
      <c r="AN448" s="6" t="n">
        <f aca="false">FALSE()</f>
        <v>0</v>
      </c>
    </row>
    <row r="449" customFormat="false" ht="52.5" hidden="false" customHeight="true" outlineLevel="0" collapsed="false">
      <c r="A449" s="6" t="str">
        <f aca="false">IFERROR(__xludf.dummyfunction("""COMPUTED_VALUE"""),"2026/03/24 12:22:35")</f>
        <v>2026/03/24 12:22:35</v>
      </c>
      <c r="B449" s="6"/>
      <c r="C449" s="6" t="str">
        <f aca="false">IFERROR(__xludf.dummyfunction("""COMPUTED_VALUE"""),"71764")</f>
        <v>71764</v>
      </c>
      <c r="D449" s="6"/>
      <c r="E449" s="6"/>
      <c r="F449" s="6"/>
      <c r="G449" s="6" t="str">
        <f aca="false">IFERROR(__xludf.dummyfunction("""COMPUTED_VALUE"""),"2026/03/31")</f>
        <v>2026/03/31</v>
      </c>
      <c r="H449" s="6" t="str">
        <f aca="false">IFERROR(__xludf.dummyfunction("""COMPUTED_VALUE"""),"必要")</f>
        <v>必要</v>
      </c>
      <c r="I449" s="6" t="str">
        <f aca="false">IFERROR(__xludf.dummyfunction("""COMPUTED_VALUE"""),"女性")</f>
        <v>女性</v>
      </c>
      <c r="J449" s="6" t="str">
        <f aca="false">IFERROR(__xludf.dummyfunction("""COMPUTED_VALUE"""),"日本")</f>
        <v>日本</v>
      </c>
      <c r="K449" s="6" t="str">
        <f aca="false">IFERROR(__xludf.dummyfunction("""COMPUTED_VALUE"""),"6")</f>
        <v>6</v>
      </c>
      <c r="L449" s="6" t="str">
        <f aca="false">IFERROR(__xludf.dummyfunction("""COMPUTED_VALUE"""),"なし")</f>
        <v>なし</v>
      </c>
      <c r="M449" s="6" t="str">
        <f aca="false">IFERROR(__xludf.dummyfunction("""COMPUTED_VALUE"""),"なし")</f>
        <v>なし</v>
      </c>
      <c r="N449" s="6" t="str">
        <f aca="false">IFERROR(__xludf.dummyfunction("""COMPUTED_VALUE"""),"なし")</f>
        <v>なし</v>
      </c>
      <c r="O449" s="6" t="str">
        <f aca="false">IFERROR(__xludf.dummyfunction("""COMPUTED_VALUE"""),"不要")</f>
        <v>不要</v>
      </c>
      <c r="P449" s="6"/>
      <c r="Q449" s="6"/>
      <c r="R449" s="6"/>
      <c r="S449" s="6" t="str">
        <f aca="false">IFERROR(__xludf.dummyfunction("""COMPUTED_VALUE"""),"家具家電付き社宅")</f>
        <v>家具家電付き社宅</v>
      </c>
      <c r="T449" s="6" t="str">
        <f aca="false">IFERROR(__xludf.dummyfunction("""COMPUTED_VALUE"""),"利用する")</f>
        <v>利用する</v>
      </c>
      <c r="U449" s="6" t="str">
        <f aca="false">IFERROR(__xludf.dummyfunction("""COMPUTED_VALUE"""),"寝具")</f>
        <v>寝具</v>
      </c>
      <c r="V449" s="6" t="str">
        <f aca="false">IFERROR(__xludf.dummyfunction("""COMPUTED_VALUE"""),"徒歩, 電車, バス")</f>
        <v>徒歩, 電車, バス</v>
      </c>
      <c r="W449" s="6"/>
      <c r="X449" s="6" t="str">
        <f aca="false">IFERROR(__xludf.dummyfunction("""COMPUTED_VALUE"""),"実家")</f>
        <v>実家</v>
      </c>
      <c r="Y449" s="6"/>
      <c r="Z449" s="6" t="str">
        <f aca="false">IFERROR(__xludf.dummyfunction("""COMPUTED_VALUE"""),"希望する")</f>
        <v>希望する</v>
      </c>
      <c r="AA449" s="6" t="str">
        <f aca="false">IFERROR(__xludf.dummyfunction("""COMPUTED_VALUE"""),"単身")</f>
        <v>単身</v>
      </c>
      <c r="AB449" s="6"/>
      <c r="AC449" s="6"/>
      <c r="AD449" s="6"/>
      <c r="AE449" s="6" t="str">
        <f aca="false">IFERROR(__xludf.dummyfunction("""COMPUTED_VALUE"""),"確認しました。")</f>
        <v>確認しました。</v>
      </c>
      <c r="AF449" s="6" t="str">
        <f aca="false">IFERROR(__xludf.dummyfunction("""COMPUTED_VALUE"""),"社宅基準の内容について確認しました")</f>
        <v>社宅基準の内容について確認しました</v>
      </c>
      <c r="AG449" s="6" t="str">
        <f aca="false">IFERROR(__xludf.dummyfunction("""COMPUTED_VALUE"""),"入居のしおりの内容についてご確認しました")</f>
        <v>入居のしおりの内容についてご確認しました</v>
      </c>
      <c r="AH449" s="6" t="str">
        <f aca="false">IFERROR(__xludf.dummyfunction("""COMPUTED_VALUE"""),"確認しました")</f>
        <v>確認しました</v>
      </c>
      <c r="AI449" s="6"/>
      <c r="AJ449" s="6" t="str">
        <v/>
      </c>
      <c r="AK449" s="6" t="str">
        <v/>
      </c>
      <c r="AL449" s="6" t="str">
        <v/>
      </c>
      <c r="AM449" s="6" t="str">
        <v/>
      </c>
      <c r="AN449" s="6" t="n">
        <f aca="false">FALSE()</f>
        <v>0</v>
      </c>
    </row>
    <row r="450" customFormat="false" ht="52.5" hidden="false" customHeight="true" outlineLevel="0" collapsed="false">
      <c r="A450" s="6" t="str">
        <f aca="false">IFERROR(__xludf.dummyfunction("""COMPUTED_VALUE"""),"2026/03/24 16:28:15")</f>
        <v>2026/03/24 16:28:15</v>
      </c>
      <c r="B450" s="6"/>
      <c r="C450" s="6" t="str">
        <f aca="false">IFERROR(__xludf.dummyfunction("""COMPUTED_VALUE"""),"71779")</f>
        <v>71779</v>
      </c>
      <c r="D450" s="6"/>
      <c r="E450" s="6"/>
      <c r="F450" s="6"/>
      <c r="G450" s="6" t="str">
        <f aca="false">IFERROR(__xludf.dummyfunction("""COMPUTED_VALUE"""),"2026/08/01")</f>
        <v>2026/08/01</v>
      </c>
      <c r="H450" s="6" t="str">
        <f aca="false">IFERROR(__xludf.dummyfunction("""COMPUTED_VALUE"""),"必要")</f>
        <v>必要</v>
      </c>
      <c r="I450" s="6" t="str">
        <f aca="false">IFERROR(__xludf.dummyfunction("""COMPUTED_VALUE"""),"男性")</f>
        <v>男性</v>
      </c>
      <c r="J450" s="6" t="str">
        <f aca="false">IFERROR(__xludf.dummyfunction("""COMPUTED_VALUE"""),"日本")</f>
        <v>日本</v>
      </c>
      <c r="K450" s="6" t="str">
        <f aca="false">IFERROR(__xludf.dummyfunction("""COMPUTED_VALUE"""),"70")</f>
        <v>70</v>
      </c>
      <c r="L450" s="6" t="str">
        <f aca="false">IFERROR(__xludf.dummyfunction("""COMPUTED_VALUE"""),"家族用冷蔵庫、縦型洗濯機、電子レンジ、炊飯器、空気清浄機")</f>
        <v>家族用冷蔵庫、縦型洗濯機、電子レンジ、炊飯器、空気清浄機</v>
      </c>
      <c r="M450" s="6" t="str">
        <f aca="false">IFERROR(__xludf.dummyfunction("""COMPUTED_VALUE"""),"机、椅子、棚×3、引き出し、シングルベッド")</f>
        <v>机、椅子、棚×3、引き出し、シングルベッド</v>
      </c>
      <c r="N450" s="6" t="str">
        <f aca="false">IFERROR(__xludf.dummyfunction("""COMPUTED_VALUE"""),"PC、スピーカー")</f>
        <v>PC、スピーカー</v>
      </c>
      <c r="O450" s="6" t="str">
        <f aca="false">IFERROR(__xludf.dummyfunction("""COMPUTED_VALUE"""),"不要")</f>
        <v>不要</v>
      </c>
      <c r="P450" s="6"/>
      <c r="Q450" s="6"/>
      <c r="R450" s="6"/>
      <c r="S450" s="6" t="str">
        <f aca="false">IFERROR(__xludf.dummyfunction("""COMPUTED_VALUE"""),"家具家電なし社宅")</f>
        <v>家具家電なし社宅</v>
      </c>
      <c r="T450" s="6" t="str">
        <f aca="false">IFERROR(__xludf.dummyfunction("""COMPUTED_VALUE"""),"利用しない")</f>
        <v>利用しない</v>
      </c>
      <c r="U450" s="6"/>
      <c r="V450" s="6" t="str">
        <f aca="false">IFERROR(__xludf.dummyfunction("""COMPUTED_VALUE"""),"電車")</f>
        <v>電車</v>
      </c>
      <c r="W450" s="6"/>
      <c r="X450" s="6" t="str">
        <f aca="false">IFERROR(__xludf.dummyfunction("""COMPUTED_VALUE"""),"株式会社ビーネックステクノロジーズの社宅")</f>
        <v>株式会社ビーネックステクノロジーズの社宅</v>
      </c>
      <c r="Y450" s="6" t="str">
        <f aca="false">IFERROR(__xludf.dummyfunction("""COMPUTED_VALUE"""),"利用なし")</f>
        <v>利用なし</v>
      </c>
      <c r="Z450" s="6" t="str">
        <f aca="false">IFERROR(__xludf.dummyfunction("""COMPUTED_VALUE"""),"希望しない")</f>
        <v>希望しない</v>
      </c>
      <c r="AA450" s="6" t="str">
        <f aca="false">IFERROR(__xludf.dummyfunction("""COMPUTED_VALUE"""),"家族")</f>
        <v>家族</v>
      </c>
      <c r="AB450" s="6" t="str">
        <f aca="false">IFERROR(__xludf.dummyfunction("""COMPUTED_VALUE"""),"氏名：齊藤竜太
フリガナ：サイトウリュウタ
生年月日：19810313
携帯番号：08059017121
続柄：本人
氏名：英子
フリガナ：エイコ
生年月日：19800426
携帯番号：08060406085
続柄：配偶者")</f>
        <v>氏名：齊藤竜太
フリガナ：サイトウリュウタ
生年月日：19810313
携帯番号：08059017121
続柄：本人
氏名：英子
フリガナ：エイコ
生年月日：19800426
携帯番号：08060406085
続柄：配偶者</v>
      </c>
      <c r="AC450" s="6"/>
      <c r="AD450" s="6"/>
      <c r="AE450" s="6" t="str">
        <f aca="false">IFERROR(__xludf.dummyfunction("""COMPUTED_VALUE"""),"確認しました。")</f>
        <v>確認しました。</v>
      </c>
      <c r="AF450" s="6" t="str">
        <f aca="false">IFERROR(__xludf.dummyfunction("""COMPUTED_VALUE"""),"社宅基準の内容について確認しました")</f>
        <v>社宅基準の内容について確認しました</v>
      </c>
      <c r="AG450" s="6" t="str">
        <f aca="false">IFERROR(__xludf.dummyfunction("""COMPUTED_VALUE"""),"入居のしおりの内容についてご確認しました")</f>
        <v>入居のしおりの内容についてご確認しました</v>
      </c>
      <c r="AH450" s="6" t="str">
        <f aca="false">IFERROR(__xludf.dummyfunction("""COMPUTED_VALUE"""),"確認しました")</f>
        <v>確認しました</v>
      </c>
      <c r="AI450" s="6"/>
      <c r="AJ450" s="6" t="str">
        <v/>
      </c>
      <c r="AK450" s="6" t="str">
        <v/>
      </c>
      <c r="AL450" s="6" t="str">
        <v/>
      </c>
      <c r="AM450" s="6" t="str">
        <v/>
      </c>
      <c r="AN450" s="6" t="n">
        <f aca="false">FALSE()</f>
        <v>0</v>
      </c>
    </row>
    <row r="451" customFormat="false" ht="52.5" hidden="false" customHeight="true" outlineLevel="0" collapsed="false">
      <c r="A451" s="6" t="str">
        <f aca="false">IFERROR(__xludf.dummyfunction("""COMPUTED_VALUE"""),"2026/03/24 17:58:09")</f>
        <v>2026/03/24 17:58:09</v>
      </c>
      <c r="B451" s="6"/>
      <c r="C451" s="6" t="str">
        <f aca="false">IFERROR(__xludf.dummyfunction("""COMPUTED_VALUE"""),"71745")</f>
        <v>71745</v>
      </c>
      <c r="D451" s="6"/>
      <c r="E451" s="6"/>
      <c r="F451" s="6"/>
      <c r="G451" s="6" t="str">
        <f aca="false">IFERROR(__xludf.dummyfunction("""COMPUTED_VALUE"""),"2026/04/01")</f>
        <v>2026/04/01</v>
      </c>
      <c r="H451" s="6" t="str">
        <f aca="false">IFERROR(__xludf.dummyfunction("""COMPUTED_VALUE"""),"必要")</f>
        <v>必要</v>
      </c>
      <c r="I451" s="6" t="str">
        <f aca="false">IFERROR(__xludf.dummyfunction("""COMPUTED_VALUE"""),"男性")</f>
        <v>男性</v>
      </c>
      <c r="J451" s="6" t="str">
        <f aca="false">IFERROR(__xludf.dummyfunction("""COMPUTED_VALUE"""),"日本")</f>
        <v>日本</v>
      </c>
      <c r="K451" s="6" t="str">
        <f aca="false">IFERROR(__xludf.dummyfunction("""COMPUTED_VALUE"""),"20")</f>
        <v>20</v>
      </c>
      <c r="L451" s="6" t="str">
        <f aca="false">IFERROR(__xludf.dummyfunction("""COMPUTED_VALUE"""),"冷蔵庫（2ドア）電子レンジ")</f>
        <v>冷蔵庫（2ドア）電子レンジ</v>
      </c>
      <c r="M451" s="6" t="str">
        <f aca="false">IFERROR(__xludf.dummyfunction("""COMPUTED_VALUE"""),"机（縦75cm横140cm奥行60cm）収納棚（縦74cm横69cm奥行35cm）棚（縦73cm横70cm奥行30cm）座椅子（縦30cm横60cm奥行1m）椅子（縦120cm横65cm奥行65cm）机（縦38cm横、奥行75cm）")</f>
        <v>机（縦75cm横140cm奥行60cm）収納棚（縦74cm横69cm奥行35cm）棚（縦73cm横70cm奥行30cm）座椅子（縦30cm横60cm奥行1m）椅子（縦120cm横65cm奥行65cm）机（縦38cm横、奥行75cm）</v>
      </c>
      <c r="N451" s="6" t="str">
        <f aca="false">IFERROR(__xludf.dummyfunction("""COMPUTED_VALUE"""),"パソコン、モニター（2枚）")</f>
        <v>パソコン、モニター（2枚）</v>
      </c>
      <c r="O451" s="6" t="str">
        <f aca="false">IFERROR(__xludf.dummyfunction("""COMPUTED_VALUE"""),"不要")</f>
        <v>不要</v>
      </c>
      <c r="P451" s="6"/>
      <c r="Q451" s="6"/>
      <c r="R451" s="6"/>
      <c r="S451" s="6" t="str">
        <f aca="false">IFERROR(__xludf.dummyfunction("""COMPUTED_VALUE"""),"家具家電なし社宅")</f>
        <v>家具家電なし社宅</v>
      </c>
      <c r="T451" s="6" t="str">
        <f aca="false">IFERROR(__xludf.dummyfunction("""COMPUTED_VALUE"""),"利用する")</f>
        <v>利用する</v>
      </c>
      <c r="U451" s="6" t="str">
        <f aca="false">IFERROR(__xludf.dummyfunction("""COMPUTED_VALUE"""),"洗濯機")</f>
        <v>洗濯機</v>
      </c>
      <c r="V451" s="6" t="str">
        <f aca="false">IFERROR(__xludf.dummyfunction("""COMPUTED_VALUE"""),"徒歩, 自転車, 電車")</f>
        <v>徒歩, 自転車, 電車</v>
      </c>
      <c r="W451" s="6"/>
      <c r="X451" s="6" t="str">
        <f aca="false">IFERROR(__xludf.dummyfunction("""COMPUTED_VALUE"""),"実家")</f>
        <v>実家</v>
      </c>
      <c r="Y451" s="6"/>
      <c r="Z451" s="6" t="str">
        <f aca="false">IFERROR(__xludf.dummyfunction("""COMPUTED_VALUE"""),"希望する")</f>
        <v>希望する</v>
      </c>
      <c r="AA451" s="6" t="str">
        <f aca="false">IFERROR(__xludf.dummyfunction("""COMPUTED_VALUE"""),"単身")</f>
        <v>単身</v>
      </c>
      <c r="AB451" s="6"/>
      <c r="AC451" s="6"/>
      <c r="AD451" s="6"/>
      <c r="AE451" s="6" t="str">
        <f aca="false">IFERROR(__xludf.dummyfunction("""COMPUTED_VALUE"""),"確認しました。")</f>
        <v>確認しました。</v>
      </c>
      <c r="AF451" s="6" t="str">
        <f aca="false">IFERROR(__xludf.dummyfunction("""COMPUTED_VALUE"""),"社宅基準の内容について確認しました")</f>
        <v>社宅基準の内容について確認しました</v>
      </c>
      <c r="AG451" s="6" t="str">
        <f aca="false">IFERROR(__xludf.dummyfunction("""COMPUTED_VALUE"""),"入居のしおりの内容についてご確認しました")</f>
        <v>入居のしおりの内容についてご確認しました</v>
      </c>
      <c r="AH451" s="6" t="str">
        <f aca="false">IFERROR(__xludf.dummyfunction("""COMPUTED_VALUE"""),"確認しました")</f>
        <v>確認しました</v>
      </c>
      <c r="AI451" s="6"/>
      <c r="AJ451" s="6" t="str">
        <v/>
      </c>
      <c r="AK451" s="6" t="str">
        <v/>
      </c>
      <c r="AL451" s="6" t="str">
        <v/>
      </c>
      <c r="AM451" s="6" t="str">
        <v/>
      </c>
      <c r="AN451" s="6" t="n">
        <f aca="false">FALSE()</f>
        <v>0</v>
      </c>
    </row>
    <row r="452" customFormat="false" ht="52.5" hidden="false" customHeight="true" outlineLevel="0" collapsed="false">
      <c r="A452" s="6" t="str">
        <f aca="false">IFERROR(__xludf.dummyfunction("""COMPUTED_VALUE"""),"2026/03/24 19:58:43")</f>
        <v>2026/03/24 19:58:43</v>
      </c>
      <c r="B452" s="6"/>
      <c r="C452" s="6" t="str">
        <f aca="false">IFERROR(__xludf.dummyfunction("""COMPUTED_VALUE"""),"71786")</f>
        <v>71786</v>
      </c>
      <c r="D452" s="6"/>
      <c r="E452" s="6"/>
      <c r="F452" s="6"/>
      <c r="G452" s="6" t="str">
        <f aca="false">IFERROR(__xludf.dummyfunction("""COMPUTED_VALUE"""),"2026/04/06")</f>
        <v>2026/04/06</v>
      </c>
      <c r="H452" s="6" t="str">
        <f aca="false">IFERROR(__xludf.dummyfunction("""COMPUTED_VALUE"""),"必要")</f>
        <v>必要</v>
      </c>
      <c r="I452" s="6" t="str">
        <f aca="false">IFERROR(__xludf.dummyfunction("""COMPUTED_VALUE"""),"男性")</f>
        <v>男性</v>
      </c>
      <c r="J452" s="6" t="str">
        <f aca="false">IFERROR(__xludf.dummyfunction("""COMPUTED_VALUE"""),"日本")</f>
        <v>日本</v>
      </c>
      <c r="K452" s="6" t="str">
        <f aca="false">IFERROR(__xludf.dummyfunction("""COMPUTED_VALUE"""),"8")</f>
        <v>8</v>
      </c>
      <c r="L452" s="6" t="str">
        <f aca="false">IFERROR(__xludf.dummyfunction("""COMPUTED_VALUE"""),"冷蔵庫（2ドア）全自動洗濯機(562×880×572mm)")</f>
        <v>冷蔵庫（2ドア）全自動洗濯機(562×880×572mm)</v>
      </c>
      <c r="M452" s="6" t="str">
        <f aca="false">IFERROR(__xludf.dummyfunction("""COMPUTED_VALUE"""),"机（1100×725×620ｍｍ）")</f>
        <v>机（1100×725×620ｍｍ）</v>
      </c>
      <c r="N452" s="6" t="str">
        <f aca="false">IFERROR(__xludf.dummyfunction("""COMPUTED_VALUE"""),"自転車　PC機器")</f>
        <v>自転車　PC機器</v>
      </c>
      <c r="O452" s="6" t="str">
        <f aca="false">IFERROR(__xludf.dummyfunction("""COMPUTED_VALUE"""),"不要")</f>
        <v>不要</v>
      </c>
      <c r="P452" s="6"/>
      <c r="Q452" s="6"/>
      <c r="R452" s="6"/>
      <c r="S452" s="6" t="str">
        <f aca="false">IFERROR(__xludf.dummyfunction("""COMPUTED_VALUE"""),"家具家電付き社宅")</f>
        <v>家具家電付き社宅</v>
      </c>
      <c r="T452" s="6" t="str">
        <f aca="false">IFERROR(__xludf.dummyfunction("""COMPUTED_VALUE"""),"利用しない")</f>
        <v>利用しない</v>
      </c>
      <c r="U452" s="6"/>
      <c r="V452" s="6" t="str">
        <f aca="false">IFERROR(__xludf.dummyfunction("""COMPUTED_VALUE"""),"徒歩, 自転車, バス, 社用バス")</f>
        <v>徒歩, 自転車, バス, 社用バス</v>
      </c>
      <c r="W452" s="6"/>
      <c r="X452" s="6" t="str">
        <f aca="false">IFERROR(__xludf.dummyfunction("""COMPUTED_VALUE"""),"ご自身で契約中の物件")</f>
        <v>ご自身で契約中の物件</v>
      </c>
      <c r="Y452" s="6"/>
      <c r="Z452" s="6" t="str">
        <f aca="false">IFERROR(__xludf.dummyfunction("""COMPUTED_VALUE"""),"希望する")</f>
        <v>希望する</v>
      </c>
      <c r="AA452" s="6" t="str">
        <f aca="false">IFERROR(__xludf.dummyfunction("""COMPUTED_VALUE"""),"単身")</f>
        <v>単身</v>
      </c>
      <c r="AB452" s="6"/>
      <c r="AC452" s="6"/>
      <c r="AD452" s="6" t="str">
        <f aca="false">IFERROR(__xludf.dummyfunction("""COMPUTED_VALUE"""),"備え付け家具でテレビは必要ありません。
1LKまたは1LDKを希望します。
インターネット回線に関してはこちらで契約を行いたいと思います。")</f>
        <v>備え付け家具でテレビは必要ありません。
1LKまたは1LDKを希望します。
インターネット回線に関してはこちらで契約を行いたいと思います。</v>
      </c>
      <c r="AE452" s="6" t="str">
        <f aca="false">IFERROR(__xludf.dummyfunction("""COMPUTED_VALUE"""),"確認しました。")</f>
        <v>確認しました。</v>
      </c>
      <c r="AF452" s="6" t="str">
        <f aca="false">IFERROR(__xludf.dummyfunction("""COMPUTED_VALUE"""),"社宅基準の内容について確認しました")</f>
        <v>社宅基準の内容について確認しました</v>
      </c>
      <c r="AG452" s="6" t="str">
        <f aca="false">IFERROR(__xludf.dummyfunction("""COMPUTED_VALUE"""),"入居のしおりの内容についてご確認しました")</f>
        <v>入居のしおりの内容についてご確認しました</v>
      </c>
      <c r="AH452" s="6" t="str">
        <f aca="false">IFERROR(__xludf.dummyfunction("""COMPUTED_VALUE"""),"確認しました")</f>
        <v>確認しました</v>
      </c>
      <c r="AI452" s="6"/>
      <c r="AJ452" s="6" t="str">
        <v/>
      </c>
      <c r="AK452" s="6" t="str">
        <v/>
      </c>
      <c r="AL452" s="6" t="str">
        <v/>
      </c>
      <c r="AM452" s="6" t="str">
        <v/>
      </c>
      <c r="AN452" s="6" t="n">
        <f aca="false">FALSE()</f>
        <v>0</v>
      </c>
    </row>
    <row r="453" customFormat="false" ht="52.5" hidden="false" customHeight="true" outlineLevel="0" collapsed="false">
      <c r="A453" s="6" t="str">
        <f aca="false">IFERROR(__xludf.dummyfunction("""COMPUTED_VALUE"""),"2026/03/24 20:30:14")</f>
        <v>2026/03/24 20:30:14</v>
      </c>
      <c r="B453" s="6"/>
      <c r="C453" s="6" t="str">
        <f aca="false">IFERROR(__xludf.dummyfunction("""COMPUTED_VALUE"""),"71776")</f>
        <v>71776</v>
      </c>
      <c r="D453" s="6"/>
      <c r="E453" s="6"/>
      <c r="F453" s="6"/>
      <c r="G453" s="6" t="str">
        <f aca="false">IFERROR(__xludf.dummyfunction("""COMPUTED_VALUE"""),"2026/04/25")</f>
        <v>2026/04/25</v>
      </c>
      <c r="H453" s="6" t="str">
        <f aca="false">IFERROR(__xludf.dummyfunction("""COMPUTED_VALUE"""),"必要")</f>
        <v>必要</v>
      </c>
      <c r="I453" s="6" t="str">
        <f aca="false">IFERROR(__xludf.dummyfunction("""COMPUTED_VALUE"""),"女性")</f>
        <v>女性</v>
      </c>
      <c r="J453" s="6" t="str">
        <f aca="false">IFERROR(__xludf.dummyfunction("""COMPUTED_VALUE"""),"日本")</f>
        <v>日本</v>
      </c>
      <c r="K453" s="6" t="str">
        <f aca="false">IFERROR(__xludf.dummyfunction("""COMPUTED_VALUE"""),"20")</f>
        <v>20</v>
      </c>
      <c r="L453" s="6" t="str">
        <f aca="false">IFERROR(__xludf.dummyfunction("""COMPUTED_VALUE"""),"電子レンジ")</f>
        <v>電子レンジ</v>
      </c>
      <c r="M453" s="6" t="str">
        <f aca="false">IFERROR(__xludf.dummyfunction("""COMPUTED_VALUE"""),"L字型デスク129奥行き x 129幅 x 74高さ cm
ゲーミングチェア、83奥行き x 65幅 x 29高さ cm
")</f>
        <v>L字型デスク129奥行き x 129幅 x 74高さ cm
ゲーミングチェア、83奥行き x 65幅 x 29高さ cm
</v>
      </c>
      <c r="N453" s="6"/>
      <c r="O453" s="6" t="str">
        <f aca="false">IFERROR(__xludf.dummyfunction("""COMPUTED_VALUE"""),"不要")</f>
        <v>不要</v>
      </c>
      <c r="P453" s="6"/>
      <c r="Q453" s="6"/>
      <c r="R453" s="6"/>
      <c r="S453" s="6" t="str">
        <f aca="false">IFERROR(__xludf.dummyfunction("""COMPUTED_VALUE"""),"家具家電なし社宅")</f>
        <v>家具家電なし社宅</v>
      </c>
      <c r="T453" s="6" t="str">
        <f aca="false">IFERROR(__xludf.dummyfunction("""COMPUTED_VALUE"""),"利用しない")</f>
        <v>利用しない</v>
      </c>
      <c r="U453" s="6"/>
      <c r="V453" s="6" t="str">
        <f aca="false">IFERROR(__xludf.dummyfunction("""COMPUTED_VALUE"""),"電車, 社用バス")</f>
        <v>電車, 社用バス</v>
      </c>
      <c r="W453" s="6"/>
      <c r="X453" s="6" t="str">
        <f aca="false">IFERROR(__xludf.dummyfunction("""COMPUTED_VALUE"""),"実家")</f>
        <v>実家</v>
      </c>
      <c r="Y453" s="6"/>
      <c r="Z453" s="6" t="str">
        <f aca="false">IFERROR(__xludf.dummyfunction("""COMPUTED_VALUE"""),"希望する")</f>
        <v>希望する</v>
      </c>
      <c r="AA453" s="6" t="str">
        <f aca="false">IFERROR(__xludf.dummyfunction("""COMPUTED_VALUE"""),"単身")</f>
        <v>単身</v>
      </c>
      <c r="AB453" s="6"/>
      <c r="AC453" s="6"/>
      <c r="AD453" s="6"/>
      <c r="AE453" s="6" t="str">
        <f aca="false">IFERROR(__xludf.dummyfunction("""COMPUTED_VALUE"""),"確認しました。")</f>
        <v>確認しました。</v>
      </c>
      <c r="AF453" s="6" t="str">
        <f aca="false">IFERROR(__xludf.dummyfunction("""COMPUTED_VALUE"""),"社宅基準の内容について確認しました")</f>
        <v>社宅基準の内容について確認しました</v>
      </c>
      <c r="AG453" s="6" t="str">
        <f aca="false">IFERROR(__xludf.dummyfunction("""COMPUTED_VALUE"""),"入居のしおりの内容についてご確認しました")</f>
        <v>入居のしおりの内容についてご確認しました</v>
      </c>
      <c r="AH453" s="6" t="str">
        <f aca="false">IFERROR(__xludf.dummyfunction("""COMPUTED_VALUE"""),"確認しました")</f>
        <v>確認しました</v>
      </c>
      <c r="AI453" s="6"/>
      <c r="AJ453" s="6" t="str">
        <v/>
      </c>
      <c r="AK453" s="6" t="str">
        <v/>
      </c>
      <c r="AL453" s="6" t="str">
        <v/>
      </c>
      <c r="AM453" s="6" t="str">
        <v/>
      </c>
      <c r="AN453" s="6" t="n">
        <f aca="false">FALSE()</f>
        <v>0</v>
      </c>
    </row>
    <row r="454" customFormat="false" ht="52.5" hidden="false" customHeight="true" outlineLevel="0" collapsed="false">
      <c r="A454" s="6" t="str">
        <f aca="false">IFERROR(__xludf.dummyfunction("""COMPUTED_VALUE"""),"2026/03/25 1:22:31")</f>
        <v>2026/03/25 1:22:31</v>
      </c>
      <c r="B454" s="6"/>
      <c r="C454" s="6" t="str">
        <f aca="false">IFERROR(__xludf.dummyfunction("""COMPUTED_VALUE"""),"71722")</f>
        <v>71722</v>
      </c>
      <c r="D454" s="6"/>
      <c r="E454" s="6"/>
      <c r="F454" s="6"/>
      <c r="G454" s="6" t="str">
        <f aca="false">IFERROR(__xludf.dummyfunction("""COMPUTED_VALUE"""),"2026/05/01")</f>
        <v>2026/05/01</v>
      </c>
      <c r="H454" s="6" t="str">
        <f aca="false">IFERROR(__xludf.dummyfunction("""COMPUTED_VALUE"""),"必要")</f>
        <v>必要</v>
      </c>
      <c r="I454" s="6" t="str">
        <f aca="false">IFERROR(__xludf.dummyfunction("""COMPUTED_VALUE"""),"男性")</f>
        <v>男性</v>
      </c>
      <c r="J454" s="6" t="str">
        <f aca="false">IFERROR(__xludf.dummyfunction("""COMPUTED_VALUE"""),"日本")</f>
        <v>日本</v>
      </c>
      <c r="K454" s="6" t="str">
        <f aca="false">IFERROR(__xludf.dummyfunction("""COMPUTED_VALUE"""),"40")</f>
        <v>40</v>
      </c>
      <c r="L454" s="6" t="str">
        <f aca="false">IFERROR(__xludf.dummyfunction("""COMPUTED_VALUE""")," 電子レンジ   
      扇風機        幅36.0   x奥行き 36.0  x 高さ   85.0 cm      約3.1kg 
      冷蔵庫① 単身用(2ドア) PRR-142D-LG
            　　幅48   x 奥行き 53    x 高さ 144.5 cm   約37kg
      冷蔵庫② 単身用(2ドア) PRR-082D-W
                  幅48   x奥行き 52.5  x 高さ   91.5 cm   約26kg
ドラム式洗濯"&amp;"乾燥機  ES-S7H-WL
                        幅64.0   x奥行き 60.0  x 高さ   103.9 cm   約76kg
     スポットクーラー ポータブクーラー YEC-K222
                       幅32.8   x奥行き 29.8  x 高さ   69.2 cm   約20.0kg")</f>
        <v> 電子レンジ   
      扇風機        幅36.0   x奥行き 36.0  x 高さ   85.0 cm      約3.1kg 
      冷蔵庫① 単身用(2ドア) PRR-142D-LG
            　　幅48   x 奥行き 53    x 高さ 144.5 cm   約37kg
      冷蔵庫② 単身用(2ドア) PRR-082D-W
                  幅48   x奥行き 52.5  x 高さ   91.5 cm   約26kg
ドラム式洗濯乾燥機  ES-S7H-WL
                        幅64.0   x奥行き 60.0  x 高さ   103.9 cm   約76kg
     スポットクーラー ポータブクーラー YEC-K222
                       幅32.8   x奥行き 29.8  x 高さ   69.2 cm   約20.0kg</v>
      </c>
      <c r="M454" s="6" t="str">
        <f aca="false">IFERROR(__xludf.dummyfunction("""COMPUTED_VALUE"""),"・家具
      シングルベッド
                       幅96.0   x奥行き 207.0  x 高さ   27.0 cm   約21.0kg
       本棚 ①  x 3
                            幅80.0     x奥行き     28.0  x 高さ   202.0 cm   約40.0kg
       本棚 ②  x 1
                            幅40.0     x奥行き     28.0  x "&amp;"高さ   202.0 cm   約26.0kg
       コレクションケース( Ikea デトルフ) x5
                                                     幅43.0   x奥行き 37.0  x 高さ   163.0 cm   約.0kg
       3段ラック (45x45x110)
       洗濯機用 ラック 
                             幅60.0     x奥行き     51.0  x 高さ "&amp;" 170.0 cm    約6.0kg
       テーブル  x 2 
                           幅100.0   x奥行き 60.0  x 高さ   73.4 cm   約6.0kg 
       サイドテーブル  x 2
                            幅55.0   x奥行き 55.0  x 高さ   45.0 cm   約4.0kg
      ハンガーラック ①
                            幅111.0   "&amp;"x奥行き 51.0  x 高さ   126.0 cm   約5.4kg
      ハンガーラック ②
                            幅99.0   x奥行き 46.0  x 高さ   152.0 cm   約2.8kg
      ハンガーラック ③
                            幅74.0   x奥行き 42.0  x 高さ   90.0 cm   約2.1kg
      パソコンチェア
・その他
おおよそ記載しましたが追加の可能性があります"&amp;"。")</f>
        <v>・家具
      シングルベッド
                       幅96.0   x奥行き 207.0  x 高さ   27.0 cm   約21.0kg
       本棚 ①  x 3
                            幅80.0     x奥行き     28.0  x 高さ   202.0 cm   約40.0kg
       本棚 ②  x 1
                            幅40.0     x奥行き     28.0  x 高さ   202.0 cm   約26.0kg
       コレクションケース( Ikea デトルフ) x5
                                                     幅43.0   x奥行き 37.0  x 高さ   163.0 cm   約.0kg
       3段ラック (45x45x110)
       洗濯機用 ラック 
                             幅60.0     x奥行き     51.0  x 高さ  170.0 cm    約6.0kg
       テーブル  x 2 
                           幅100.0   x奥行き 60.0  x 高さ   73.4 cm   約6.0kg 
       サイドテーブル  x 2
                            幅55.0   x奥行き 55.0  x 高さ   45.0 cm   約4.0kg
      ハンガーラック ①
                            幅111.0   x奥行き 51.0  x 高さ   126.0 cm   約5.4kg
      ハンガーラック ②
                            幅99.0   x奥行き 46.0  x 高さ   152.0 cm   約2.8kg
      ハンガーラック ③
                            幅74.0   x奥行き 42.0  x 高さ   90.0 cm   約2.1kg
      パソコンチェア
・その他
おおよそ記載しましたが追加の可能性があります。</v>
      </c>
      <c r="N454" s="6"/>
      <c r="O454" s="6" t="str">
        <f aca="false">IFERROR(__xludf.dummyfunction("""COMPUTED_VALUE"""),"必要")</f>
        <v>必要</v>
      </c>
      <c r="P454" s="6" t="str">
        <f aca="false">IFERROR(__xludf.dummyfunction("""COMPUTED_VALUE"""),"スズキ(ラパン)")</f>
        <v>スズキ(ラパン)</v>
      </c>
      <c r="Q454" s="6" t="str">
        <f aca="false">IFERROR(__xludf.dummyfunction("""COMPUTED_VALUE"""),"湘南 581 け 70-54")</f>
        <v>湘南 581 け 70-54</v>
      </c>
      <c r="R454" s="6" t="str">
        <f aca="false">IFERROR(__xludf.dummyfunction("""COMPUTED_VALUE"""),"白")</f>
        <v>白</v>
      </c>
      <c r="S454" s="6" t="str">
        <f aca="false">IFERROR(__xludf.dummyfunction("""COMPUTED_VALUE"""),"家具家電なし社宅")</f>
        <v>家具家電なし社宅</v>
      </c>
      <c r="T454" s="6" t="str">
        <f aca="false">IFERROR(__xludf.dummyfunction("""COMPUTED_VALUE"""),"利用しない")</f>
        <v>利用しない</v>
      </c>
      <c r="U454" s="6"/>
      <c r="V454" s="6" t="str">
        <f aca="false">IFERROR(__xludf.dummyfunction("""COMPUTED_VALUE"""),"徒歩, 電車")</f>
        <v>徒歩, 電車</v>
      </c>
      <c r="W454" s="6"/>
      <c r="X454" s="6" t="str">
        <f aca="false">IFERROR(__xludf.dummyfunction("""COMPUTED_VALUE"""),"株式会社ビーネックステクノロジーズの社宅")</f>
        <v>株式会社ビーネックステクノロジーズの社宅</v>
      </c>
      <c r="Y454" s="6" t="str">
        <f aca="false">IFERROR(__xludf.dummyfunction("""COMPUTED_VALUE"""),"利用なし")</f>
        <v>利用なし</v>
      </c>
      <c r="Z454" s="6" t="str">
        <f aca="false">IFERROR(__xludf.dummyfunction("""COMPUTED_VALUE"""),"希望する")</f>
        <v>希望する</v>
      </c>
      <c r="AA454" s="6" t="str">
        <f aca="false">IFERROR(__xludf.dummyfunction("""COMPUTED_VALUE"""),"単身")</f>
        <v>単身</v>
      </c>
      <c r="AB454" s="6"/>
      <c r="AC454" s="6"/>
      <c r="AD454" s="6" t="str">
        <f aca="false">IFERROR(__xludf.dummyfunction("""COMPUTED_VALUE"""),"禁煙の社宅を希望します。")</f>
        <v>禁煙の社宅を希望します。</v>
      </c>
      <c r="AE454" s="6" t="str">
        <f aca="false">IFERROR(__xludf.dummyfunction("""COMPUTED_VALUE"""),"確認しました。")</f>
        <v>確認しました。</v>
      </c>
      <c r="AF454" s="6" t="str">
        <f aca="false">IFERROR(__xludf.dummyfunction("""COMPUTED_VALUE"""),"社宅基準の内容について確認しました")</f>
        <v>社宅基準の内容について確認しました</v>
      </c>
      <c r="AG454" s="6" t="str">
        <f aca="false">IFERROR(__xludf.dummyfunction("""COMPUTED_VALUE"""),"入居のしおりの内容についてご確認しました")</f>
        <v>入居のしおりの内容についてご確認しました</v>
      </c>
      <c r="AH454" s="6" t="str">
        <f aca="false">IFERROR(__xludf.dummyfunction("""COMPUTED_VALUE"""),"確認しました")</f>
        <v>確認しました</v>
      </c>
      <c r="AI454" s="6"/>
      <c r="AJ454" s="6" t="str">
        <v/>
      </c>
      <c r="AK454" s="6" t="str">
        <v/>
      </c>
      <c r="AL454" s="6" t="str">
        <v/>
      </c>
      <c r="AM454" s="6" t="str">
        <v/>
      </c>
      <c r="AN454" s="6" t="n">
        <f aca="false">FALSE()</f>
        <v>0</v>
      </c>
    </row>
    <row r="455" customFormat="false" ht="52.5" hidden="false" customHeight="true" outlineLevel="0" collapsed="false">
      <c r="A455" s="6" t="str">
        <f aca="false">IFERROR(__xludf.dummyfunction("""COMPUTED_VALUE"""),"2026/03/25 18:43:21")</f>
        <v>2026/03/25 18:43:21</v>
      </c>
      <c r="B455" s="6"/>
      <c r="C455" s="6" t="str">
        <f aca="false">IFERROR(__xludf.dummyfunction("""COMPUTED_VALUE"""),"71211")</f>
        <v>71211</v>
      </c>
      <c r="D455" s="6"/>
      <c r="E455" s="6"/>
      <c r="F455" s="6"/>
      <c r="G455" s="6" t="str">
        <f aca="false">IFERROR(__xludf.dummyfunction("""COMPUTED_VALUE"""),"2026/06/27")</f>
        <v>2026/06/27</v>
      </c>
      <c r="H455" s="6" t="str">
        <f aca="false">IFERROR(__xludf.dummyfunction("""COMPUTED_VALUE"""),"必要")</f>
        <v>必要</v>
      </c>
      <c r="I455" s="6" t="str">
        <f aca="false">IFERROR(__xludf.dummyfunction("""COMPUTED_VALUE"""),"女性")</f>
        <v>女性</v>
      </c>
      <c r="J455" s="6" t="str">
        <f aca="false">IFERROR(__xludf.dummyfunction("""COMPUTED_VALUE"""),"日本")</f>
        <v>日本</v>
      </c>
      <c r="K455" s="6" t="str">
        <f aca="false">IFERROR(__xludf.dummyfunction("""COMPUTED_VALUE"""),"20")</f>
        <v>20</v>
      </c>
      <c r="L455" s="6" t="str">
        <f aca="false">IFERROR(__xludf.dummyfunction("""COMPUTED_VALUE"""),"3ドアタイプの大容量冷蔵庫
オーブンレンジ
トースター
炊飯器
コードレス掃除機")</f>
        <v>3ドアタイプの大容量冷蔵庫
オーブンレンジ
トースター
炊飯器
コードレス掃除機</v>
      </c>
      <c r="M455" s="6" t="str">
        <f aca="false">IFERROR(__xludf.dummyfunction("""COMPUTED_VALUE"""),"カラーボックス4点
組み立て可の棚1点
折りたたみ式棚1点
スチールラック1点
4段衣装ケース？棚？1点
IKEAのワゴン1点
組み立て式パイプベッド(シングル)1点
ハンガーラック1点")</f>
        <v>カラーボックス4点
組み立て可の棚1点
折りたたみ式棚1点
スチールラック1点
4段衣装ケース？棚？1点
IKEAのワゴン1点
組み立て式パイプベッド(シングル)1点
ハンガーラック1点</v>
      </c>
      <c r="N455" s="6" t="str">
        <f aca="false">IFERROR(__xludf.dummyfunction("""COMPUTED_VALUE"""),"自転車")</f>
        <v>自転車</v>
      </c>
      <c r="O455" s="6" t="str">
        <f aca="false">IFERROR(__xludf.dummyfunction("""COMPUTED_VALUE"""),"不要")</f>
        <v>不要</v>
      </c>
      <c r="P455" s="6"/>
      <c r="Q455" s="6"/>
      <c r="R455" s="6"/>
      <c r="S455" s="6" t="str">
        <f aca="false">IFERROR(__xludf.dummyfunction("""COMPUTED_VALUE"""),"家具家電なし社宅")</f>
        <v>家具家電なし社宅</v>
      </c>
      <c r="T455" s="6" t="str">
        <f aca="false">IFERROR(__xludf.dummyfunction("""COMPUTED_VALUE"""),"利用しない")</f>
        <v>利用しない</v>
      </c>
      <c r="U455" s="6"/>
      <c r="V455" s="6" t="str">
        <f aca="false">IFERROR(__xludf.dummyfunction("""COMPUTED_VALUE"""),"徒歩, 電車")</f>
        <v>徒歩, 電車</v>
      </c>
      <c r="W455" s="6"/>
      <c r="X455" s="6" t="str">
        <f aca="false">IFERROR(__xludf.dummyfunction("""COMPUTED_VALUE"""),"株式会社ビーネックステクノロジーズの社宅")</f>
        <v>株式会社ビーネックステクノロジーズの社宅</v>
      </c>
      <c r="Y455" s="6" t="str">
        <f aca="false">IFERROR(__xludf.dummyfunction("""COMPUTED_VALUE"""),"利用なし")</f>
        <v>利用なし</v>
      </c>
      <c r="Z455" s="6" t="str">
        <f aca="false">IFERROR(__xludf.dummyfunction("""COMPUTED_VALUE"""),"希望しない")</f>
        <v>希望しない</v>
      </c>
      <c r="AA455" s="6" t="str">
        <f aca="false">IFERROR(__xludf.dummyfunction("""COMPUTED_VALUE"""),"単身")</f>
        <v>単身</v>
      </c>
      <c r="AB455" s="6"/>
      <c r="AC455" s="6"/>
      <c r="AD455" s="6" t="str">
        <f aca="false">IFERROR(__xludf.dummyfunction("""COMPUTED_VALUE"""),"一応性別が女性ではあるので、防犯の面を考えまして2階以上の部屋ですとありがたいです。
もし、最寄りを選べるのなら、登戸駅周辺ですと嬉しいです。")</f>
        <v>一応性別が女性ではあるので、防犯の面を考えまして2階以上の部屋ですとありがたいです。
もし、最寄りを選べるのなら、登戸駅周辺ですと嬉しいです。</v>
      </c>
      <c r="AE455" s="6" t="str">
        <f aca="false">IFERROR(__xludf.dummyfunction("""COMPUTED_VALUE"""),"確認しました。")</f>
        <v>確認しました。</v>
      </c>
      <c r="AF455" s="6" t="str">
        <f aca="false">IFERROR(__xludf.dummyfunction("""COMPUTED_VALUE"""),"社宅基準の内容について確認しました")</f>
        <v>社宅基準の内容について確認しました</v>
      </c>
      <c r="AG455" s="6" t="str">
        <f aca="false">IFERROR(__xludf.dummyfunction("""COMPUTED_VALUE"""),"入居のしおりの内容についてご確認しました")</f>
        <v>入居のしおりの内容についてご確認しました</v>
      </c>
      <c r="AH455" s="6" t="str">
        <f aca="false">IFERROR(__xludf.dummyfunction("""COMPUTED_VALUE"""),"確認しました")</f>
        <v>確認しました</v>
      </c>
      <c r="AI455" s="6"/>
      <c r="AJ455" s="6" t="str">
        <v/>
      </c>
      <c r="AK455" s="6" t="str">
        <v/>
      </c>
      <c r="AL455" s="6" t="str">
        <v/>
      </c>
      <c r="AM455" s="6" t="str">
        <v/>
      </c>
      <c r="AN455" s="6" t="n">
        <f aca="false">FALSE()</f>
        <v>0</v>
      </c>
    </row>
    <row r="456" customFormat="false" ht="52.5" hidden="false" customHeight="true" outlineLevel="0" collapsed="false">
      <c r="A456" s="6" t="str">
        <f aca="false">IFERROR(__xludf.dummyfunction("""COMPUTED_VALUE"""),"2026/03/25 18:56:30")</f>
        <v>2026/03/25 18:56:30</v>
      </c>
      <c r="B456" s="6"/>
      <c r="C456" s="6" t="str">
        <f aca="false">IFERROR(__xludf.dummyfunction("""COMPUTED_VALUE"""),"71834")</f>
        <v>71834</v>
      </c>
      <c r="D456" s="6"/>
      <c r="E456" s="6"/>
      <c r="F456" s="6"/>
      <c r="G456" s="6" t="str">
        <f aca="false">IFERROR(__xludf.dummyfunction("""COMPUTED_VALUE"""),"2026/04/12")</f>
        <v>2026/04/12</v>
      </c>
      <c r="H456" s="6" t="str">
        <f aca="false">IFERROR(__xludf.dummyfunction("""COMPUTED_VALUE"""),"必要")</f>
        <v>必要</v>
      </c>
      <c r="I456" s="6" t="str">
        <f aca="false">IFERROR(__xludf.dummyfunction("""COMPUTED_VALUE"""),"男性")</f>
        <v>男性</v>
      </c>
      <c r="J456" s="6" t="str">
        <f aca="false">IFERROR(__xludf.dummyfunction("""COMPUTED_VALUE"""),"台湾")</f>
        <v>台湾</v>
      </c>
      <c r="K456" s="6" t="str">
        <f aca="false">IFERROR(__xludf.dummyfunction("""COMPUTED_VALUE"""),"30")</f>
        <v>30</v>
      </c>
      <c r="L456" s="6" t="str">
        <f aca="false">IFERROR(__xludf.dummyfunction("""COMPUTED_VALUE"""),"20インチテレビ一台")</f>
        <v>20インチテレビ一台</v>
      </c>
      <c r="M456" s="6" t="str">
        <f aca="false">IFERROR(__xludf.dummyfunction("""COMPUTED_VALUE"""),"こたつテーブル一台")</f>
        <v>こたつテーブル一台</v>
      </c>
      <c r="N456" s="6" t="str">
        <f aca="false">IFERROR(__xludf.dummyfunction("""COMPUTED_VALUE"""),"車の夏タイヤ一台分")</f>
        <v>車の夏タイヤ一台分</v>
      </c>
      <c r="O456" s="6" t="str">
        <f aca="false">IFERROR(__xludf.dummyfunction("""COMPUTED_VALUE"""),"必要")</f>
        <v>必要</v>
      </c>
      <c r="P456" s="6" t="str">
        <f aca="false">IFERROR(__xludf.dummyfunction("""COMPUTED_VALUE"""),"フィット")</f>
        <v>フィット</v>
      </c>
      <c r="Q456" s="6" t="str">
        <f aca="false">IFERROR(__xludf.dummyfunction("""COMPUTED_VALUE"""),"ま57-56")</f>
        <v>ま57-56</v>
      </c>
      <c r="R456" s="6" t="str">
        <f aca="false">IFERROR(__xludf.dummyfunction("""COMPUTED_VALUE"""),"シルバー")</f>
        <v>シルバー</v>
      </c>
      <c r="S456" s="6" t="str">
        <f aca="false">IFERROR(__xludf.dummyfunction("""COMPUTED_VALUE"""),"家具家電付き社宅")</f>
        <v>家具家電付き社宅</v>
      </c>
      <c r="T456" s="6" t="str">
        <f aca="false">IFERROR(__xludf.dummyfunction("""COMPUTED_VALUE"""),"利用しない")</f>
        <v>利用しない</v>
      </c>
      <c r="U456" s="6"/>
      <c r="V456" s="6" t="str">
        <f aca="false">IFERROR(__xludf.dummyfunction("""COMPUTED_VALUE"""),"徒歩")</f>
        <v>徒歩</v>
      </c>
      <c r="W456" s="6"/>
      <c r="X456" s="6" t="str">
        <f aca="false">IFERROR(__xludf.dummyfunction("""COMPUTED_VALUE"""),"株式会社ビーネックステクノロジーズの社宅")</f>
        <v>株式会社ビーネックステクノロジーズの社宅</v>
      </c>
      <c r="Y456" s="6" t="str">
        <f aca="false">IFERROR(__xludf.dummyfunction("""COMPUTED_VALUE"""),"利用なし")</f>
        <v>利用なし</v>
      </c>
      <c r="Z456" s="6" t="str">
        <f aca="false">IFERROR(__xludf.dummyfunction("""COMPUTED_VALUE"""),"希望する")</f>
        <v>希望する</v>
      </c>
      <c r="AA456" s="6" t="str">
        <f aca="false">IFERROR(__xludf.dummyfunction("""COMPUTED_VALUE"""),"単身")</f>
        <v>単身</v>
      </c>
      <c r="AB456" s="6"/>
      <c r="AC456" s="6"/>
      <c r="AD456" s="6"/>
      <c r="AE456" s="6" t="str">
        <f aca="false">IFERROR(__xludf.dummyfunction("""COMPUTED_VALUE"""),"確認しました。")</f>
        <v>確認しました。</v>
      </c>
      <c r="AF456" s="6" t="str">
        <f aca="false">IFERROR(__xludf.dummyfunction("""COMPUTED_VALUE"""),"社宅基準の内容について確認しました")</f>
        <v>社宅基準の内容について確認しました</v>
      </c>
      <c r="AG456" s="6" t="str">
        <f aca="false">IFERROR(__xludf.dummyfunction("""COMPUTED_VALUE"""),"入居のしおりの内容についてご確認しました")</f>
        <v>入居のしおりの内容についてご確認しました</v>
      </c>
      <c r="AH456" s="6" t="str">
        <f aca="false">IFERROR(__xludf.dummyfunction("""COMPUTED_VALUE"""),"確認しました")</f>
        <v>確認しました</v>
      </c>
      <c r="AI456" s="6"/>
      <c r="AJ456" s="6" t="str">
        <v/>
      </c>
      <c r="AK456" s="6" t="str">
        <v/>
      </c>
      <c r="AL456" s="6" t="str">
        <v/>
      </c>
      <c r="AM456" s="6" t="str">
        <v/>
      </c>
      <c r="AN456" s="6" t="n">
        <f aca="false">FALSE()</f>
        <v>0</v>
      </c>
    </row>
    <row r="457" customFormat="false" ht="52.5" hidden="false" customHeight="true" outlineLevel="0" collapsed="false">
      <c r="A457" s="6" t="str">
        <f aca="false">IFERROR(__xludf.dummyfunction("""COMPUTED_VALUE"""),"2026/03/25 19:25:13")</f>
        <v>2026/03/25 19:25:13</v>
      </c>
      <c r="B457" s="6"/>
      <c r="C457" s="6" t="str">
        <f aca="false">IFERROR(__xludf.dummyfunction("""COMPUTED_VALUE"""),"71734")</f>
        <v>71734</v>
      </c>
      <c r="D457" s="6"/>
      <c r="E457" s="6"/>
      <c r="F457" s="6"/>
      <c r="G457" s="6" t="str">
        <f aca="false">IFERROR(__xludf.dummyfunction("""COMPUTED_VALUE"""),"2026/04/22")</f>
        <v>2026/04/22</v>
      </c>
      <c r="H457" s="6" t="str">
        <f aca="false">IFERROR(__xludf.dummyfunction("""COMPUTED_VALUE"""),"不要")</f>
        <v>不要</v>
      </c>
      <c r="I457" s="6" t="str">
        <f aca="false">IFERROR(__xludf.dummyfunction("""COMPUTED_VALUE"""),"女性")</f>
        <v>女性</v>
      </c>
      <c r="J457" s="6" t="str">
        <f aca="false">IFERROR(__xludf.dummyfunction("""COMPUTED_VALUE"""),"日本")</f>
        <v>日本</v>
      </c>
      <c r="K457" s="6"/>
      <c r="L457" s="6"/>
      <c r="M457" s="6"/>
      <c r="N457" s="6"/>
      <c r="O457" s="6" t="str">
        <f aca="false">IFERROR(__xludf.dummyfunction("""COMPUTED_VALUE"""),"不要")</f>
        <v>不要</v>
      </c>
      <c r="P457" s="6"/>
      <c r="Q457" s="6"/>
      <c r="R457" s="6"/>
      <c r="S457" s="6" t="str">
        <f aca="false">IFERROR(__xludf.dummyfunction("""COMPUTED_VALUE"""),"家具家電付き社宅")</f>
        <v>家具家電付き社宅</v>
      </c>
      <c r="T457" s="6" t="str">
        <f aca="false">IFERROR(__xludf.dummyfunction("""COMPUTED_VALUE"""),"利用しない")</f>
        <v>利用しない</v>
      </c>
      <c r="U457" s="6"/>
      <c r="V457" s="6" t="str">
        <f aca="false">IFERROR(__xludf.dummyfunction("""COMPUTED_VALUE"""),"徒歩, 自転車")</f>
        <v>徒歩, 自転車</v>
      </c>
      <c r="W457" s="6"/>
      <c r="X457" s="6" t="str">
        <f aca="false">IFERROR(__xludf.dummyfunction("""COMPUTED_VALUE"""),"実家")</f>
        <v>実家</v>
      </c>
      <c r="Y457" s="6"/>
      <c r="Z457" s="6" t="str">
        <f aca="false">IFERROR(__xludf.dummyfunction("""COMPUTED_VALUE"""),"希望する")</f>
        <v>希望する</v>
      </c>
      <c r="AA457" s="6" t="str">
        <f aca="false">IFERROR(__xludf.dummyfunction("""COMPUTED_VALUE"""),"単身")</f>
        <v>単身</v>
      </c>
      <c r="AB457" s="6"/>
      <c r="AC457" s="6"/>
      <c r="AD457" s="6"/>
      <c r="AE457" s="6" t="str">
        <f aca="false">IFERROR(__xludf.dummyfunction("""COMPUTED_VALUE"""),"確認しました。")</f>
        <v>確認しました。</v>
      </c>
      <c r="AF457" s="6" t="str">
        <f aca="false">IFERROR(__xludf.dummyfunction("""COMPUTED_VALUE"""),"社宅基準の内容について確認しました")</f>
        <v>社宅基準の内容について確認しました</v>
      </c>
      <c r="AG457" s="6" t="str">
        <f aca="false">IFERROR(__xludf.dummyfunction("""COMPUTED_VALUE"""),"入居のしおりの内容についてご確認しました")</f>
        <v>入居のしおりの内容についてご確認しました</v>
      </c>
      <c r="AH457" s="6" t="str">
        <f aca="false">IFERROR(__xludf.dummyfunction("""COMPUTED_VALUE"""),"確認しました")</f>
        <v>確認しました</v>
      </c>
      <c r="AI457" s="6"/>
      <c r="AJ457" s="6" t="str">
        <v/>
      </c>
      <c r="AK457" s="6" t="str">
        <v/>
      </c>
      <c r="AL457" s="6" t="str">
        <v/>
      </c>
      <c r="AM457" s="6" t="str">
        <v/>
      </c>
      <c r="AN457" s="6" t="n">
        <f aca="false">FALSE()</f>
        <v>0</v>
      </c>
    </row>
    <row r="458" customFormat="false" ht="52.5" hidden="false" customHeight="true" outlineLevel="0" collapsed="false">
      <c r="A458" s="6" t="str">
        <f aca="false">IFERROR(__xludf.dummyfunction("""COMPUTED_VALUE"""),"2026/03/25 19:27:20")</f>
        <v>2026/03/25 19:27:20</v>
      </c>
      <c r="B458" s="6"/>
      <c r="C458" s="6" t="str">
        <f aca="false">IFERROR(__xludf.dummyfunction("""COMPUTED_VALUE"""),"71794")</f>
        <v>71794</v>
      </c>
      <c r="D458" s="6"/>
      <c r="E458" s="6"/>
      <c r="F458" s="6"/>
      <c r="G458" s="6" t="str">
        <f aca="false">IFERROR(__xludf.dummyfunction("""COMPUTED_VALUE"""),"2026/04/10")</f>
        <v>2026/04/10</v>
      </c>
      <c r="H458" s="6" t="str">
        <f aca="false">IFERROR(__xludf.dummyfunction("""COMPUTED_VALUE"""),"必要")</f>
        <v>必要</v>
      </c>
      <c r="I458" s="6" t="str">
        <f aca="false">IFERROR(__xludf.dummyfunction("""COMPUTED_VALUE"""),"男性")</f>
        <v>男性</v>
      </c>
      <c r="J458" s="6" t="str">
        <f aca="false">IFERROR(__xludf.dummyfunction("""COMPUTED_VALUE"""),"日本")</f>
        <v>日本</v>
      </c>
      <c r="K458" s="6" t="str">
        <f aca="false">IFERROR(__xludf.dummyfunction("""COMPUTED_VALUE"""),"30")</f>
        <v>30</v>
      </c>
      <c r="L458" s="6" t="str">
        <f aca="false">IFERROR(__xludf.dummyfunction("""COMPUTED_VALUE"""),"テレビ(55型)、洗濯機、冷蔵庫(単身用)、ウォーターサーバー、電子レンジ、炊飯器、プリンター")</f>
        <v>テレビ(55型)、洗濯機、冷蔵庫(単身用)、ウォーターサーバー、電子レンジ、炊飯器、プリンター</v>
      </c>
      <c r="M458" s="6" t="str">
        <f aca="false">IFERROR(__xludf.dummyfunction("""COMPUTED_VALUE"""),"ソファー(2人掛け)、シングルベッド、テレビ台、食器棚、テーブル、パソコン机")</f>
        <v>ソファー(2人掛け)、シングルベッド、テレビ台、食器棚、テーブル、パソコン机</v>
      </c>
      <c r="N458" s="6"/>
      <c r="O458" s="6" t="str">
        <f aca="false">IFERROR(__xludf.dummyfunction("""COMPUTED_VALUE"""),"必要")</f>
        <v>必要</v>
      </c>
      <c r="P458" s="6" t="str">
        <f aca="false">IFERROR(__xludf.dummyfunction("""COMPUTED_VALUE"""),"ノート、ムーヴ")</f>
        <v>ノート、ムーヴ</v>
      </c>
      <c r="Q458" s="6" t="str">
        <f aca="false">IFERROR(__xludf.dummyfunction("""COMPUTED_VALUE"""),"そ68-90(ノート)、ね8-10")</f>
        <v>そ68-90(ノート)、ね8-10</v>
      </c>
      <c r="R458" s="6" t="str">
        <f aca="false">IFERROR(__xludf.dummyfunction("""COMPUTED_VALUE"""),"黒(ノート)、青(ムーヴ)")</f>
        <v>黒(ノート)、青(ムーヴ)</v>
      </c>
      <c r="S458" s="6" t="str">
        <f aca="false">IFERROR(__xludf.dummyfunction("""COMPUTED_VALUE"""),"家具家電なし社宅")</f>
        <v>家具家電なし社宅</v>
      </c>
      <c r="T458" s="6" t="str">
        <f aca="false">IFERROR(__xludf.dummyfunction("""COMPUTED_VALUE"""),"利用しない")</f>
        <v>利用しない</v>
      </c>
      <c r="U458" s="6"/>
      <c r="V458" s="6" t="str">
        <f aca="false">IFERROR(__xludf.dummyfunction("""COMPUTED_VALUE"""),"自動車")</f>
        <v>自動車</v>
      </c>
      <c r="W458" s="6"/>
      <c r="X458" s="6" t="str">
        <f aca="false">IFERROR(__xludf.dummyfunction("""COMPUTED_VALUE"""),"株式会社ビーネックステクノロジーズの社宅")</f>
        <v>株式会社ビーネックステクノロジーズの社宅</v>
      </c>
      <c r="Y458" s="6" t="str">
        <f aca="false">IFERROR(__xludf.dummyfunction("""COMPUTED_VALUE"""),"利用なし")</f>
        <v>利用なし</v>
      </c>
      <c r="Z458" s="6" t="str">
        <f aca="false">IFERROR(__xludf.dummyfunction("""COMPUTED_VALUE"""),"希望する")</f>
        <v>希望する</v>
      </c>
      <c r="AA458" s="6" t="str">
        <f aca="false">IFERROR(__xludf.dummyfunction("""COMPUTED_VALUE"""),"家族")</f>
        <v>家族</v>
      </c>
      <c r="AB458" s="6" t="str">
        <f aca="false">IFERROR(__xludf.dummyfunction("""COMPUTED_VALUE"""),"氏名：柴﨑愛
フリガナ：シバサキメグミ
生年月日：1989年5月1日
携帯番号：09026117381
続柄：妻")</f>
        <v>氏名：柴﨑愛
フリガナ：シバサキメグミ
生年月日：1989年5月1日
携帯番号：09026117381
続柄：妻</v>
      </c>
      <c r="AC458" s="6"/>
      <c r="AD458" s="6" t="str">
        <f aca="false">IFERROR(__xludf.dummyfunction("""COMPUTED_VALUE"""),"広いキッチン、広いお風呂、ウォークインクローゼット、2階以上、駐車場2台付き")</f>
        <v>広いキッチン、広いお風呂、ウォークインクローゼット、2階以上、駐車場2台付き</v>
      </c>
      <c r="AE458" s="6" t="str">
        <f aca="false">IFERROR(__xludf.dummyfunction("""COMPUTED_VALUE"""),"確認しました。")</f>
        <v>確認しました。</v>
      </c>
      <c r="AF458" s="6" t="str">
        <f aca="false">IFERROR(__xludf.dummyfunction("""COMPUTED_VALUE"""),"社宅基準の内容について確認しました")</f>
        <v>社宅基準の内容について確認しました</v>
      </c>
      <c r="AG458" s="6" t="str">
        <f aca="false">IFERROR(__xludf.dummyfunction("""COMPUTED_VALUE"""),"入居のしおりの内容についてご確認しました")</f>
        <v>入居のしおりの内容についてご確認しました</v>
      </c>
      <c r="AH458" s="6" t="str">
        <f aca="false">IFERROR(__xludf.dummyfunction("""COMPUTED_VALUE"""),"確認しました")</f>
        <v>確認しました</v>
      </c>
      <c r="AI458" s="6"/>
      <c r="AJ458" s="6" t="str">
        <v/>
      </c>
      <c r="AK458" s="6" t="str">
        <v/>
      </c>
      <c r="AL458" s="6" t="str">
        <v/>
      </c>
      <c r="AM458" s="6" t="str">
        <v/>
      </c>
      <c r="AN458" s="6" t="n">
        <f aca="false">FALSE()</f>
        <v>0</v>
      </c>
    </row>
    <row r="459" customFormat="false" ht="52.5" hidden="false" customHeight="true" outlineLevel="0" collapsed="false">
      <c r="A459" s="6" t="str">
        <f aca="false">IFERROR(__xludf.dummyfunction("""COMPUTED_VALUE"""),"2026/03/25 19:52:42")</f>
        <v>2026/03/25 19:52:42</v>
      </c>
      <c r="B459" s="6"/>
      <c r="C459" s="6" t="str">
        <f aca="false">IFERROR(__xludf.dummyfunction("""COMPUTED_VALUE"""),"71781")</f>
        <v>71781</v>
      </c>
      <c r="D459" s="6"/>
      <c r="E459" s="6"/>
      <c r="F459" s="6"/>
      <c r="G459" s="6" t="str">
        <f aca="false">IFERROR(__xludf.dummyfunction("""COMPUTED_VALUE"""),"2026/04/27")</f>
        <v>2026/04/27</v>
      </c>
      <c r="H459" s="6" t="str">
        <f aca="false">IFERROR(__xludf.dummyfunction("""COMPUTED_VALUE"""),"不要")</f>
        <v>不要</v>
      </c>
      <c r="I459" s="6" t="str">
        <f aca="false">IFERROR(__xludf.dummyfunction("""COMPUTED_VALUE"""),"男性")</f>
        <v>男性</v>
      </c>
      <c r="J459" s="6" t="str">
        <f aca="false">IFERROR(__xludf.dummyfunction("""COMPUTED_VALUE"""),"日本")</f>
        <v>日本</v>
      </c>
      <c r="K459" s="6"/>
      <c r="L459" s="6"/>
      <c r="M459" s="6"/>
      <c r="N459" s="6"/>
      <c r="O459" s="6" t="str">
        <f aca="false">IFERROR(__xludf.dummyfunction("""COMPUTED_VALUE"""),"不要")</f>
        <v>不要</v>
      </c>
      <c r="P459" s="6"/>
      <c r="Q459" s="6"/>
      <c r="R459" s="6"/>
      <c r="S459" s="6" t="str">
        <f aca="false">IFERROR(__xludf.dummyfunction("""COMPUTED_VALUE"""),"家具家電付き社宅")</f>
        <v>家具家電付き社宅</v>
      </c>
      <c r="T459" s="6" t="str">
        <f aca="false">IFERROR(__xludf.dummyfunction("""COMPUTED_VALUE"""),"利用しない")</f>
        <v>利用しない</v>
      </c>
      <c r="U459" s="6"/>
      <c r="V459" s="6" t="str">
        <f aca="false">IFERROR(__xludf.dummyfunction("""COMPUTED_VALUE"""),"徒歩, 電車")</f>
        <v>徒歩, 電車</v>
      </c>
      <c r="W459" s="6"/>
      <c r="X459" s="6" t="str">
        <f aca="false">IFERROR(__xludf.dummyfunction("""COMPUTED_VALUE"""),"実家")</f>
        <v>実家</v>
      </c>
      <c r="Y459" s="6"/>
      <c r="Z459" s="6" t="str">
        <f aca="false">IFERROR(__xludf.dummyfunction("""COMPUTED_VALUE"""),"希望する")</f>
        <v>希望する</v>
      </c>
      <c r="AA459" s="6" t="str">
        <f aca="false">IFERROR(__xludf.dummyfunction("""COMPUTED_VALUE"""),"単身")</f>
        <v>単身</v>
      </c>
      <c r="AB459" s="6"/>
      <c r="AC459" s="6"/>
      <c r="AD459" s="6"/>
      <c r="AE459" s="6" t="str">
        <f aca="false">IFERROR(__xludf.dummyfunction("""COMPUTED_VALUE"""),"確認しました。")</f>
        <v>確認しました。</v>
      </c>
      <c r="AF459" s="6" t="str">
        <f aca="false">IFERROR(__xludf.dummyfunction("""COMPUTED_VALUE"""),"社宅基準の内容について確認しました")</f>
        <v>社宅基準の内容について確認しました</v>
      </c>
      <c r="AG459" s="6" t="str">
        <f aca="false">IFERROR(__xludf.dummyfunction("""COMPUTED_VALUE"""),"入居のしおりの内容についてご確認しました")</f>
        <v>入居のしおりの内容についてご確認しました</v>
      </c>
      <c r="AH459" s="6" t="str">
        <f aca="false">IFERROR(__xludf.dummyfunction("""COMPUTED_VALUE"""),"確認しました")</f>
        <v>確認しました</v>
      </c>
      <c r="AI459" s="6"/>
      <c r="AJ459" s="6" t="str">
        <v/>
      </c>
      <c r="AK459" s="6" t="str">
        <v/>
      </c>
      <c r="AL459" s="6" t="str">
        <v/>
      </c>
      <c r="AM459" s="6" t="str">
        <v/>
      </c>
      <c r="AN459" s="6" t="n">
        <f aca="false">FALSE()</f>
        <v>0</v>
      </c>
    </row>
    <row r="460" customFormat="false" ht="52.5" hidden="false" customHeight="true" outlineLevel="0" collapsed="false">
      <c r="A460" s="6" t="str">
        <f aca="false">IFERROR(__xludf.dummyfunction("""COMPUTED_VALUE"""),"2026/03/26 11:07:21")</f>
        <v>2026/03/26 11:07:21</v>
      </c>
      <c r="B460" s="6"/>
      <c r="C460" s="6" t="str">
        <f aca="false">IFERROR(__xludf.dummyfunction("""COMPUTED_VALUE"""),"71803")</f>
        <v>71803</v>
      </c>
      <c r="D460" s="6"/>
      <c r="E460" s="6"/>
      <c r="F460" s="6"/>
      <c r="G460" s="6" t="str">
        <f aca="false">IFERROR(__xludf.dummyfunction("""COMPUTED_VALUE"""),"2026/04/11")</f>
        <v>2026/04/11</v>
      </c>
      <c r="H460" s="6" t="str">
        <f aca="false">IFERROR(__xludf.dummyfunction("""COMPUTED_VALUE"""),"必要")</f>
        <v>必要</v>
      </c>
      <c r="I460" s="6" t="str">
        <f aca="false">IFERROR(__xludf.dummyfunction("""COMPUTED_VALUE"""),"男性")</f>
        <v>男性</v>
      </c>
      <c r="J460" s="6" t="str">
        <f aca="false">IFERROR(__xludf.dummyfunction("""COMPUTED_VALUE"""),"日本")</f>
        <v>日本</v>
      </c>
      <c r="K460" s="6" t="str">
        <f aca="false">IFERROR(__xludf.dummyfunction("""COMPUTED_VALUE"""),"10")</f>
        <v>10</v>
      </c>
      <c r="L460" s="6" t="str">
        <f aca="false">IFERROR(__xludf.dummyfunction("""COMPUTED_VALUE"""),"持ってない")</f>
        <v>持ってない</v>
      </c>
      <c r="M460" s="6" t="str">
        <f aca="false">IFERROR(__xludf.dummyfunction("""COMPUTED_VALUE"""),"持ってない")</f>
        <v>持ってない</v>
      </c>
      <c r="N460" s="6" t="str">
        <f aca="false">IFERROR(__xludf.dummyfunction("""COMPUTED_VALUE"""),"持ってない")</f>
        <v>持ってない</v>
      </c>
      <c r="O460" s="6" t="str">
        <f aca="false">IFERROR(__xludf.dummyfunction("""COMPUTED_VALUE"""),"必要")</f>
        <v>必要</v>
      </c>
      <c r="P460" s="6" t="str">
        <f aca="false">IFERROR(__xludf.dummyfunction("""COMPUTED_VALUE"""),"ホンダ、ヴェゼル")</f>
        <v>ホンダ、ヴェゼル</v>
      </c>
      <c r="Q460" s="6" t="str">
        <f aca="false">IFERROR(__xludf.dummyfunction("""COMPUTED_VALUE"""),"と70-00")</f>
        <v>と70-00</v>
      </c>
      <c r="R460" s="6" t="str">
        <f aca="false">IFERROR(__xludf.dummyfunction("""COMPUTED_VALUE"""),"赤")</f>
        <v>赤</v>
      </c>
      <c r="S460" s="6" t="str">
        <f aca="false">IFERROR(__xludf.dummyfunction("""COMPUTED_VALUE"""),"家具家電付き社宅")</f>
        <v>家具家電付き社宅</v>
      </c>
      <c r="T460" s="6" t="str">
        <f aca="false">IFERROR(__xludf.dummyfunction("""COMPUTED_VALUE"""),"利用する")</f>
        <v>利用する</v>
      </c>
      <c r="U460" s="6" t="str">
        <f aca="false">IFERROR(__xludf.dummyfunction("""COMPUTED_VALUE"""),"炊飯器、ガスコンロ2口、冷凍冷蔵庫、エアコン、ベッド、ベット用マットレス、テレビ、テレビ台、全自動洗濯機")</f>
        <v>炊飯器、ガスコンロ2口、冷凍冷蔵庫、エアコン、ベッド、ベット用マットレス、テレビ、テレビ台、全自動洗濯機</v>
      </c>
      <c r="V460" s="6" t="str">
        <f aca="false">IFERROR(__xludf.dummyfunction("""COMPUTED_VALUE"""),"自動車")</f>
        <v>自動車</v>
      </c>
      <c r="W460" s="6"/>
      <c r="X460" s="6" t="str">
        <f aca="false">IFERROR(__xludf.dummyfunction("""COMPUTED_VALUE"""),"株式会社ビーネックステクノロジーズの社宅")</f>
        <v>株式会社ビーネックステクノロジーズの社宅</v>
      </c>
      <c r="Y460" s="6" t="str">
        <f aca="false">IFERROR(__xludf.dummyfunction("""COMPUTED_VALUE"""),"利用なし")</f>
        <v>利用なし</v>
      </c>
      <c r="Z460" s="6" t="str">
        <f aca="false">IFERROR(__xludf.dummyfunction("""COMPUTED_VALUE"""),"希望する")</f>
        <v>希望する</v>
      </c>
      <c r="AA460" s="6" t="str">
        <f aca="false">IFERROR(__xludf.dummyfunction("""COMPUTED_VALUE"""),"単身")</f>
        <v>単身</v>
      </c>
      <c r="AB460" s="6"/>
      <c r="AC460" s="6"/>
      <c r="AD460" s="6" t="str">
        <f aca="false">IFERROR(__xludf.dummyfunction("""COMPUTED_VALUE"""),"報告のみです！
家具家電が場所によって、何が付いているのか分からなかったため、レンタルに欲しいもの、生活に必要なものを記入致しました。")</f>
        <v>報告のみです！
家具家電が場所によって、何が付いているのか分からなかったため、レンタルに欲しいもの、生活に必要なものを記入致しました。</v>
      </c>
      <c r="AE460" s="6" t="str">
        <f aca="false">IFERROR(__xludf.dummyfunction("""COMPUTED_VALUE"""),"確認しました。")</f>
        <v>確認しました。</v>
      </c>
      <c r="AF460" s="6" t="str">
        <f aca="false">IFERROR(__xludf.dummyfunction("""COMPUTED_VALUE"""),"社宅基準の内容について確認しました")</f>
        <v>社宅基準の内容について確認しました</v>
      </c>
      <c r="AG460" s="6" t="str">
        <f aca="false">IFERROR(__xludf.dummyfunction("""COMPUTED_VALUE"""),"入居のしおりの内容についてご確認しました")</f>
        <v>入居のしおりの内容についてご確認しました</v>
      </c>
      <c r="AH460" s="6" t="str">
        <f aca="false">IFERROR(__xludf.dummyfunction("""COMPUTED_VALUE"""),"確認しました")</f>
        <v>確認しました</v>
      </c>
      <c r="AI460" s="6"/>
      <c r="AJ460" s="6" t="str">
        <v/>
      </c>
      <c r="AK460" s="6" t="str">
        <v/>
      </c>
      <c r="AL460" s="6" t="str">
        <v/>
      </c>
      <c r="AM460" s="6" t="str">
        <v/>
      </c>
      <c r="AN460" s="6" t="n">
        <f aca="false">FALSE()</f>
        <v>0</v>
      </c>
    </row>
    <row r="461" customFormat="false" ht="52.5" hidden="false" customHeight="true" outlineLevel="0" collapsed="false">
      <c r="A461" s="6" t="str">
        <f aca="false">IFERROR(__xludf.dummyfunction("""COMPUTED_VALUE"""),"2026/03/26 12:11:55")</f>
        <v>2026/03/26 12:11:55</v>
      </c>
      <c r="B461" s="6"/>
      <c r="C461" s="6" t="str">
        <f aca="false">IFERROR(__xludf.dummyfunction("""COMPUTED_VALUE"""),"71837")</f>
        <v>71837</v>
      </c>
      <c r="D461" s="6"/>
      <c r="E461" s="6"/>
      <c r="F461" s="6"/>
      <c r="G461" s="6" t="str">
        <f aca="false">IFERROR(__xludf.dummyfunction("""COMPUTED_VALUE"""),"2026/04/10")</f>
        <v>2026/04/10</v>
      </c>
      <c r="H461" s="6" t="str">
        <f aca="false">IFERROR(__xludf.dummyfunction("""COMPUTED_VALUE"""),"必要")</f>
        <v>必要</v>
      </c>
      <c r="I461" s="6" t="str">
        <f aca="false">IFERROR(__xludf.dummyfunction("""COMPUTED_VALUE"""),"男性")</f>
        <v>男性</v>
      </c>
      <c r="J461" s="6" t="str">
        <f aca="false">IFERROR(__xludf.dummyfunction("""COMPUTED_VALUE"""),"日本")</f>
        <v>日本</v>
      </c>
      <c r="K461" s="6" t="str">
        <f aca="false">IFERROR(__xludf.dummyfunction("""COMPUTED_VALUE"""),"2")</f>
        <v>2</v>
      </c>
      <c r="L461" s="6" t="str">
        <f aca="false">IFERROR(__xludf.dummyfunction("""COMPUTED_VALUE"""),"電子レンジ、炊飯器")</f>
        <v>電子レンジ、炊飯器</v>
      </c>
      <c r="M461" s="6" t="str">
        <f aca="false">IFERROR(__xludf.dummyfunction("""COMPUTED_VALUE"""),"マットレスダブル")</f>
        <v>マットレスダブル</v>
      </c>
      <c r="N461" s="6" t="str">
        <f aca="false">IFERROR(__xludf.dummyfunction("""COMPUTED_VALUE"""),"洋服")</f>
        <v>洋服</v>
      </c>
      <c r="O461" s="6" t="str">
        <f aca="false">IFERROR(__xludf.dummyfunction("""COMPUTED_VALUE"""),"不要")</f>
        <v>不要</v>
      </c>
      <c r="P461" s="6"/>
      <c r="Q461" s="6"/>
      <c r="R461" s="6"/>
      <c r="S461" s="6" t="str">
        <f aca="false">IFERROR(__xludf.dummyfunction("""COMPUTED_VALUE"""),"家具家電なし社宅")</f>
        <v>家具家電なし社宅</v>
      </c>
      <c r="T461" s="6" t="str">
        <f aca="false">IFERROR(__xludf.dummyfunction("""COMPUTED_VALUE"""),"利用しない")</f>
        <v>利用しない</v>
      </c>
      <c r="U461" s="6"/>
      <c r="V461" s="6" t="str">
        <f aca="false">IFERROR(__xludf.dummyfunction("""COMPUTED_VALUE"""),"徒歩, 自転車, 電車")</f>
        <v>徒歩, 自転車, 電車</v>
      </c>
      <c r="W461" s="6"/>
      <c r="X461" s="6" t="str">
        <f aca="false">IFERROR(__xludf.dummyfunction("""COMPUTED_VALUE"""),"ご自身で契約中の物件")</f>
        <v>ご自身で契約中の物件</v>
      </c>
      <c r="Y461" s="6"/>
      <c r="Z461" s="6" t="str">
        <f aca="false">IFERROR(__xludf.dummyfunction("""COMPUTED_VALUE"""),"希望する")</f>
        <v>希望する</v>
      </c>
      <c r="AA461" s="6" t="str">
        <f aca="false">IFERROR(__xludf.dummyfunction("""COMPUTED_VALUE"""),"単身")</f>
        <v>単身</v>
      </c>
      <c r="AB461" s="6"/>
      <c r="AC461" s="6"/>
      <c r="AD461" s="6"/>
      <c r="AE461" s="6" t="str">
        <f aca="false">IFERROR(__xludf.dummyfunction("""COMPUTED_VALUE"""),"確認しました。")</f>
        <v>確認しました。</v>
      </c>
      <c r="AF461" s="6" t="str">
        <f aca="false">IFERROR(__xludf.dummyfunction("""COMPUTED_VALUE"""),"社宅基準の内容について確認しました")</f>
        <v>社宅基準の内容について確認しました</v>
      </c>
      <c r="AG461" s="6" t="str">
        <f aca="false">IFERROR(__xludf.dummyfunction("""COMPUTED_VALUE"""),"入居のしおりの内容についてご確認しました")</f>
        <v>入居のしおりの内容についてご確認しました</v>
      </c>
      <c r="AH461" s="6" t="str">
        <f aca="false">IFERROR(__xludf.dummyfunction("""COMPUTED_VALUE"""),"確認しました")</f>
        <v>確認しました</v>
      </c>
      <c r="AI461" s="6"/>
      <c r="AJ461" s="6" t="str">
        <v/>
      </c>
      <c r="AK461" s="6" t="str">
        <v/>
      </c>
      <c r="AL461" s="6" t="str">
        <v/>
      </c>
      <c r="AM461" s="6" t="str">
        <v/>
      </c>
      <c r="AN461" s="6" t="n">
        <f aca="false">FALSE()</f>
        <v>0</v>
      </c>
    </row>
    <row r="462" customFormat="false" ht="52.5" hidden="false" customHeight="true" outlineLevel="0" collapsed="false">
      <c r="A462" s="6" t="str">
        <f aca="false">IFERROR(__xludf.dummyfunction("""COMPUTED_VALUE"""),"2026/03/26 13:43:21")</f>
        <v>2026/03/26 13:43:21</v>
      </c>
      <c r="B462" s="6"/>
      <c r="C462" s="6" t="str">
        <f aca="false">IFERROR(__xludf.dummyfunction("""COMPUTED_VALUE"""),"71856")</f>
        <v>71856</v>
      </c>
      <c r="D462" s="6"/>
      <c r="E462" s="6"/>
      <c r="F462" s="6"/>
      <c r="G462" s="6" t="str">
        <f aca="false">IFERROR(__xludf.dummyfunction("""COMPUTED_VALUE"""),"2026/04/11")</f>
        <v>2026/04/11</v>
      </c>
      <c r="H462" s="6" t="str">
        <f aca="false">IFERROR(__xludf.dummyfunction("""COMPUTED_VALUE"""),"必要")</f>
        <v>必要</v>
      </c>
      <c r="I462" s="6" t="str">
        <f aca="false">IFERROR(__xludf.dummyfunction("""COMPUTED_VALUE"""),"男性")</f>
        <v>男性</v>
      </c>
      <c r="J462" s="6" t="str">
        <f aca="false">IFERROR(__xludf.dummyfunction("""COMPUTED_VALUE"""),"日本")</f>
        <v>日本</v>
      </c>
      <c r="K462" s="6" t="str">
        <f aca="false">IFERROR(__xludf.dummyfunction("""COMPUTED_VALUE"""),"100")</f>
        <v>100</v>
      </c>
      <c r="L462" s="6" t="str">
        <f aca="false">IFERROR(__xludf.dummyfunction("""COMPUTED_VALUE"""),"テレビ、PC、セラミックヒーター、加湿器等")</f>
        <v>テレビ、PC、セラミックヒーター、加湿器等</v>
      </c>
      <c r="M462" s="6" t="str">
        <f aca="false">IFERROR(__xludf.dummyfunction("""COMPUTED_VALUE"""),"棚（66.40.140）、ベッド（セミダブル）、サーキュレーター、テレビ台（120.45.50）、衣装棚ⅹ2（55.45.65）机（90.65.70）等")</f>
        <v>棚（66.40.140）、ベッド（セミダブル）、サーキュレーター、テレビ台（120.45.50）、衣装棚ⅹ2（55.45.65）机（90.65.70）等</v>
      </c>
      <c r="N462" s="6" t="str">
        <f aca="false">IFERROR(__xludf.dummyfunction("""COMPUTED_VALUE"""),"電動自転車等")</f>
        <v>電動自転車等</v>
      </c>
      <c r="O462" s="6" t="str">
        <f aca="false">IFERROR(__xludf.dummyfunction("""COMPUTED_VALUE"""),"必要")</f>
        <v>必要</v>
      </c>
      <c r="P462" s="6" t="str">
        <f aca="false">IFERROR(__xludf.dummyfunction("""COMPUTED_VALUE"""),"プリウス")</f>
        <v>プリウス</v>
      </c>
      <c r="Q462" s="6" t="str">
        <f aca="false">IFERROR(__xludf.dummyfunction("""COMPUTED_VALUE"""),"ろ 29")</f>
        <v>ろ 29</v>
      </c>
      <c r="R462" s="6" t="str">
        <f aca="false">IFERROR(__xludf.dummyfunction("""COMPUTED_VALUE"""),"黒")</f>
        <v>黒</v>
      </c>
      <c r="S462" s="6" t="str">
        <f aca="false">IFERROR(__xludf.dummyfunction("""COMPUTED_VALUE"""),"家具家電付き社宅")</f>
        <v>家具家電付き社宅</v>
      </c>
      <c r="T462" s="6" t="str">
        <f aca="false">IFERROR(__xludf.dummyfunction("""COMPUTED_VALUE"""),"利用する")</f>
        <v>利用する</v>
      </c>
      <c r="U462" s="6" t="str">
        <f aca="false">IFERROR(__xludf.dummyfunction("""COMPUTED_VALUE"""),"冷凍冷蔵庫（170L）、電子レンジ、")</f>
        <v>冷凍冷蔵庫（170L）、電子レンジ、</v>
      </c>
      <c r="V462" s="6" t="str">
        <f aca="false">IFERROR(__xludf.dummyfunction("""COMPUTED_VALUE"""),"徒歩, 自動車, 自転車, 電車")</f>
        <v>徒歩, 自動車, 自転車, 電車</v>
      </c>
      <c r="W462" s="6"/>
      <c r="X462" s="6" t="str">
        <f aca="false">IFERROR(__xludf.dummyfunction("""COMPUTED_VALUE"""),"実家")</f>
        <v>実家</v>
      </c>
      <c r="Y462" s="6"/>
      <c r="Z462" s="6" t="str">
        <f aca="false">IFERROR(__xludf.dummyfunction("""COMPUTED_VALUE"""),"希望する")</f>
        <v>希望する</v>
      </c>
      <c r="AA462" s="6" t="str">
        <f aca="false">IFERROR(__xludf.dummyfunction("""COMPUTED_VALUE"""),"単身")</f>
        <v>単身</v>
      </c>
      <c r="AB462" s="6"/>
      <c r="AC462" s="6"/>
      <c r="AD462" s="6"/>
      <c r="AE462" s="6" t="str">
        <f aca="false">IFERROR(__xludf.dummyfunction("""COMPUTED_VALUE"""),"確認しました。")</f>
        <v>確認しました。</v>
      </c>
      <c r="AF462" s="6" t="str">
        <f aca="false">IFERROR(__xludf.dummyfunction("""COMPUTED_VALUE"""),"社宅基準の内容について確認しました")</f>
        <v>社宅基準の内容について確認しました</v>
      </c>
      <c r="AG462" s="6" t="str">
        <f aca="false">IFERROR(__xludf.dummyfunction("""COMPUTED_VALUE"""),"入居のしおりの内容についてご確認しました")</f>
        <v>入居のしおりの内容についてご確認しました</v>
      </c>
      <c r="AH462" s="6" t="str">
        <f aca="false">IFERROR(__xludf.dummyfunction("""COMPUTED_VALUE"""),"確認しました")</f>
        <v>確認しました</v>
      </c>
      <c r="AI462" s="6"/>
      <c r="AJ462" s="6" t="str">
        <v/>
      </c>
      <c r="AK462" s="6" t="str">
        <v/>
      </c>
      <c r="AL462" s="6" t="str">
        <v/>
      </c>
      <c r="AM462" s="6" t="str">
        <v/>
      </c>
      <c r="AN462" s="6" t="n">
        <f aca="false">FALSE()</f>
        <v>0</v>
      </c>
    </row>
    <row r="463" customFormat="false" ht="52.5" hidden="false" customHeight="true" outlineLevel="0" collapsed="false">
      <c r="A463" s="6" t="str">
        <f aca="false">IFERROR(__xludf.dummyfunction("""COMPUTED_VALUE"""),"2026/03/26 16:04:03")</f>
        <v>2026/03/26 16:04:03</v>
      </c>
      <c r="B463" s="6"/>
      <c r="C463" s="6" t="str">
        <f aca="false">IFERROR(__xludf.dummyfunction("""COMPUTED_VALUE"""),"71875")</f>
        <v>71875</v>
      </c>
      <c r="D463" s="6"/>
      <c r="E463" s="6"/>
      <c r="F463" s="6"/>
      <c r="G463" s="6" t="str">
        <f aca="false">IFERROR(__xludf.dummyfunction("""COMPUTED_VALUE"""),"2026/04/05")</f>
        <v>2026/04/05</v>
      </c>
      <c r="H463" s="6" t="str">
        <f aca="false">IFERROR(__xludf.dummyfunction("""COMPUTED_VALUE"""),"必要")</f>
        <v>必要</v>
      </c>
      <c r="I463" s="6" t="str">
        <f aca="false">IFERROR(__xludf.dummyfunction("""COMPUTED_VALUE"""),"男性")</f>
        <v>男性</v>
      </c>
      <c r="J463" s="6" t="str">
        <f aca="false">IFERROR(__xludf.dummyfunction("""COMPUTED_VALUE"""),"中国")</f>
        <v>中国</v>
      </c>
      <c r="K463" s="6" t="str">
        <f aca="false">IFERROR(__xludf.dummyfunction("""COMPUTED_VALUE"""),"10")</f>
        <v>10</v>
      </c>
      <c r="L463" s="6" t="str">
        <f aca="false">IFERROR(__xludf.dummyfunction("""COMPUTED_VALUE"""),"中大型家電がない")</f>
        <v>中大型家電がない</v>
      </c>
      <c r="M463" s="6" t="str">
        <f aca="false">IFERROR(__xludf.dummyfunction("""COMPUTED_VALUE"""),"敷き布団  シングル一畳")</f>
        <v>敷き布団  シングル一畳</v>
      </c>
      <c r="N463" s="6" t="str">
        <f aca="false">IFERROR(__xludf.dummyfunction("""COMPUTED_VALUE"""),"スーツケース一個")</f>
        <v>スーツケース一個</v>
      </c>
      <c r="O463" s="6" t="str">
        <f aca="false">IFERROR(__xludf.dummyfunction("""COMPUTED_VALUE"""),"不要")</f>
        <v>不要</v>
      </c>
      <c r="P463" s="6"/>
      <c r="Q463" s="6"/>
      <c r="R463" s="6"/>
      <c r="S463" s="6" t="str">
        <f aca="false">IFERROR(__xludf.dummyfunction("""COMPUTED_VALUE"""),"家具家電付き社宅")</f>
        <v>家具家電付き社宅</v>
      </c>
      <c r="T463" s="6" t="str">
        <f aca="false">IFERROR(__xludf.dummyfunction("""COMPUTED_VALUE"""),"利用しない")</f>
        <v>利用しない</v>
      </c>
      <c r="U463" s="6"/>
      <c r="V463" s="6" t="str">
        <f aca="false">IFERROR(__xludf.dummyfunction("""COMPUTED_VALUE"""),"徒歩, 電車, バス")</f>
        <v>徒歩, 電車, バス</v>
      </c>
      <c r="W463" s="6"/>
      <c r="X463" s="6" t="str">
        <f aca="false">IFERROR(__xludf.dummyfunction("""COMPUTED_VALUE"""),"株式会社ビーネックステクノロジーズの社宅")</f>
        <v>株式会社ビーネックステクノロジーズの社宅</v>
      </c>
      <c r="Y463" s="6" t="str">
        <f aca="false">IFERROR(__xludf.dummyfunction("""COMPUTED_VALUE"""),"利用なし")</f>
        <v>利用なし</v>
      </c>
      <c r="Z463" s="6" t="str">
        <f aca="false">IFERROR(__xludf.dummyfunction("""COMPUTED_VALUE"""),"希望する")</f>
        <v>希望する</v>
      </c>
      <c r="AA463" s="6" t="str">
        <f aca="false">IFERROR(__xludf.dummyfunction("""COMPUTED_VALUE"""),"単身")</f>
        <v>単身</v>
      </c>
      <c r="AB463" s="6"/>
      <c r="AC463" s="6"/>
      <c r="AD463" s="6" t="str">
        <f aca="false">IFERROR(__xludf.dummyfunction("""COMPUTED_VALUE"""),"バス停若しくは電車駅から近い物件がお願い致します。")</f>
        <v>バス停若しくは電車駅から近い物件がお願い致します。</v>
      </c>
      <c r="AE463" s="6" t="str">
        <f aca="false">IFERROR(__xludf.dummyfunction("""COMPUTED_VALUE"""),"確認しました。")</f>
        <v>確認しました。</v>
      </c>
      <c r="AF463" s="6" t="str">
        <f aca="false">IFERROR(__xludf.dummyfunction("""COMPUTED_VALUE"""),"社宅基準の内容について確認しました")</f>
        <v>社宅基準の内容について確認しました</v>
      </c>
      <c r="AG463" s="6" t="str">
        <f aca="false">IFERROR(__xludf.dummyfunction("""COMPUTED_VALUE"""),"入居のしおりの内容についてご確認しました")</f>
        <v>入居のしおりの内容についてご確認しました</v>
      </c>
      <c r="AH463" s="6" t="str">
        <f aca="false">IFERROR(__xludf.dummyfunction("""COMPUTED_VALUE"""),"確認しました")</f>
        <v>確認しました</v>
      </c>
      <c r="AI463" s="6"/>
      <c r="AJ463" s="6" t="str">
        <v/>
      </c>
      <c r="AK463" s="6" t="str">
        <v/>
      </c>
      <c r="AL463" s="6" t="str">
        <v/>
      </c>
      <c r="AM463" s="6" t="str">
        <v/>
      </c>
      <c r="AN463" s="6" t="n">
        <f aca="false">FALSE()</f>
        <v>0</v>
      </c>
    </row>
    <row r="464" customFormat="false" ht="52.5" hidden="false" customHeight="true" outlineLevel="0" collapsed="false">
      <c r="A464" s="6" t="str">
        <f aca="false">IFERROR(__xludf.dummyfunction("""COMPUTED_VALUE"""),"2026/03/26 16:09:28")</f>
        <v>2026/03/26 16:09:28</v>
      </c>
      <c r="B464" s="6"/>
      <c r="C464" s="6" t="str">
        <f aca="false">IFERROR(__xludf.dummyfunction("""COMPUTED_VALUE"""),"71840")</f>
        <v>71840</v>
      </c>
      <c r="D464" s="6"/>
      <c r="E464" s="6"/>
      <c r="F464" s="6"/>
      <c r="G464" s="6" t="str">
        <f aca="false">IFERROR(__xludf.dummyfunction("""COMPUTED_VALUE"""),"2026/04/04")</f>
        <v>2026/04/04</v>
      </c>
      <c r="H464" s="6" t="str">
        <f aca="false">IFERROR(__xludf.dummyfunction("""COMPUTED_VALUE"""),"必要")</f>
        <v>必要</v>
      </c>
      <c r="I464" s="6" t="str">
        <f aca="false">IFERROR(__xludf.dummyfunction("""COMPUTED_VALUE"""),"男性")</f>
        <v>男性</v>
      </c>
      <c r="J464" s="6" t="str">
        <f aca="false">IFERROR(__xludf.dummyfunction("""COMPUTED_VALUE"""),"日本")</f>
        <v>日本</v>
      </c>
      <c r="K464" s="6" t="str">
        <f aca="false">IFERROR(__xludf.dummyfunction("""COMPUTED_VALUE"""),"8")</f>
        <v>8</v>
      </c>
      <c r="L464" s="6" t="str">
        <f aca="false">IFERROR(__xludf.dummyfunction("""COMPUTED_VALUE"""),"無し")</f>
        <v>無し</v>
      </c>
      <c r="M464" s="6" t="str">
        <f aca="false">IFERROR(__xludf.dummyfunction("""COMPUTED_VALUE"""),"机（120.55.75）椅子")</f>
        <v>机（120.55.75）椅子</v>
      </c>
      <c r="N464" s="6" t="str">
        <f aca="false">IFERROR(__xludf.dummyfunction("""COMPUTED_VALUE"""),"自転車")</f>
        <v>自転車</v>
      </c>
      <c r="O464" s="6" t="str">
        <f aca="false">IFERROR(__xludf.dummyfunction("""COMPUTED_VALUE"""),"不要")</f>
        <v>不要</v>
      </c>
      <c r="P464" s="6"/>
      <c r="Q464" s="6"/>
      <c r="R464" s="6"/>
      <c r="S464" s="6" t="str">
        <f aca="false">IFERROR(__xludf.dummyfunction("""COMPUTED_VALUE"""),"家具家電付き社宅")</f>
        <v>家具家電付き社宅</v>
      </c>
      <c r="T464" s="6" t="str">
        <f aca="false">IFERROR(__xludf.dummyfunction("""COMPUTED_VALUE"""),"利用する")</f>
        <v>利用する</v>
      </c>
      <c r="U464" s="6" t="str">
        <f aca="false">IFERROR(__xludf.dummyfunction("""COMPUTED_VALUE"""),"寝具一式、全自動洗濯機、冷凍冷蔵庫170リットル、ガスコンロ1口、電子レンジ、炊飯器、照明器具、エアコン、ベット")</f>
        <v>寝具一式、全自動洗濯機、冷凍冷蔵庫170リットル、ガスコンロ1口、電子レンジ、炊飯器、照明器具、エアコン、ベット</v>
      </c>
      <c r="V464" s="6" t="str">
        <f aca="false">IFERROR(__xludf.dummyfunction("""COMPUTED_VALUE"""),"社用バス")</f>
        <v>社用バス</v>
      </c>
      <c r="W464" s="6"/>
      <c r="X464" s="6" t="str">
        <f aca="false">IFERROR(__xludf.dummyfunction("""COMPUTED_VALUE"""),"実家")</f>
        <v>実家</v>
      </c>
      <c r="Y464" s="6"/>
      <c r="Z464" s="6" t="str">
        <f aca="false">IFERROR(__xludf.dummyfunction("""COMPUTED_VALUE"""),"希望する")</f>
        <v>希望する</v>
      </c>
      <c r="AA464" s="6" t="str">
        <f aca="false">IFERROR(__xludf.dummyfunction("""COMPUTED_VALUE"""),"単身")</f>
        <v>単身</v>
      </c>
      <c r="AB464" s="6"/>
      <c r="AC464" s="6"/>
      <c r="AD464" s="6"/>
      <c r="AE464" s="6" t="str">
        <f aca="false">IFERROR(__xludf.dummyfunction("""COMPUTED_VALUE"""),"確認しました。")</f>
        <v>確認しました。</v>
      </c>
      <c r="AF464" s="6" t="str">
        <f aca="false">IFERROR(__xludf.dummyfunction("""COMPUTED_VALUE"""),"社宅基準の内容について確認しました")</f>
        <v>社宅基準の内容について確認しました</v>
      </c>
      <c r="AG464" s="6" t="str">
        <f aca="false">IFERROR(__xludf.dummyfunction("""COMPUTED_VALUE"""),"入居のしおりの内容についてご確認しました")</f>
        <v>入居のしおりの内容についてご確認しました</v>
      </c>
      <c r="AH464" s="6" t="str">
        <f aca="false">IFERROR(__xludf.dummyfunction("""COMPUTED_VALUE"""),"確認しました")</f>
        <v>確認しました</v>
      </c>
      <c r="AI464" s="6"/>
      <c r="AJ464" s="6" t="str">
        <v/>
      </c>
      <c r="AK464" s="6" t="str">
        <v/>
      </c>
      <c r="AL464" s="6" t="str">
        <v/>
      </c>
      <c r="AM464" s="6" t="str">
        <v/>
      </c>
      <c r="AN464" s="6" t="n">
        <f aca="false">FALSE()</f>
        <v>0</v>
      </c>
    </row>
    <row r="465" customFormat="false" ht="52.5" hidden="false" customHeight="true" outlineLevel="0" collapsed="false">
      <c r="A465" s="6" t="str">
        <f aca="false">IFERROR(__xludf.dummyfunction("""COMPUTED_VALUE"""),"2026/03/26 18:39:40")</f>
        <v>2026/03/26 18:39:40</v>
      </c>
      <c r="B465" s="6"/>
      <c r="C465" s="6" t="str">
        <f aca="false">IFERROR(__xludf.dummyfunction("""COMPUTED_VALUE"""),"71835")</f>
        <v>71835</v>
      </c>
      <c r="D465" s="6"/>
      <c r="E465" s="6"/>
      <c r="F465" s="6"/>
      <c r="G465" s="6" t="str">
        <f aca="false">IFERROR(__xludf.dummyfunction("""COMPUTED_VALUE"""),"2026/04/29")</f>
        <v>2026/04/29</v>
      </c>
      <c r="H465" s="6" t="str">
        <f aca="false">IFERROR(__xludf.dummyfunction("""COMPUTED_VALUE"""),"必要")</f>
        <v>必要</v>
      </c>
      <c r="I465" s="6" t="str">
        <f aca="false">IFERROR(__xludf.dummyfunction("""COMPUTED_VALUE"""),"男性")</f>
        <v>男性</v>
      </c>
      <c r="J465" s="6" t="str">
        <f aca="false">IFERROR(__xludf.dummyfunction("""COMPUTED_VALUE"""),"日本")</f>
        <v>日本</v>
      </c>
      <c r="K465" s="6" t="str">
        <f aca="false">IFERROR(__xludf.dummyfunction("""COMPUTED_VALUE"""),"5")</f>
        <v>5</v>
      </c>
      <c r="L465" s="6" t="str">
        <f aca="false">IFERROR(__xludf.dummyfunction("""COMPUTED_VALUE"""),"冷蔵庫単身用(2ドア)　　洗濯機　テレビ42インチ　")</f>
        <v>冷蔵庫単身用(2ドア)　　洗濯機　テレビ42インチ　</v>
      </c>
      <c r="M465" s="6" t="str">
        <f aca="false">IFERROR(__xludf.dummyfunction("""COMPUTED_VALUE"""),"机　幅114×奥行52.5×高さ120cm")</f>
        <v>机　幅114×奥行52.5×高さ120cm</v>
      </c>
      <c r="N465" s="6"/>
      <c r="O465" s="6" t="str">
        <f aca="false">IFERROR(__xludf.dummyfunction("""COMPUTED_VALUE"""),"必要")</f>
        <v>必要</v>
      </c>
      <c r="P465" s="6" t="str">
        <f aca="false">IFERROR(__xludf.dummyfunction("""COMPUTED_VALUE"""),"プリウス")</f>
        <v>プリウス</v>
      </c>
      <c r="Q465" s="6" t="str">
        <f aca="false">IFERROR(__xludf.dummyfunction("""COMPUTED_VALUE"""),"さ　50-16")</f>
        <v>さ　50-16</v>
      </c>
      <c r="R465" s="6" t="str">
        <f aca="false">IFERROR(__xludf.dummyfunction("""COMPUTED_VALUE"""),"ダークブルー")</f>
        <v>ダークブルー</v>
      </c>
      <c r="S465" s="6" t="str">
        <f aca="false">IFERROR(__xludf.dummyfunction("""COMPUTED_VALUE"""),"家具家電なし社宅")</f>
        <v>家具家電なし社宅</v>
      </c>
      <c r="T465" s="6" t="str">
        <f aca="false">IFERROR(__xludf.dummyfunction("""COMPUTED_VALUE"""),"利用しない")</f>
        <v>利用しない</v>
      </c>
      <c r="U465" s="6"/>
      <c r="V465" s="6" t="str">
        <f aca="false">IFERROR(__xludf.dummyfunction("""COMPUTED_VALUE"""),"徒歩")</f>
        <v>徒歩</v>
      </c>
      <c r="W465" s="6"/>
      <c r="X465" s="6" t="str">
        <f aca="false">IFERROR(__xludf.dummyfunction("""COMPUTED_VALUE"""),"株式会社ビーネックステクノロジーズの社宅")</f>
        <v>株式会社ビーネックステクノロジーズの社宅</v>
      </c>
      <c r="Y465" s="6" t="str">
        <f aca="false">IFERROR(__xludf.dummyfunction("""COMPUTED_VALUE"""),"利用なし")</f>
        <v>利用なし</v>
      </c>
      <c r="Z465" s="6" t="str">
        <f aca="false">IFERROR(__xludf.dummyfunction("""COMPUTED_VALUE"""),"希望する")</f>
        <v>希望する</v>
      </c>
      <c r="AA465" s="6" t="str">
        <f aca="false">IFERROR(__xludf.dummyfunction("""COMPUTED_VALUE"""),"単身")</f>
        <v>単身</v>
      </c>
      <c r="AB465" s="6"/>
      <c r="AC465" s="6"/>
      <c r="AD465" s="6" t="str">
        <f aca="false">IFERROR(__xludf.dummyfunction("""COMPUTED_VALUE"""),"1Kでトイレ、風呂別
なるべく遮音性が高い物件
エアコンのみあればその他家具は不要
ネット工事が自由かAU光回線が使える(現在、現物件でau光を使用中の為）")</f>
        <v>1Kでトイレ、風呂別
なるべく遮音性が高い物件
エアコンのみあればその他家具は不要
ネット工事が自由かAU光回線が使える(現在、現物件でau光を使用中の為）</v>
      </c>
      <c r="AE465" s="6" t="str">
        <f aca="false">IFERROR(__xludf.dummyfunction("""COMPUTED_VALUE"""),"確認しました。")</f>
        <v>確認しました。</v>
      </c>
      <c r="AF465" s="6" t="str">
        <f aca="false">IFERROR(__xludf.dummyfunction("""COMPUTED_VALUE"""),"社宅基準の内容について確認しました")</f>
        <v>社宅基準の内容について確認しました</v>
      </c>
      <c r="AG465" s="6" t="str">
        <f aca="false">IFERROR(__xludf.dummyfunction("""COMPUTED_VALUE"""),"入居のしおりの内容についてご確認しました")</f>
        <v>入居のしおりの内容についてご確認しました</v>
      </c>
      <c r="AH465" s="6" t="str">
        <f aca="false">IFERROR(__xludf.dummyfunction("""COMPUTED_VALUE"""),"確認しました")</f>
        <v>確認しました</v>
      </c>
      <c r="AI465" s="6"/>
      <c r="AJ465" s="6" t="str">
        <v/>
      </c>
      <c r="AK465" s="6" t="str">
        <v/>
      </c>
      <c r="AL465" s="6" t="str">
        <v/>
      </c>
      <c r="AM465" s="6" t="str">
        <v/>
      </c>
      <c r="AN465" s="6" t="n">
        <f aca="false">FALSE()</f>
        <v>0</v>
      </c>
    </row>
    <row r="466" customFormat="false" ht="52.5" hidden="false" customHeight="true" outlineLevel="0" collapsed="false">
      <c r="A466" s="6" t="str">
        <f aca="false">IFERROR(__xludf.dummyfunction("""COMPUTED_VALUE"""),"2026/03/26 18:54:46")</f>
        <v>2026/03/26 18:54:46</v>
      </c>
      <c r="B466" s="6"/>
      <c r="C466" s="6" t="str">
        <f aca="false">IFERROR(__xludf.dummyfunction("""COMPUTED_VALUE"""),"71890")</f>
        <v>71890</v>
      </c>
      <c r="D466" s="6"/>
      <c r="E466" s="6"/>
      <c r="F466" s="6"/>
      <c r="G466" s="6" t="str">
        <f aca="false">IFERROR(__xludf.dummyfunction("""COMPUTED_VALUE"""),"2026/04/16")</f>
        <v>2026/04/16</v>
      </c>
      <c r="H466" s="6" t="str">
        <f aca="false">IFERROR(__xludf.dummyfunction("""COMPUTED_VALUE"""),"必要")</f>
        <v>必要</v>
      </c>
      <c r="I466" s="6" t="str">
        <f aca="false">IFERROR(__xludf.dummyfunction("""COMPUTED_VALUE"""),"男性")</f>
        <v>男性</v>
      </c>
      <c r="J466" s="6" t="str">
        <f aca="false">IFERROR(__xludf.dummyfunction("""COMPUTED_VALUE"""),"日本")</f>
        <v>日本</v>
      </c>
      <c r="K466" s="6" t="str">
        <f aca="false">IFERROR(__xludf.dummyfunction("""COMPUTED_VALUE"""),"50")</f>
        <v>50</v>
      </c>
      <c r="L466" s="6" t="str">
        <f aca="false">IFERROR(__xludf.dummyfunction("""COMPUTED_VALUE"""),"冷蔵庫（家庭用）、洗濯乾燥機、テレビ43型、電子レンジ、パソコン、プリンター")</f>
        <v>冷蔵庫（家庭用）、洗濯乾燥機、テレビ43型、電子レンジ、パソコン、プリンター</v>
      </c>
      <c r="M466" s="6" t="str">
        <f aca="false">IFERROR(__xludf.dummyfunction("""COMPUTED_VALUE"""),"本棚（大１，中２）、テレビ台２、服ケース、ラック３台")</f>
        <v>本棚（大１，中２）、テレビ台２、服ケース、ラック３台</v>
      </c>
      <c r="N466" s="6" t="str">
        <f aca="false">IFERROR(__xludf.dummyfunction("""COMPUTED_VALUE"""),"キャンプ道具、タイヤ")</f>
        <v>キャンプ道具、タイヤ</v>
      </c>
      <c r="O466" s="6" t="str">
        <f aca="false">IFERROR(__xludf.dummyfunction("""COMPUTED_VALUE"""),"必要")</f>
        <v>必要</v>
      </c>
      <c r="P466" s="6" t="str">
        <f aca="false">IFERROR(__xludf.dummyfunction("""COMPUTED_VALUE"""),"ホンダ　エアウェイブ")</f>
        <v>ホンダ　エアウェイブ</v>
      </c>
      <c r="Q466" s="6" t="str">
        <f aca="false">IFERROR(__xludf.dummyfunction("""COMPUTED_VALUE"""),"ま2600")</f>
        <v>ま2600</v>
      </c>
      <c r="R466" s="6" t="str">
        <f aca="false">IFERROR(__xludf.dummyfunction("""COMPUTED_VALUE"""),"銀")</f>
        <v>銀</v>
      </c>
      <c r="S466" s="6" t="str">
        <f aca="false">IFERROR(__xludf.dummyfunction("""COMPUTED_VALUE"""),"家具家電なし社宅")</f>
        <v>家具家電なし社宅</v>
      </c>
      <c r="T466" s="6" t="str">
        <f aca="false">IFERROR(__xludf.dummyfunction("""COMPUTED_VALUE"""),"利用しない")</f>
        <v>利用しない</v>
      </c>
      <c r="U466" s="6"/>
      <c r="V466" s="6" t="str">
        <f aca="false">IFERROR(__xludf.dummyfunction("""COMPUTED_VALUE"""),"電車, 社用バス, 千歳駅から社用バス")</f>
        <v>電車, 社用バス, 千歳駅から社用バス</v>
      </c>
      <c r="W466" s="6"/>
      <c r="X466" s="6" t="str">
        <f aca="false">IFERROR(__xludf.dummyfunction("""COMPUTED_VALUE"""),"株式会社ビーネックステクノロジーズの社宅")</f>
        <v>株式会社ビーネックステクノロジーズの社宅</v>
      </c>
      <c r="Y466" s="6" t="str">
        <f aca="false">IFERROR(__xludf.dummyfunction("""COMPUTED_VALUE"""),"利用なし")</f>
        <v>利用なし</v>
      </c>
      <c r="Z466" s="6" t="str">
        <f aca="false">IFERROR(__xludf.dummyfunction("""COMPUTED_VALUE"""),"希望する")</f>
        <v>希望する</v>
      </c>
      <c r="AA466" s="6" t="str">
        <f aca="false">IFERROR(__xludf.dummyfunction("""COMPUTED_VALUE"""),"単身")</f>
        <v>単身</v>
      </c>
      <c r="AB466" s="6"/>
      <c r="AC466" s="6"/>
      <c r="AD466" s="6" t="str">
        <f aca="false">IFERROR(__xludf.dummyfunction("""COMPUTED_VALUE"""),"ガスがプロパンならガス台も持っていきますので荷物に増えます")</f>
        <v>ガスがプロパンならガス台も持っていきますので荷物に増えます</v>
      </c>
      <c r="AE466" s="6" t="str">
        <f aca="false">IFERROR(__xludf.dummyfunction("""COMPUTED_VALUE"""),"確認しました。")</f>
        <v>確認しました。</v>
      </c>
      <c r="AF466" s="6" t="str">
        <f aca="false">IFERROR(__xludf.dummyfunction("""COMPUTED_VALUE"""),"社宅基準の内容について確認しました")</f>
        <v>社宅基準の内容について確認しました</v>
      </c>
      <c r="AG466" s="6" t="str">
        <f aca="false">IFERROR(__xludf.dummyfunction("""COMPUTED_VALUE"""),"入居のしおりの内容についてご確認しました")</f>
        <v>入居のしおりの内容についてご確認しました</v>
      </c>
      <c r="AH466" s="6" t="str">
        <f aca="false">IFERROR(__xludf.dummyfunction("""COMPUTED_VALUE"""),"確認しました")</f>
        <v>確認しました</v>
      </c>
      <c r="AI466" s="6"/>
      <c r="AJ466" s="6" t="str">
        <v/>
      </c>
      <c r="AK466" s="6" t="str">
        <v/>
      </c>
      <c r="AL466" s="6" t="str">
        <v/>
      </c>
      <c r="AM466" s="6" t="str">
        <v/>
      </c>
      <c r="AN466" s="6" t="n">
        <f aca="false">FALSE()</f>
        <v>0</v>
      </c>
    </row>
    <row r="467" customFormat="false" ht="52.5" hidden="false" customHeight="true" outlineLevel="0" collapsed="false">
      <c r="A467" s="6" t="str">
        <f aca="false">IFERROR(__xludf.dummyfunction("""COMPUTED_VALUE"""),"2026/03/26 21:19:50")</f>
        <v>2026/03/26 21:19:50</v>
      </c>
      <c r="B467" s="6"/>
      <c r="C467" s="6" t="str">
        <f aca="false">IFERROR(__xludf.dummyfunction("""COMPUTED_VALUE"""),"71869")</f>
        <v>71869</v>
      </c>
      <c r="D467" s="6"/>
      <c r="E467" s="6"/>
      <c r="F467" s="6"/>
      <c r="G467" s="6" t="str">
        <f aca="false">IFERROR(__xludf.dummyfunction("""COMPUTED_VALUE"""),"2026/04/17")</f>
        <v>2026/04/17</v>
      </c>
      <c r="H467" s="6" t="str">
        <f aca="false">IFERROR(__xludf.dummyfunction("""COMPUTED_VALUE"""),"必要")</f>
        <v>必要</v>
      </c>
      <c r="I467" s="6" t="str">
        <f aca="false">IFERROR(__xludf.dummyfunction("""COMPUTED_VALUE"""),"男性")</f>
        <v>男性</v>
      </c>
      <c r="J467" s="6" t="str">
        <f aca="false">IFERROR(__xludf.dummyfunction("""COMPUTED_VALUE"""),"日本")</f>
        <v>日本</v>
      </c>
      <c r="K467" s="6" t="str">
        <f aca="false">IFERROR(__xludf.dummyfunction("""COMPUTED_VALUE"""),"5")</f>
        <v>5</v>
      </c>
      <c r="L467" s="6" t="str">
        <f aca="false">IFERROR(__xludf.dummyfunction("""COMPUTED_VALUE"""),"テレビ")</f>
        <v>テレビ</v>
      </c>
      <c r="M467" s="6" t="str">
        <f aca="false">IFERROR(__xludf.dummyfunction("""COMPUTED_VALUE"""),"無し")</f>
        <v>無し</v>
      </c>
      <c r="N467" s="6" t="str">
        <f aca="false">IFERROR(__xludf.dummyfunction("""COMPUTED_VALUE"""),"テレビ台")</f>
        <v>テレビ台</v>
      </c>
      <c r="O467" s="6" t="str">
        <f aca="false">IFERROR(__xludf.dummyfunction("""COMPUTED_VALUE"""),"不要")</f>
        <v>不要</v>
      </c>
      <c r="P467" s="6"/>
      <c r="Q467" s="6"/>
      <c r="R467" s="6"/>
      <c r="S467" s="6" t="str">
        <f aca="false">IFERROR(__xludf.dummyfunction("""COMPUTED_VALUE"""),"家具家電付き社宅")</f>
        <v>家具家電付き社宅</v>
      </c>
      <c r="T467" s="6" t="str">
        <f aca="false">IFERROR(__xludf.dummyfunction("""COMPUTED_VALUE"""),"利用する")</f>
        <v>利用する</v>
      </c>
      <c r="U467" s="6" t="str">
        <f aca="false">IFERROR(__xludf.dummyfunction("""COMPUTED_VALUE"""),"寝具一式")</f>
        <v>寝具一式</v>
      </c>
      <c r="V467" s="6" t="str">
        <f aca="false">IFERROR(__xludf.dummyfunction("""COMPUTED_VALUE"""),"電車, バス")</f>
        <v>電車, バス</v>
      </c>
      <c r="W467" s="6"/>
      <c r="X467" s="6" t="str">
        <f aca="false">IFERROR(__xludf.dummyfunction("""COMPUTED_VALUE"""),"株式会社ビーネックステクノロジーズの社宅")</f>
        <v>株式会社ビーネックステクノロジーズの社宅</v>
      </c>
      <c r="Y467" s="6" t="str">
        <f aca="false">IFERROR(__xludf.dummyfunction("""COMPUTED_VALUE"""),"利用なし")</f>
        <v>利用なし</v>
      </c>
      <c r="Z467" s="6" t="str">
        <f aca="false">IFERROR(__xludf.dummyfunction("""COMPUTED_VALUE"""),"希望する")</f>
        <v>希望する</v>
      </c>
      <c r="AA467" s="6" t="str">
        <f aca="false">IFERROR(__xludf.dummyfunction("""COMPUTED_VALUE"""),"単身")</f>
        <v>単身</v>
      </c>
      <c r="AB467" s="6"/>
      <c r="AC467" s="6"/>
      <c r="AD467" s="6" t="str">
        <f aca="false">IFERROR(__xludf.dummyfunction("""COMPUTED_VALUE"""),"ウォシュレット付トイレ希望")</f>
        <v>ウォシュレット付トイレ希望</v>
      </c>
      <c r="AE467" s="6" t="str">
        <f aca="false">IFERROR(__xludf.dummyfunction("""COMPUTED_VALUE"""),"確認しました。")</f>
        <v>確認しました。</v>
      </c>
      <c r="AF467" s="6" t="str">
        <f aca="false">IFERROR(__xludf.dummyfunction("""COMPUTED_VALUE"""),"社宅基準の内容について確認しました")</f>
        <v>社宅基準の内容について確認しました</v>
      </c>
      <c r="AG467" s="6" t="str">
        <f aca="false">IFERROR(__xludf.dummyfunction("""COMPUTED_VALUE"""),"入居のしおりの内容についてご確認しました")</f>
        <v>入居のしおりの内容についてご確認しました</v>
      </c>
      <c r="AH467" s="6" t="str">
        <f aca="false">IFERROR(__xludf.dummyfunction("""COMPUTED_VALUE"""),"確認しました")</f>
        <v>確認しました</v>
      </c>
      <c r="AI467" s="6"/>
      <c r="AJ467" s="6" t="str">
        <v/>
      </c>
      <c r="AK467" s="6" t="str">
        <v/>
      </c>
      <c r="AL467" s="6" t="str">
        <v/>
      </c>
      <c r="AM467" s="6" t="str">
        <v/>
      </c>
      <c r="AN467" s="6" t="n">
        <f aca="false">FALSE()</f>
        <v>0</v>
      </c>
    </row>
    <row r="468" customFormat="false" ht="52.5" hidden="false" customHeight="true" outlineLevel="0" collapsed="false">
      <c r="A468" s="6" t="str">
        <f aca="false">IFERROR(__xludf.dummyfunction("""COMPUTED_VALUE"""),"2026/03/27 9:32:53")</f>
        <v>2026/03/27 9:32:53</v>
      </c>
      <c r="B468" s="6"/>
      <c r="C468" s="6" t="str">
        <f aca="false">IFERROR(__xludf.dummyfunction("""COMPUTED_VALUE"""),"71822")</f>
        <v>71822</v>
      </c>
      <c r="D468" s="6"/>
      <c r="E468" s="6"/>
      <c r="F468" s="6"/>
      <c r="G468" s="6" t="str">
        <f aca="false">IFERROR(__xludf.dummyfunction("""COMPUTED_VALUE"""),"2026/04/26")</f>
        <v>2026/04/26</v>
      </c>
      <c r="H468" s="6" t="str">
        <f aca="false">IFERROR(__xludf.dummyfunction("""COMPUTED_VALUE"""),"不要")</f>
        <v>不要</v>
      </c>
      <c r="I468" s="6" t="str">
        <f aca="false">IFERROR(__xludf.dummyfunction("""COMPUTED_VALUE"""),"男性")</f>
        <v>男性</v>
      </c>
      <c r="J468" s="6" t="str">
        <f aca="false">IFERROR(__xludf.dummyfunction("""COMPUTED_VALUE"""),"日本")</f>
        <v>日本</v>
      </c>
      <c r="K468" s="6"/>
      <c r="L468" s="6"/>
      <c r="M468" s="6"/>
      <c r="N468" s="6"/>
      <c r="O468" s="6" t="str">
        <f aca="false">IFERROR(__xludf.dummyfunction("""COMPUTED_VALUE"""),"必要")</f>
        <v>必要</v>
      </c>
      <c r="P468" s="6" t="str">
        <f aca="false">IFERROR(__xludf.dummyfunction("""COMPUTED_VALUE"""),"ワゴンR")</f>
        <v>ワゴンR</v>
      </c>
      <c r="Q468" s="6" t="str">
        <f aca="false">IFERROR(__xludf.dummyfunction("""COMPUTED_VALUE"""),"う13-97")</f>
        <v>う13-97</v>
      </c>
      <c r="R468" s="6" t="str">
        <f aca="false">IFERROR(__xludf.dummyfunction("""COMPUTED_VALUE"""),"パールホワイト")</f>
        <v>パールホワイト</v>
      </c>
      <c r="S468" s="6" t="str">
        <f aca="false">IFERROR(__xludf.dummyfunction("""COMPUTED_VALUE"""),"家具家電付き社宅")</f>
        <v>家具家電付き社宅</v>
      </c>
      <c r="T468" s="6" t="str">
        <f aca="false">IFERROR(__xludf.dummyfunction("""COMPUTED_VALUE"""),"利用しない")</f>
        <v>利用しない</v>
      </c>
      <c r="U468" s="6"/>
      <c r="V468" s="6" t="str">
        <f aca="false">IFERROR(__xludf.dummyfunction("""COMPUTED_VALUE"""),"自転車")</f>
        <v>自転車</v>
      </c>
      <c r="W468" s="6"/>
      <c r="X468" s="6" t="str">
        <f aca="false">IFERROR(__xludf.dummyfunction("""COMPUTED_VALUE"""),"実家")</f>
        <v>実家</v>
      </c>
      <c r="Y468" s="6"/>
      <c r="Z468" s="6" t="str">
        <f aca="false">IFERROR(__xludf.dummyfunction("""COMPUTED_VALUE"""),"希望する")</f>
        <v>希望する</v>
      </c>
      <c r="AA468" s="6" t="str">
        <f aca="false">IFERROR(__xludf.dummyfunction("""COMPUTED_VALUE"""),"単身")</f>
        <v>単身</v>
      </c>
      <c r="AB468" s="6"/>
      <c r="AC468" s="6"/>
      <c r="AD468" s="6"/>
      <c r="AE468" s="6" t="str">
        <f aca="false">IFERROR(__xludf.dummyfunction("""COMPUTED_VALUE"""),"確認しました。")</f>
        <v>確認しました。</v>
      </c>
      <c r="AF468" s="6" t="str">
        <f aca="false">IFERROR(__xludf.dummyfunction("""COMPUTED_VALUE"""),"社宅基準の内容について確認しました")</f>
        <v>社宅基準の内容について確認しました</v>
      </c>
      <c r="AG468" s="6" t="str">
        <f aca="false">IFERROR(__xludf.dummyfunction("""COMPUTED_VALUE"""),"入居のしおりの内容についてご確認しました")</f>
        <v>入居のしおりの内容についてご確認しました</v>
      </c>
      <c r="AH468" s="6" t="str">
        <f aca="false">IFERROR(__xludf.dummyfunction("""COMPUTED_VALUE"""),"確認しました")</f>
        <v>確認しました</v>
      </c>
      <c r="AI468" s="6"/>
      <c r="AJ468" s="6" t="str">
        <v/>
      </c>
      <c r="AK468" s="6" t="str">
        <v/>
      </c>
      <c r="AL468" s="6" t="str">
        <v/>
      </c>
      <c r="AM468" s="6" t="str">
        <v/>
      </c>
      <c r="AN468" s="6" t="n">
        <f aca="false">FALSE()</f>
        <v>0</v>
      </c>
    </row>
    <row r="469" customFormat="false" ht="52.5" hidden="false" customHeight="true" outlineLevel="0" collapsed="false">
      <c r="A469" s="6" t="str">
        <f aca="false">IFERROR(__xludf.dummyfunction("""COMPUTED_VALUE"""),"2026/03/27 9:55:22")</f>
        <v>2026/03/27 9:55:22</v>
      </c>
      <c r="B469" s="6"/>
      <c r="C469" s="6" t="str">
        <f aca="false">IFERROR(__xludf.dummyfunction("""COMPUTED_VALUE"""),"71853")</f>
        <v>71853</v>
      </c>
      <c r="D469" s="6"/>
      <c r="E469" s="6"/>
      <c r="F469" s="6"/>
      <c r="G469" s="6" t="str">
        <f aca="false">IFERROR(__xludf.dummyfunction("""COMPUTED_VALUE"""),"2026/04/11")</f>
        <v>2026/04/11</v>
      </c>
      <c r="H469" s="6" t="str">
        <f aca="false">IFERROR(__xludf.dummyfunction("""COMPUTED_VALUE"""),"必要")</f>
        <v>必要</v>
      </c>
      <c r="I469" s="6" t="str">
        <f aca="false">IFERROR(__xludf.dummyfunction("""COMPUTED_VALUE"""),"男性")</f>
        <v>男性</v>
      </c>
      <c r="J469" s="6" t="str">
        <f aca="false">IFERROR(__xludf.dummyfunction("""COMPUTED_VALUE"""),"日本")</f>
        <v>日本</v>
      </c>
      <c r="K469" s="6" t="str">
        <f aca="false">IFERROR(__xludf.dummyfunction("""COMPUTED_VALUE"""),"20")</f>
        <v>20</v>
      </c>
      <c r="L469" s="6" t="str">
        <f aca="false">IFERROR(__xludf.dummyfunction("""COMPUTED_VALUE"""),"電子レンジ、オーブントースター、食器乾燥機､テレビ(43型)､電気ケトル､IHクッキングヒーター､たこ焼き器")</f>
        <v>電子レンジ、オーブントースター、食器乾燥機､テレビ(43型)､電気ケトル､IHクッキングヒーター､たこ焼き器</v>
      </c>
      <c r="M469" s="6" t="str">
        <f aca="false">IFERROR(__xludf.dummyfunction("""COMPUTED_VALUE"""),"こたつテーブル(115×90×40)、チェスト(80×40×90)､テレビスタンド(90×40×90)､カラーボックス(1000×300×900)､キッチンカウンター(1040×400×850)､リクライニングソファ(1人掛け)")</f>
        <v>こたつテーブル(115×90×40)、チェスト(80×40×90)､テレビスタンド(90×40×90)､カラーボックス(1000×300×900)､キッチンカウンター(1040×400×850)､リクライニングソファ(1人掛け)</v>
      </c>
      <c r="N469" s="6" t="str">
        <f aca="false">IFERROR(__xludf.dummyfunction("""COMPUTED_VALUE"""),"メタルラック×2､ハンガーラック､ランドリーラック､サイドテーブル×2､3段BOX")</f>
        <v>メタルラック×2､ハンガーラック､ランドリーラック､サイドテーブル×2､3段BOX</v>
      </c>
      <c r="O469" s="6" t="str">
        <f aca="false">IFERROR(__xludf.dummyfunction("""COMPUTED_VALUE"""),"必要")</f>
        <v>必要</v>
      </c>
      <c r="P469" s="6" t="str">
        <f aca="false">IFERROR(__xludf.dummyfunction("""COMPUTED_VALUE"""),"スイフトスポーツ")</f>
        <v>スイフトスポーツ</v>
      </c>
      <c r="Q469" s="6" t="str">
        <f aca="false">IFERROR(__xludf.dummyfunction("""COMPUTED_VALUE"""),"ほ80-08")</f>
        <v>ほ80-08</v>
      </c>
      <c r="R469" s="6" t="str">
        <f aca="false">IFERROR(__xludf.dummyfunction("""COMPUTED_VALUE"""),"ガンメタ")</f>
        <v>ガンメタ</v>
      </c>
      <c r="S469" s="6" t="str">
        <f aca="false">IFERROR(__xludf.dummyfunction("""COMPUTED_VALUE"""),"家具家電なし社宅")</f>
        <v>家具家電なし社宅</v>
      </c>
      <c r="T469" s="6" t="str">
        <f aca="false">IFERROR(__xludf.dummyfunction("""COMPUTED_VALUE"""),"利用する")</f>
        <v>利用する</v>
      </c>
      <c r="U469" s="6" t="str">
        <f aca="false">IFERROR(__xludf.dummyfunction("""COMPUTED_VALUE"""),"冷蔵庫(170L)､洗濯機､ベッド､コンロ2口(付いてないなら)")</f>
        <v>冷蔵庫(170L)､洗濯機､ベッド､コンロ2口(付いてないなら)</v>
      </c>
      <c r="V469" s="6" t="str">
        <f aca="false">IFERROR(__xludf.dummyfunction("""COMPUTED_VALUE"""),"自動車")</f>
        <v>自動車</v>
      </c>
      <c r="W469" s="6"/>
      <c r="X469" s="6" t="str">
        <f aca="false">IFERROR(__xludf.dummyfunction("""COMPUTED_VALUE"""),"株式会社ビーネックステクノロジーズの社宅")</f>
        <v>株式会社ビーネックステクノロジーズの社宅</v>
      </c>
      <c r="Y469" s="6" t="str">
        <f aca="false">IFERROR(__xludf.dummyfunction("""COMPUTED_VALUE"""),"冷蔵庫、洗濯機、ベッド/引き継ぎ")</f>
        <v>冷蔵庫、洗濯機、ベッド/引き継ぎ</v>
      </c>
      <c r="Z469" s="6" t="str">
        <f aca="false">IFERROR(__xludf.dummyfunction("""COMPUTED_VALUE"""),"希望する")</f>
        <v>希望する</v>
      </c>
      <c r="AA469" s="6" t="str">
        <f aca="false">IFERROR(__xludf.dummyfunction("""COMPUTED_VALUE"""),"単身")</f>
        <v>単身</v>
      </c>
      <c r="AB469" s="6"/>
      <c r="AC469" s="6"/>
      <c r="AD469" s="6"/>
      <c r="AE469" s="6" t="str">
        <f aca="false">IFERROR(__xludf.dummyfunction("""COMPUTED_VALUE"""),"確認しました。")</f>
        <v>確認しました。</v>
      </c>
      <c r="AF469" s="6" t="str">
        <f aca="false">IFERROR(__xludf.dummyfunction("""COMPUTED_VALUE"""),"社宅基準の内容について確認しました")</f>
        <v>社宅基準の内容について確認しました</v>
      </c>
      <c r="AG469" s="6" t="str">
        <f aca="false">IFERROR(__xludf.dummyfunction("""COMPUTED_VALUE"""),"入居のしおりの内容についてご確認しました")</f>
        <v>入居のしおりの内容についてご確認しました</v>
      </c>
      <c r="AH469" s="6" t="str">
        <f aca="false">IFERROR(__xludf.dummyfunction("""COMPUTED_VALUE"""),"確認しました")</f>
        <v>確認しました</v>
      </c>
      <c r="AI469" s="6"/>
      <c r="AJ469" s="6" t="str">
        <v/>
      </c>
      <c r="AK469" s="6" t="str">
        <v/>
      </c>
      <c r="AL469" s="6" t="str">
        <v/>
      </c>
      <c r="AM469" s="6" t="str">
        <v/>
      </c>
      <c r="AN469" s="6" t="n">
        <f aca="false">FALSE()</f>
        <v>0</v>
      </c>
    </row>
    <row r="470" customFormat="false" ht="52.5" hidden="false" customHeight="true" outlineLevel="0" collapsed="false">
      <c r="A470" s="6" t="str">
        <f aca="false">IFERROR(__xludf.dummyfunction("""COMPUTED_VALUE"""),"2026/03/27 10:36:24")</f>
        <v>2026/03/27 10:36:24</v>
      </c>
      <c r="B470" s="6"/>
      <c r="C470" s="6" t="str">
        <f aca="false">IFERROR(__xludf.dummyfunction("""COMPUTED_VALUE"""),"71931")</f>
        <v>71931</v>
      </c>
      <c r="D470" s="6"/>
      <c r="E470" s="6"/>
      <c r="F470" s="6"/>
      <c r="G470" s="6" t="str">
        <f aca="false">IFERROR(__xludf.dummyfunction("""COMPUTED_VALUE"""),"2026/04/12")</f>
        <v>2026/04/12</v>
      </c>
      <c r="H470" s="6" t="str">
        <f aca="false">IFERROR(__xludf.dummyfunction("""COMPUTED_VALUE"""),"必要")</f>
        <v>必要</v>
      </c>
      <c r="I470" s="6" t="str">
        <f aca="false">IFERROR(__xludf.dummyfunction("""COMPUTED_VALUE"""),"男性")</f>
        <v>男性</v>
      </c>
      <c r="J470" s="6" t="str">
        <f aca="false">IFERROR(__xludf.dummyfunction("""COMPUTED_VALUE"""),"日本")</f>
        <v>日本</v>
      </c>
      <c r="K470" s="6" t="str">
        <f aca="false">IFERROR(__xludf.dummyfunction("""COMPUTED_VALUE"""),"40")</f>
        <v>40</v>
      </c>
      <c r="L470" s="6" t="str">
        <f aca="false">IFERROR(__xludf.dummyfunction("""COMPUTED_VALUE"""),"冷蔵庫（単身用,2ドア），洗濯機，電子レンジ，ウォーターサーバー，デスクトップPC，モニター")</f>
        <v>冷蔵庫（単身用,2ドア），洗濯機，電子レンジ，ウォーターサーバー，デスクトップPC，モニター</v>
      </c>
      <c r="M470" s="6" t="str">
        <f aca="false">IFERROR(__xludf.dummyfunction("""COMPUTED_VALUE"""),"家電用ラック（横幅60cm奥行30cm高さ150cm），組み立て式シングルベッド，コレクション用ガラスケース（横幅40cm奥行35cm高さ150cm），物干しラック，ゲーミングチェア，昇降デスク（横幅120cm奥行60cm高さ60cm），テーブル，棚（横幅60cm奥行30cm高さ150cm）")</f>
        <v>家電用ラック（横幅60cm奥行30cm高さ150cm），組み立て式シングルベッド，コレクション用ガラスケース（横幅40cm奥行35cm高さ150cm），物干しラック，ゲーミングチェア，昇降デスク（横幅120cm奥行60cm高さ60cm），テーブル，棚（横幅60cm奥行30cm高さ150cm）</v>
      </c>
      <c r="N470" s="6" t="str">
        <f aca="false">IFERROR(__xludf.dummyfunction("""COMPUTED_VALUE"""),"なし")</f>
        <v>なし</v>
      </c>
      <c r="O470" s="6" t="str">
        <f aca="false">IFERROR(__xludf.dummyfunction("""COMPUTED_VALUE"""),"不要")</f>
        <v>不要</v>
      </c>
      <c r="P470" s="6"/>
      <c r="Q470" s="6"/>
      <c r="R470" s="6"/>
      <c r="S470" s="6" t="str">
        <f aca="false">IFERROR(__xludf.dummyfunction("""COMPUTED_VALUE"""),"家具家電付き社宅")</f>
        <v>家具家電付き社宅</v>
      </c>
      <c r="T470" s="6" t="str">
        <f aca="false">IFERROR(__xludf.dummyfunction("""COMPUTED_VALUE"""),"利用する")</f>
        <v>利用する</v>
      </c>
      <c r="U470" s="6" t="str">
        <f aca="false">IFERROR(__xludf.dummyfunction("""COMPUTED_VALUE"""),"現在利用しているものを継続（ベッド，マットレス，洗濯機）")</f>
        <v>現在利用しているものを継続（ベッド，マットレス，洗濯機）</v>
      </c>
      <c r="V470" s="6" t="str">
        <f aca="false">IFERROR(__xludf.dummyfunction("""COMPUTED_VALUE"""),"徒歩, バス, 社用バス")</f>
        <v>徒歩, バス, 社用バス</v>
      </c>
      <c r="W470" s="6"/>
      <c r="X470" s="6" t="str">
        <f aca="false">IFERROR(__xludf.dummyfunction("""COMPUTED_VALUE"""),"株式会社ビーネックステクノロジーズの社宅")</f>
        <v>株式会社ビーネックステクノロジーズの社宅</v>
      </c>
      <c r="Y470" s="6" t="str">
        <f aca="false">IFERROR(__xludf.dummyfunction("""COMPUTED_VALUE"""),"ベッド，マットレス，洗濯機")</f>
        <v>ベッド，マットレス，洗濯機</v>
      </c>
      <c r="Z470" s="6" t="str">
        <f aca="false">IFERROR(__xludf.dummyfunction("""COMPUTED_VALUE"""),"希望する")</f>
        <v>希望する</v>
      </c>
      <c r="AA470" s="6" t="str">
        <f aca="false">IFERROR(__xludf.dummyfunction("""COMPUTED_VALUE"""),"単身")</f>
        <v>単身</v>
      </c>
      <c r="AB470" s="6"/>
      <c r="AC470" s="6"/>
      <c r="AD470" s="6" t="str">
        <f aca="false">IFERROR(__xludf.dummyfunction("""COMPUTED_VALUE"""),"レンタル家具については家具家電付き物件で既にある場合必要なくなるので場合によって変更になる可能性があります。")</f>
        <v>レンタル家具については家具家電付き物件で既にある場合必要なくなるので場合によって変更になる可能性があります。</v>
      </c>
      <c r="AE470" s="6" t="str">
        <f aca="false">IFERROR(__xludf.dummyfunction("""COMPUTED_VALUE"""),"確認しました。")</f>
        <v>確認しました。</v>
      </c>
      <c r="AF470" s="6" t="str">
        <f aca="false">IFERROR(__xludf.dummyfunction("""COMPUTED_VALUE"""),"社宅基準の内容について確認しました")</f>
        <v>社宅基準の内容について確認しました</v>
      </c>
      <c r="AG470" s="6" t="str">
        <f aca="false">IFERROR(__xludf.dummyfunction("""COMPUTED_VALUE"""),"入居のしおりの内容についてご確認しました")</f>
        <v>入居のしおりの内容についてご確認しました</v>
      </c>
      <c r="AH470" s="6" t="str">
        <f aca="false">IFERROR(__xludf.dummyfunction("""COMPUTED_VALUE"""),"確認しました")</f>
        <v>確認しました</v>
      </c>
      <c r="AI470" s="6"/>
      <c r="AJ470" s="6" t="str">
        <v/>
      </c>
      <c r="AK470" s="6" t="str">
        <v/>
      </c>
      <c r="AL470" s="6" t="str">
        <v/>
      </c>
      <c r="AM470" s="6" t="str">
        <v/>
      </c>
      <c r="AN470" s="6" t="n">
        <f aca="false">FALSE()</f>
        <v>0</v>
      </c>
    </row>
    <row r="471" customFormat="false" ht="52.5" hidden="false" customHeight="true" outlineLevel="0" collapsed="false">
      <c r="A471" s="6" t="str">
        <f aca="false">IFERROR(__xludf.dummyfunction("""COMPUTED_VALUE"""),"2026/03/27 12:08:58")</f>
        <v>2026/03/27 12:08:58</v>
      </c>
      <c r="B471" s="6"/>
      <c r="C471" s="6" t="str">
        <f aca="false">IFERROR(__xludf.dummyfunction("""COMPUTED_VALUE"""),"71940")</f>
        <v>71940</v>
      </c>
      <c r="D471" s="6"/>
      <c r="E471" s="6"/>
      <c r="F471" s="6"/>
      <c r="G471" s="6" t="str">
        <f aca="false">IFERROR(__xludf.dummyfunction("""COMPUTED_VALUE"""),"2026/04/13")</f>
        <v>2026/04/13</v>
      </c>
      <c r="H471" s="6" t="str">
        <f aca="false">IFERROR(__xludf.dummyfunction("""COMPUTED_VALUE"""),"必要")</f>
        <v>必要</v>
      </c>
      <c r="I471" s="6" t="str">
        <f aca="false">IFERROR(__xludf.dummyfunction("""COMPUTED_VALUE"""),"男性")</f>
        <v>男性</v>
      </c>
      <c r="J471" s="6" t="str">
        <f aca="false">IFERROR(__xludf.dummyfunction("""COMPUTED_VALUE"""),"日本")</f>
        <v>日本</v>
      </c>
      <c r="K471" s="6" t="str">
        <f aca="false">IFERROR(__xludf.dummyfunction("""COMPUTED_VALUE"""),"20")</f>
        <v>20</v>
      </c>
      <c r="L471" s="6" t="str">
        <f aca="false">IFERROR(__xludf.dummyfunction("""COMPUTED_VALUE"""),"冷蔵庫（単身用）洗濯機")</f>
        <v>冷蔵庫（単身用）洗濯機</v>
      </c>
      <c r="M471" s="6" t="str">
        <f aca="false">IFERROR(__xludf.dummyfunction("""COMPUTED_VALUE"""),"机（1120.600.720）ゲーミングチェア、棚（500.500.500）")</f>
        <v>机（1120.600.720）ゲーミングチェア、棚（500.500.500）</v>
      </c>
      <c r="N471" s="6"/>
      <c r="O471" s="6" t="str">
        <f aca="false">IFERROR(__xludf.dummyfunction("""COMPUTED_VALUE"""),"必要")</f>
        <v>必要</v>
      </c>
      <c r="P471" s="6" t="str">
        <f aca="false">IFERROR(__xludf.dummyfunction("""COMPUTED_VALUE"""),"引っ越ししてから購入予定（軽自動車）")</f>
        <v>引っ越ししてから購入予定（軽自動車）</v>
      </c>
      <c r="Q471" s="6" t="str">
        <f aca="false">IFERROR(__xludf.dummyfunction("""COMPUTED_VALUE"""),"あ〇〇-〇〇")</f>
        <v>あ〇〇-〇〇</v>
      </c>
      <c r="R471" s="6" t="str">
        <f aca="false">IFERROR(__xludf.dummyfunction("""COMPUTED_VALUE"""),"未定")</f>
        <v>未定</v>
      </c>
      <c r="S471" s="6" t="str">
        <f aca="false">IFERROR(__xludf.dummyfunction("""COMPUTED_VALUE"""),"家具家電なし社宅")</f>
        <v>家具家電なし社宅</v>
      </c>
      <c r="T471" s="6" t="str">
        <f aca="false">IFERROR(__xludf.dummyfunction("""COMPUTED_VALUE"""),"利用しない")</f>
        <v>利用しない</v>
      </c>
      <c r="U471" s="6"/>
      <c r="V471" s="6" t="str">
        <f aca="false">IFERROR(__xludf.dummyfunction("""COMPUTED_VALUE"""),"自動車")</f>
        <v>自動車</v>
      </c>
      <c r="W471" s="6"/>
      <c r="X471" s="6" t="str">
        <f aca="false">IFERROR(__xludf.dummyfunction("""COMPUTED_VALUE"""),"ご自身で契約中の物件")</f>
        <v>ご自身で契約中の物件</v>
      </c>
      <c r="Y471" s="6"/>
      <c r="Z471" s="6" t="str">
        <f aca="false">IFERROR(__xludf.dummyfunction("""COMPUTED_VALUE"""),"希望する")</f>
        <v>希望する</v>
      </c>
      <c r="AA471" s="6" t="str">
        <f aca="false">IFERROR(__xludf.dummyfunction("""COMPUTED_VALUE"""),"単身")</f>
        <v>単身</v>
      </c>
      <c r="AB471" s="6"/>
      <c r="AC471" s="6"/>
      <c r="AD471" s="6"/>
      <c r="AE471" s="6" t="str">
        <f aca="false">IFERROR(__xludf.dummyfunction("""COMPUTED_VALUE"""),"確認しました。")</f>
        <v>確認しました。</v>
      </c>
      <c r="AF471" s="6" t="str">
        <f aca="false">IFERROR(__xludf.dummyfunction("""COMPUTED_VALUE"""),"社宅基準の内容について確認しました")</f>
        <v>社宅基準の内容について確認しました</v>
      </c>
      <c r="AG471" s="6" t="str">
        <f aca="false">IFERROR(__xludf.dummyfunction("""COMPUTED_VALUE"""),"入居のしおりの内容についてご確認しました")</f>
        <v>入居のしおりの内容についてご確認しました</v>
      </c>
      <c r="AH471" s="6" t="str">
        <f aca="false">IFERROR(__xludf.dummyfunction("""COMPUTED_VALUE"""),"確認しました")</f>
        <v>確認しました</v>
      </c>
      <c r="AI471" s="6"/>
      <c r="AJ471" s="6" t="str">
        <v/>
      </c>
      <c r="AK471" s="6" t="str">
        <v/>
      </c>
      <c r="AL471" s="6" t="str">
        <v/>
      </c>
      <c r="AM471" s="6" t="str">
        <v/>
      </c>
      <c r="AN471" s="6" t="n">
        <f aca="false">FALSE()</f>
        <v>0</v>
      </c>
    </row>
    <row r="472" customFormat="false" ht="52.5" hidden="false" customHeight="true" outlineLevel="0" collapsed="false">
      <c r="A472" s="6" t="str">
        <f aca="false">IFERROR(__xludf.dummyfunction("""COMPUTED_VALUE"""),"2026/03/27 13:12:55")</f>
        <v>2026/03/27 13:12:55</v>
      </c>
      <c r="B472" s="6"/>
      <c r="C472" s="6" t="str">
        <f aca="false">IFERROR(__xludf.dummyfunction("""COMPUTED_VALUE"""),"71793")</f>
        <v>71793</v>
      </c>
      <c r="D472" s="6"/>
      <c r="E472" s="6"/>
      <c r="F472" s="6"/>
      <c r="G472" s="6" t="str">
        <f aca="false">IFERROR(__xludf.dummyfunction("""COMPUTED_VALUE"""),"2026/04/09")</f>
        <v>2026/04/09</v>
      </c>
      <c r="H472" s="6" t="str">
        <f aca="false">IFERROR(__xludf.dummyfunction("""COMPUTED_VALUE"""),"必要")</f>
        <v>必要</v>
      </c>
      <c r="I472" s="6" t="str">
        <f aca="false">IFERROR(__xludf.dummyfunction("""COMPUTED_VALUE"""),"男性")</f>
        <v>男性</v>
      </c>
      <c r="J472" s="6" t="str">
        <f aca="false">IFERROR(__xludf.dummyfunction("""COMPUTED_VALUE"""),"日本")</f>
        <v>日本</v>
      </c>
      <c r="K472" s="6" t="str">
        <f aca="false">IFERROR(__xludf.dummyfunction("""COMPUTED_VALUE"""),"15")</f>
        <v>15</v>
      </c>
      <c r="L472" s="6" t="str">
        <f aca="false">IFERROR(__xludf.dummyfunction("""COMPUTED_VALUE"""),"電子レンジ、ウォーターサーバー、32インチテレビ、40インチモニター×2、デスクトップPC、アーム吊り下げ式マイク")</f>
        <v>電子レンジ、ウォーターサーバー、32インチテレビ、40インチモニター×2、デスクトップPC、アーム吊り下げ式マイク</v>
      </c>
      <c r="M472" s="6" t="str">
        <f aca="false">IFERROR(__xludf.dummyfunction("""COMPUTED_VALUE"""),"ヨギボーソファ(1人用)、テーブル(120×80×50)、棚付きデスク(150×80×75)※棚部分計測しておりません、L字デスク(150×150×75)")</f>
        <v>ヨギボーソファ(1人用)、テーブル(120×80×50)、棚付きデスク(150×80×75)※棚部分計測しておりません、L字デスク(150×150×75)</v>
      </c>
      <c r="N472" s="6"/>
      <c r="O472" s="6" t="str">
        <f aca="false">IFERROR(__xludf.dummyfunction("""COMPUTED_VALUE"""),"不要")</f>
        <v>不要</v>
      </c>
      <c r="P472" s="6"/>
      <c r="Q472" s="6"/>
      <c r="R472" s="6"/>
      <c r="S472" s="6" t="str">
        <f aca="false">IFERROR(__xludf.dummyfunction("""COMPUTED_VALUE"""),"家具家電なし社宅")</f>
        <v>家具家電なし社宅</v>
      </c>
      <c r="T472" s="6" t="str">
        <f aca="false">IFERROR(__xludf.dummyfunction("""COMPUTED_VALUE"""),"利用する")</f>
        <v>利用する</v>
      </c>
      <c r="U472" s="6" t="str">
        <f aca="false">IFERROR(__xludf.dummyfunction("""COMPUTED_VALUE"""),"冷凍冷蔵庫(2ドア・80ℓ)、全自動洗濯機")</f>
        <v>冷凍冷蔵庫(2ドア・80ℓ)、全自動洗濯機</v>
      </c>
      <c r="V472" s="6" t="str">
        <f aca="false">IFERROR(__xludf.dummyfunction("""COMPUTED_VALUE"""),"徒歩, 電車")</f>
        <v>徒歩, 電車</v>
      </c>
      <c r="W472" s="6"/>
      <c r="X472" s="6" t="str">
        <f aca="false">IFERROR(__xludf.dummyfunction("""COMPUTED_VALUE"""),"ご自身で契約中の物件")</f>
        <v>ご自身で契約中の物件</v>
      </c>
      <c r="Y472" s="6"/>
      <c r="Z472" s="6" t="str">
        <f aca="false">IFERROR(__xludf.dummyfunction("""COMPUTED_VALUE"""),"希望する")</f>
        <v>希望する</v>
      </c>
      <c r="AA472" s="6" t="str">
        <f aca="false">IFERROR(__xludf.dummyfunction("""COMPUTED_VALUE"""),"単身")</f>
        <v>単身</v>
      </c>
      <c r="AB472" s="6"/>
      <c r="AC472" s="6"/>
      <c r="AD472" s="6" t="str">
        <f aca="false">IFERROR(__xludf.dummyfunction("""COMPUTED_VALUE"""),"①インターネット回線無料
引っ越し直後からルーター等を設置するだけですぐにWi-Fi使えるような環境だと望ましいです。回線速度もある程度保証されてたら尚嬉しいです。
②防音性の高い部屋
可能であれば、鉄筋造のような防音性の高い部屋が好ましいです。部屋内部で出す音が外に漏れにくく、また、周辺環境も沿線沿いなどの騒音が出にくい環境であると大変助かります。")</f>
        <v>①インターネット回線無料
引っ越し直後からルーター等を設置するだけですぐにWi-Fi使えるような環境だと望ましいです。回線速度もある程度保証されてたら尚嬉しいです。
②防音性の高い部屋
可能であれば、鉄筋造のような防音性の高い部屋が好ましいです。部屋内部で出す音が外に漏れにくく、また、周辺環境も沿線沿いなどの騒音が出にくい環境であると大変助かります。</v>
      </c>
      <c r="AE472" s="6" t="str">
        <f aca="false">IFERROR(__xludf.dummyfunction("""COMPUTED_VALUE"""),"確認しました。")</f>
        <v>確認しました。</v>
      </c>
      <c r="AF472" s="6" t="str">
        <f aca="false">IFERROR(__xludf.dummyfunction("""COMPUTED_VALUE"""),"社宅基準の内容について確認しました")</f>
        <v>社宅基準の内容について確認しました</v>
      </c>
      <c r="AG472" s="6" t="str">
        <f aca="false">IFERROR(__xludf.dummyfunction("""COMPUTED_VALUE"""),"入居のしおりの内容についてご確認しました")</f>
        <v>入居のしおりの内容についてご確認しました</v>
      </c>
      <c r="AH472" s="6" t="str">
        <f aca="false">IFERROR(__xludf.dummyfunction("""COMPUTED_VALUE"""),"確認しました")</f>
        <v>確認しました</v>
      </c>
      <c r="AI472" s="6"/>
      <c r="AJ472" s="6" t="str">
        <v/>
      </c>
      <c r="AK472" s="6" t="str">
        <v/>
      </c>
      <c r="AL472" s="6" t="str">
        <v/>
      </c>
      <c r="AM472" s="6" t="str">
        <v/>
      </c>
      <c r="AN472" s="6" t="n">
        <f aca="false">FALSE()</f>
        <v>0</v>
      </c>
    </row>
    <row r="473" customFormat="false" ht="52.5" hidden="false" customHeight="true" outlineLevel="0" collapsed="false">
      <c r="A473" s="6" t="str">
        <f aca="false">IFERROR(__xludf.dummyfunction("""COMPUTED_VALUE"""),"2026/03/27 16:54:31")</f>
        <v>2026/03/27 16:54:31</v>
      </c>
      <c r="B473" s="6"/>
      <c r="C473" s="6" t="str">
        <f aca="false">IFERROR(__xludf.dummyfunction("""COMPUTED_VALUE"""),"71948")</f>
        <v>71948</v>
      </c>
      <c r="D473" s="6"/>
      <c r="E473" s="6"/>
      <c r="F473" s="6"/>
      <c r="G473" s="6" t="str">
        <f aca="false">IFERROR(__xludf.dummyfunction("""COMPUTED_VALUE"""),"2026/04/18")</f>
        <v>2026/04/18</v>
      </c>
      <c r="H473" s="6" t="str">
        <f aca="false">IFERROR(__xludf.dummyfunction("""COMPUTED_VALUE"""),"不要")</f>
        <v>不要</v>
      </c>
      <c r="I473" s="6" t="str">
        <f aca="false">IFERROR(__xludf.dummyfunction("""COMPUTED_VALUE"""),"男性")</f>
        <v>男性</v>
      </c>
      <c r="J473" s="6" t="str">
        <f aca="false">IFERROR(__xludf.dummyfunction("""COMPUTED_VALUE"""),"日本")</f>
        <v>日本</v>
      </c>
      <c r="K473" s="6"/>
      <c r="L473" s="6"/>
      <c r="M473" s="6"/>
      <c r="N473" s="6"/>
      <c r="O473" s="6" t="str">
        <f aca="false">IFERROR(__xludf.dummyfunction("""COMPUTED_VALUE"""),"不要")</f>
        <v>不要</v>
      </c>
      <c r="P473" s="6"/>
      <c r="Q473" s="6"/>
      <c r="R473" s="6"/>
      <c r="S473" s="6" t="str">
        <f aca="false">IFERROR(__xludf.dummyfunction("""COMPUTED_VALUE"""),"家具家電付き社宅")</f>
        <v>家具家電付き社宅</v>
      </c>
      <c r="T473" s="6" t="str">
        <f aca="false">IFERROR(__xludf.dummyfunction("""COMPUTED_VALUE"""),"利用しない")</f>
        <v>利用しない</v>
      </c>
      <c r="U473" s="6"/>
      <c r="V473" s="6" t="str">
        <f aca="false">IFERROR(__xludf.dummyfunction("""COMPUTED_VALUE"""),"徒歩, 自転車, 電車")</f>
        <v>徒歩, 自転車, 電車</v>
      </c>
      <c r="W473" s="6"/>
      <c r="X473" s="6" t="str">
        <f aca="false">IFERROR(__xludf.dummyfunction("""COMPUTED_VALUE"""),"実家")</f>
        <v>実家</v>
      </c>
      <c r="Y473" s="6"/>
      <c r="Z473" s="6" t="str">
        <f aca="false">IFERROR(__xludf.dummyfunction("""COMPUTED_VALUE"""),"希望する")</f>
        <v>希望する</v>
      </c>
      <c r="AA473" s="6" t="str">
        <f aca="false">IFERROR(__xludf.dummyfunction("""COMPUTED_VALUE"""),"単身")</f>
        <v>単身</v>
      </c>
      <c r="AB473" s="6"/>
      <c r="AC473" s="6"/>
      <c r="AD473" s="6" t="str">
        <f aca="false">IFERROR(__xludf.dummyfunction("""COMPUTED_VALUE"""),"できれば会社徒歩圏内、もしくは会社の最寄駅路線で駅に近い社宅でお願いします。")</f>
        <v>できれば会社徒歩圏内、もしくは会社の最寄駅路線で駅に近い社宅でお願いします。</v>
      </c>
      <c r="AE473" s="6" t="str">
        <f aca="false">IFERROR(__xludf.dummyfunction("""COMPUTED_VALUE"""),"確認しました。")</f>
        <v>確認しました。</v>
      </c>
      <c r="AF473" s="6" t="str">
        <f aca="false">IFERROR(__xludf.dummyfunction("""COMPUTED_VALUE"""),"社宅基準の内容について確認しました")</f>
        <v>社宅基準の内容について確認しました</v>
      </c>
      <c r="AG473" s="6" t="str">
        <f aca="false">IFERROR(__xludf.dummyfunction("""COMPUTED_VALUE"""),"入居のしおりの内容についてご確認しました")</f>
        <v>入居のしおりの内容についてご確認しました</v>
      </c>
      <c r="AH473" s="6" t="str">
        <f aca="false">IFERROR(__xludf.dummyfunction("""COMPUTED_VALUE"""),"確認しました")</f>
        <v>確認しました</v>
      </c>
      <c r="AI473" s="6"/>
      <c r="AJ473" s="6" t="str">
        <v/>
      </c>
      <c r="AK473" s="6" t="str">
        <v/>
      </c>
      <c r="AL473" s="6" t="str">
        <v/>
      </c>
      <c r="AM473" s="6" t="str">
        <v/>
      </c>
      <c r="AN473" s="6" t="n">
        <f aca="false">FALSE()</f>
        <v>0</v>
      </c>
    </row>
    <row r="474" customFormat="false" ht="52.5" hidden="false" customHeight="true" outlineLevel="0" collapsed="false">
      <c r="A474" s="6" t="str">
        <f aca="false">IFERROR(__xludf.dummyfunction("""COMPUTED_VALUE"""),"2026/03/27 17:11:06")</f>
        <v>2026/03/27 17:11:06</v>
      </c>
      <c r="B474" s="6"/>
      <c r="C474" s="6" t="str">
        <f aca="false">IFERROR(__xludf.dummyfunction("""COMPUTED_VALUE"""),"71956")</f>
        <v>71956</v>
      </c>
      <c r="D474" s="6"/>
      <c r="E474" s="6"/>
      <c r="F474" s="6"/>
      <c r="G474" s="6" t="str">
        <f aca="false">IFERROR(__xludf.dummyfunction("""COMPUTED_VALUE"""),"2026/04/07")</f>
        <v>2026/04/07</v>
      </c>
      <c r="H474" s="6" t="str">
        <f aca="false">IFERROR(__xludf.dummyfunction("""COMPUTED_VALUE"""),"必要")</f>
        <v>必要</v>
      </c>
      <c r="I474" s="6" t="str">
        <f aca="false">IFERROR(__xludf.dummyfunction("""COMPUTED_VALUE"""),"男性")</f>
        <v>男性</v>
      </c>
      <c r="J474" s="6" t="str">
        <f aca="false">IFERROR(__xludf.dummyfunction("""COMPUTED_VALUE"""),"日本")</f>
        <v>日本</v>
      </c>
      <c r="K474" s="6" t="str">
        <f aca="false">IFERROR(__xludf.dummyfunction("""COMPUTED_VALUE"""),"20")</f>
        <v>20</v>
      </c>
      <c r="L474" s="6" t="str">
        <f aca="false">IFERROR(__xludf.dummyfunction("""COMPUTED_VALUE"""),"電子レンジ、冷蔵庫、洗濯機、炊飯器")</f>
        <v>電子レンジ、冷蔵庫、洗濯機、炊飯器</v>
      </c>
      <c r="M474" s="6" t="str">
        <f aca="false">IFERROR(__xludf.dummyfunction("""COMPUTED_VALUE"""),"分解可能ベッド、姿見(70*3*130)、棚(45*25*200)、机(180*60*70)、ステンレス棚(20*50*120)、食品収納(50*30*70)、キャリーケース")</f>
        <v>分解可能ベッド、姿見(70*3*130)、棚(45*25*200)、机(180*60*70)、ステンレス棚(20*50*120)、食品収納(50*30*70)、キャリーケース</v>
      </c>
      <c r="N474" s="6" t="str">
        <f aca="false">IFERROR(__xludf.dummyfunction("""COMPUTED_VALUE"""),"なし")</f>
        <v>なし</v>
      </c>
      <c r="O474" s="6" t="str">
        <f aca="false">IFERROR(__xludf.dummyfunction("""COMPUTED_VALUE"""),"不要")</f>
        <v>不要</v>
      </c>
      <c r="P474" s="6"/>
      <c r="Q474" s="6"/>
      <c r="R474" s="6"/>
      <c r="S474" s="6" t="str">
        <f aca="false">IFERROR(__xludf.dummyfunction("""COMPUTED_VALUE"""),"家具家電なし社宅")</f>
        <v>家具家電なし社宅</v>
      </c>
      <c r="T474" s="6" t="str">
        <f aca="false">IFERROR(__xludf.dummyfunction("""COMPUTED_VALUE"""),"利用しない")</f>
        <v>利用しない</v>
      </c>
      <c r="U474" s="6"/>
      <c r="V474" s="6" t="str">
        <f aca="false">IFERROR(__xludf.dummyfunction("""COMPUTED_VALUE"""),"徒歩, 電車, 社用バス, 駅から徒歩10分以内の物件をお願いしたいです、現在は徒歩20分ほどの場所に住んでおりますが、駅までの距離があり毎朝歩くのが大変なためまた、階数は2階以上を希望します、現在1階に居住していた際、ベランダで干していた靴が盗難される被害あい不安なので1階は避けていただけると幸いです。")</f>
        <v>徒歩, 電車, 社用バス, 駅から徒歩10分以内の物件をお願いしたいです、現在は徒歩20分ほどの場所に住んでおりますが、駅までの距離があり毎朝歩くのが大変なためまた、階数は2階以上を希望します、現在1階に居住していた際、ベランダで干していた靴が盗難される被害あい不安なので1階は避けていただけると幸いです。</v>
      </c>
      <c r="W474" s="6"/>
      <c r="X474" s="6" t="str">
        <f aca="false">IFERROR(__xludf.dummyfunction("""COMPUTED_VALUE"""),"ご自身で契約中の物件")</f>
        <v>ご自身で契約中の物件</v>
      </c>
      <c r="Y474" s="6"/>
      <c r="Z474" s="6" t="str">
        <f aca="false">IFERROR(__xludf.dummyfunction("""COMPUTED_VALUE"""),"希望しない")</f>
        <v>希望しない</v>
      </c>
      <c r="AA474" s="6" t="str">
        <f aca="false">IFERROR(__xludf.dummyfunction("""COMPUTED_VALUE"""),"単身")</f>
        <v>単身</v>
      </c>
      <c r="AB474" s="6"/>
      <c r="AC474" s="6"/>
      <c r="AD474" s="6" t="str">
        <f aca="false">IFERROR(__xludf.dummyfunction("""COMPUTED_VALUE"""),"間取りにつきましては、資格勉強など自宅でする際にベッドが集中の妨げになるため、2K・2DKなど、寝室と作業スペースを独立して確保できる物件が希望です。また優先度は低いですが、自炊をするためコンロ2口またはコンロなしが希望です。")</f>
        <v>間取りにつきましては、資格勉強など自宅でする際にベッドが集中の妨げになるため、2K・2DKなど、寝室と作業スペースを独立して確保できる物件が希望です。また優先度は低いですが、自炊をするためコンロ2口またはコンロなしが希望です。</v>
      </c>
      <c r="AE474" s="6" t="str">
        <f aca="false">IFERROR(__xludf.dummyfunction("""COMPUTED_VALUE"""),"確認しました。")</f>
        <v>確認しました。</v>
      </c>
      <c r="AF474" s="6" t="str">
        <f aca="false">IFERROR(__xludf.dummyfunction("""COMPUTED_VALUE"""),"社宅基準の内容について確認しました")</f>
        <v>社宅基準の内容について確認しました</v>
      </c>
      <c r="AG474" s="6" t="str">
        <f aca="false">IFERROR(__xludf.dummyfunction("""COMPUTED_VALUE"""),"入居のしおりの内容についてご確認しました")</f>
        <v>入居のしおりの内容についてご確認しました</v>
      </c>
      <c r="AH474" s="6" t="str">
        <f aca="false">IFERROR(__xludf.dummyfunction("""COMPUTED_VALUE"""),"確認しました")</f>
        <v>確認しました</v>
      </c>
      <c r="AI474" s="6"/>
      <c r="AJ474" s="6" t="str">
        <v/>
      </c>
      <c r="AK474" s="6" t="str">
        <v/>
      </c>
      <c r="AL474" s="6" t="str">
        <v/>
      </c>
      <c r="AM474" s="6" t="str">
        <v/>
      </c>
      <c r="AN474" s="6" t="n">
        <f aca="false">FALSE()</f>
        <v>0</v>
      </c>
    </row>
    <row r="475" customFormat="false" ht="52.5" hidden="false" customHeight="true" outlineLevel="0" collapsed="false">
      <c r="A475" s="6" t="str">
        <f aca="false">IFERROR(__xludf.dummyfunction("""COMPUTED_VALUE"""),"2026/03/27 17:29:07")</f>
        <v>2026/03/27 17:29:07</v>
      </c>
      <c r="B475" s="6"/>
      <c r="C475" s="6" t="str">
        <f aca="false">IFERROR(__xludf.dummyfunction("""COMPUTED_VALUE"""),"71951")</f>
        <v>71951</v>
      </c>
      <c r="D475" s="6"/>
      <c r="E475" s="6"/>
      <c r="F475" s="6"/>
      <c r="G475" s="6" t="str">
        <f aca="false">IFERROR(__xludf.dummyfunction("""COMPUTED_VALUE"""),"2026/04/29")</f>
        <v>2026/04/29</v>
      </c>
      <c r="H475" s="6" t="str">
        <f aca="false">IFERROR(__xludf.dummyfunction("""COMPUTED_VALUE"""),"不要")</f>
        <v>不要</v>
      </c>
      <c r="I475" s="6" t="str">
        <f aca="false">IFERROR(__xludf.dummyfunction("""COMPUTED_VALUE"""),"男性")</f>
        <v>男性</v>
      </c>
      <c r="J475" s="6" t="str">
        <f aca="false">IFERROR(__xludf.dummyfunction("""COMPUTED_VALUE"""),"日本")</f>
        <v>日本</v>
      </c>
      <c r="K475" s="6"/>
      <c r="L475" s="6"/>
      <c r="M475" s="6"/>
      <c r="N475" s="6"/>
      <c r="O475" s="6" t="str">
        <f aca="false">IFERROR(__xludf.dummyfunction("""COMPUTED_VALUE"""),"必要")</f>
        <v>必要</v>
      </c>
      <c r="P475" s="6" t="str">
        <f aca="false">IFERROR(__xludf.dummyfunction("""COMPUTED_VALUE"""),"N-BOX")</f>
        <v>N-BOX</v>
      </c>
      <c r="Q475" s="6" t="str">
        <f aca="false">IFERROR(__xludf.dummyfunction("""COMPUTED_VALUE"""),"て　18-02")</f>
        <v>て　18-02</v>
      </c>
      <c r="R475" s="6" t="str">
        <f aca="false">IFERROR(__xludf.dummyfunction("""COMPUTED_VALUE"""),"ブロンズ(茶色)")</f>
        <v>ブロンズ(茶色)</v>
      </c>
      <c r="S475" s="6" t="str">
        <f aca="false">IFERROR(__xludf.dummyfunction("""COMPUTED_VALUE"""),"家具家電付き社宅")</f>
        <v>家具家電付き社宅</v>
      </c>
      <c r="T475" s="6" t="str">
        <f aca="false">IFERROR(__xludf.dummyfunction("""COMPUTED_VALUE"""),"利用しない")</f>
        <v>利用しない</v>
      </c>
      <c r="U475" s="6"/>
      <c r="V475" s="6" t="str">
        <f aca="false">IFERROR(__xludf.dummyfunction("""COMPUTED_VALUE"""),"徒歩")</f>
        <v>徒歩</v>
      </c>
      <c r="W475" s="6"/>
      <c r="X475" s="6" t="str">
        <f aca="false">IFERROR(__xludf.dummyfunction("""COMPUTED_VALUE"""),"実家")</f>
        <v>実家</v>
      </c>
      <c r="Y475" s="6"/>
      <c r="Z475" s="6" t="str">
        <f aca="false">IFERROR(__xludf.dummyfunction("""COMPUTED_VALUE"""),"希望する")</f>
        <v>希望する</v>
      </c>
      <c r="AA475" s="6" t="str">
        <f aca="false">IFERROR(__xludf.dummyfunction("""COMPUTED_VALUE"""),"単身")</f>
        <v>単身</v>
      </c>
      <c r="AB475" s="6"/>
      <c r="AC475" s="6"/>
      <c r="AD475" s="6" t="str">
        <f aca="false">IFERROR(__xludf.dummyfunction("""COMPUTED_VALUE"""),"1）客先に近い
2）駐車場：軽自動車　N-BOX
3）風呂とトイレは別の物件
4）無線LAN")</f>
        <v>1）客先に近い
2）駐車場：軽自動車　N-BOX
3）風呂とトイレは別の物件
4）無線LAN</v>
      </c>
      <c r="AE475" s="6" t="str">
        <f aca="false">IFERROR(__xludf.dummyfunction("""COMPUTED_VALUE"""),"確認しました。")</f>
        <v>確認しました。</v>
      </c>
      <c r="AF475" s="6" t="str">
        <f aca="false">IFERROR(__xludf.dummyfunction("""COMPUTED_VALUE"""),"社宅基準の内容について確認しました")</f>
        <v>社宅基準の内容について確認しました</v>
      </c>
      <c r="AG475" s="6" t="str">
        <f aca="false">IFERROR(__xludf.dummyfunction("""COMPUTED_VALUE"""),"入居のしおりの内容についてご確認しました")</f>
        <v>入居のしおりの内容についてご確認しました</v>
      </c>
      <c r="AH475" s="6" t="str">
        <f aca="false">IFERROR(__xludf.dummyfunction("""COMPUTED_VALUE"""),"確認しました")</f>
        <v>確認しました</v>
      </c>
      <c r="AI475" s="6"/>
      <c r="AJ475" s="6" t="str">
        <v/>
      </c>
      <c r="AK475" s="6" t="str">
        <v/>
      </c>
      <c r="AL475" s="6" t="str">
        <v/>
      </c>
      <c r="AM475" s="6" t="str">
        <v/>
      </c>
      <c r="AN475" s="6" t="n">
        <f aca="false">FALSE()</f>
        <v>0</v>
      </c>
    </row>
    <row r="476" customFormat="false" ht="52.5" hidden="false" customHeight="true" outlineLevel="0" collapsed="false">
      <c r="A476" s="6" t="str">
        <f aca="false">IFERROR(__xludf.dummyfunction("""COMPUTED_VALUE"""),"2026/03/28 14:54:32")</f>
        <v>2026/03/28 14:54:32</v>
      </c>
      <c r="B476" s="6"/>
      <c r="C476" s="6" t="str">
        <f aca="false">IFERROR(__xludf.dummyfunction("""COMPUTED_VALUE"""),"71819")</f>
        <v>71819</v>
      </c>
      <c r="D476" s="6"/>
      <c r="E476" s="6"/>
      <c r="F476" s="6"/>
      <c r="G476" s="6" t="str">
        <f aca="false">IFERROR(__xludf.dummyfunction("""COMPUTED_VALUE"""),"2026/04/08")</f>
        <v>2026/04/08</v>
      </c>
      <c r="H476" s="6" t="str">
        <f aca="false">IFERROR(__xludf.dummyfunction("""COMPUTED_VALUE"""),"必要")</f>
        <v>必要</v>
      </c>
      <c r="I476" s="6" t="str">
        <f aca="false">IFERROR(__xludf.dummyfunction("""COMPUTED_VALUE"""),"男性")</f>
        <v>男性</v>
      </c>
      <c r="J476" s="6" t="str">
        <f aca="false">IFERROR(__xludf.dummyfunction("""COMPUTED_VALUE"""),"日本")</f>
        <v>日本</v>
      </c>
      <c r="K476" s="6" t="str">
        <f aca="false">IFERROR(__xludf.dummyfunction("""COMPUTED_VALUE"""),"30")</f>
        <v>30</v>
      </c>
      <c r="L476" s="6" t="str">
        <f aca="false">IFERROR(__xludf.dummyfunction("""COMPUTED_VALUE"""),"冷蔵庫(単身用45㎝×48㎝×87㎝)、
レンジ、
洗濯機、
テレビ")</f>
        <v>冷蔵庫(単身用45㎝×48㎝×87㎝)、
レンジ、
洗濯機、
テレビ</v>
      </c>
      <c r="M476" s="6" t="str">
        <f aca="false">IFERROR(__xludf.dummyfunction("""COMPUTED_VALUE"""),"机(140cm×60㎝×70㎝)、
カラーボックス3段(45cm×30cm×88.5cm)5個、
カラーボックス2段(42cm×27.5cm×59cm)3個、
カラーボックス2段(42cm×29cm×69cm)2個、
カラーボックス2段(32cm×29.5cm×89.5cm)
本棚4段(59.5cm×17cm×89cm)、
本棚(60cm×29.5cm×177cm)、
衣装ケース(4つを重ねた状態で55cm×44.5cm×88cm)、
クローゼット(55cm×54.5cm×188cm)")</f>
        <v>机(140cm×60㎝×70㎝)、
カラーボックス3段(45cm×30cm×88.5cm)5個、
カラーボックス2段(42cm×27.5cm×59cm)3個、
カラーボックス2段(42cm×29cm×69cm)2個、
カラーボックス2段(32cm×29.5cm×89.5cm)
本棚4段(59.5cm×17cm×89cm)、
本棚(60cm×29.5cm×177cm)、
衣装ケース(4つを重ねた状態で55cm×44.5cm×88cm)、
クローゼット(55cm×54.5cm×188cm)</v>
      </c>
      <c r="N476" s="6" t="str">
        <f aca="false">IFERROR(__xludf.dummyfunction("""COMPUTED_VALUE"""),"ありません。")</f>
        <v>ありません。</v>
      </c>
      <c r="O476" s="6" t="str">
        <f aca="false">IFERROR(__xludf.dummyfunction("""COMPUTED_VALUE"""),"必要")</f>
        <v>必要</v>
      </c>
      <c r="P476" s="6" t="str">
        <f aca="false">IFERROR(__xludf.dummyfunction("""COMPUTED_VALUE"""),"スバル、フォレスター")</f>
        <v>スバル、フォレスター</v>
      </c>
      <c r="Q476" s="6" t="str">
        <f aca="false">IFERROR(__xludf.dummyfunction("""COMPUTED_VALUE"""),"た30-72")</f>
        <v>た30-72</v>
      </c>
      <c r="R476" s="6" t="str">
        <f aca="false">IFERROR(__xludf.dummyfunction("""COMPUTED_VALUE"""),"黒")</f>
        <v>黒</v>
      </c>
      <c r="S476" s="6" t="str">
        <f aca="false">IFERROR(__xludf.dummyfunction("""COMPUTED_VALUE"""),"家具家電なし社宅")</f>
        <v>家具家電なし社宅</v>
      </c>
      <c r="T476" s="6" t="str">
        <f aca="false">IFERROR(__xludf.dummyfunction("""COMPUTED_VALUE"""),"利用しない")</f>
        <v>利用しない</v>
      </c>
      <c r="U476" s="6"/>
      <c r="V476" s="6" t="str">
        <f aca="false">IFERROR(__xludf.dummyfunction("""COMPUTED_VALUE"""),"社用バス")</f>
        <v>社用バス</v>
      </c>
      <c r="W476" s="6"/>
      <c r="X476" s="6" t="str">
        <f aca="false">IFERROR(__xludf.dummyfunction("""COMPUTED_VALUE"""),"株式会社ビーネックステクノロジーズの社宅")</f>
        <v>株式会社ビーネックステクノロジーズの社宅</v>
      </c>
      <c r="Y476" s="6" t="str">
        <f aca="false">IFERROR(__xludf.dummyfunction("""COMPUTED_VALUE"""),"利用なし")</f>
        <v>利用なし</v>
      </c>
      <c r="Z476" s="6" t="str">
        <f aca="false">IFERROR(__xludf.dummyfunction("""COMPUTED_VALUE"""),"希望する")</f>
        <v>希望する</v>
      </c>
      <c r="AA476" s="6" t="str">
        <f aca="false">IFERROR(__xludf.dummyfunction("""COMPUTED_VALUE"""),"単身")</f>
        <v>単身</v>
      </c>
      <c r="AB476" s="6"/>
      <c r="AC476" s="6"/>
      <c r="AD476" s="6" t="str">
        <f aca="false">IFERROR(__xludf.dummyfunction("""COMPUTED_VALUE"""),"ありません。")</f>
        <v>ありません。</v>
      </c>
      <c r="AE476" s="6" t="str">
        <f aca="false">IFERROR(__xludf.dummyfunction("""COMPUTED_VALUE"""),"確認しました。")</f>
        <v>確認しました。</v>
      </c>
      <c r="AF476" s="6" t="str">
        <f aca="false">IFERROR(__xludf.dummyfunction("""COMPUTED_VALUE"""),"社宅基準の内容について確認しました")</f>
        <v>社宅基準の内容について確認しました</v>
      </c>
      <c r="AG476" s="6" t="str">
        <f aca="false">IFERROR(__xludf.dummyfunction("""COMPUTED_VALUE"""),"入居のしおりの内容についてご確認しました")</f>
        <v>入居のしおりの内容についてご確認しました</v>
      </c>
      <c r="AH476" s="6" t="str">
        <f aca="false">IFERROR(__xludf.dummyfunction("""COMPUTED_VALUE"""),"確認しました")</f>
        <v>確認しました</v>
      </c>
      <c r="AI476" s="6"/>
      <c r="AJ476" s="6" t="str">
        <v/>
      </c>
      <c r="AK476" s="6" t="str">
        <v/>
      </c>
      <c r="AL476" s="6" t="str">
        <v/>
      </c>
      <c r="AM476" s="6" t="str">
        <v/>
      </c>
      <c r="AN476" s="6" t="n">
        <f aca="false">FALSE()</f>
        <v>0</v>
      </c>
    </row>
    <row r="477" customFormat="false" ht="52.5" hidden="false" customHeight="true" outlineLevel="0" collapsed="false">
      <c r="A477" s="6" t="str">
        <f aca="false">IFERROR(__xludf.dummyfunction("""COMPUTED_VALUE"""),"2026/03/28 15:29:39")</f>
        <v>2026/03/28 15:29:39</v>
      </c>
      <c r="B477" s="6"/>
      <c r="C477" s="6" t="str">
        <f aca="false">IFERROR(__xludf.dummyfunction("""COMPUTED_VALUE"""),"71839")</f>
        <v>71839</v>
      </c>
      <c r="D477" s="6"/>
      <c r="E477" s="6"/>
      <c r="F477" s="6"/>
      <c r="G477" s="6" t="str">
        <f aca="false">IFERROR(__xludf.dummyfunction("""COMPUTED_VALUE"""),"2026/04/28")</f>
        <v>2026/04/28</v>
      </c>
      <c r="H477" s="6" t="str">
        <f aca="false">IFERROR(__xludf.dummyfunction("""COMPUTED_VALUE"""),"必要")</f>
        <v>必要</v>
      </c>
      <c r="I477" s="6" t="str">
        <f aca="false">IFERROR(__xludf.dummyfunction("""COMPUTED_VALUE"""),"男性")</f>
        <v>男性</v>
      </c>
      <c r="J477" s="6" t="str">
        <f aca="false">IFERROR(__xludf.dummyfunction("""COMPUTED_VALUE"""),"日本")</f>
        <v>日本</v>
      </c>
      <c r="K477" s="6" t="str">
        <f aca="false">IFERROR(__xludf.dummyfunction("""COMPUTED_VALUE"""),"4")</f>
        <v>4</v>
      </c>
      <c r="L477" s="6" t="str">
        <f aca="false">IFERROR(__xludf.dummyfunction("""COMPUTED_VALUE"""),"冷蔵庫単身用、電子レンジ、テレビ、炊飯器、ドライヤー、ケトル")</f>
        <v>冷蔵庫単身用、電子レンジ、テレビ、炊飯器、ドライヤー、ケトル</v>
      </c>
      <c r="M477" s="6" t="str">
        <f aca="false">IFERROR(__xludf.dummyfunction("""COMPUTED_VALUE"""),"脚を取り外した机の天板(横幅100cm・奥行60cm)
机の脚(73cmのものが4本)
棚(横幅42cm・奥行30cm・高さ88cm)
椅子")</f>
        <v>脚を取り外した机の天板(横幅100cm・奥行60cm)
机の脚(73cmのものが4本)
棚(横幅42cm・奥行30cm・高さ88cm)
椅子</v>
      </c>
      <c r="N477" s="6"/>
      <c r="O477" s="6" t="str">
        <f aca="false">IFERROR(__xludf.dummyfunction("""COMPUTED_VALUE"""),"不要")</f>
        <v>不要</v>
      </c>
      <c r="P477" s="6"/>
      <c r="Q477" s="6"/>
      <c r="R477" s="6"/>
      <c r="S477" s="6" t="str">
        <f aca="false">IFERROR(__xludf.dummyfunction("""COMPUTED_VALUE"""),"家具家電なし社宅")</f>
        <v>家具家電なし社宅</v>
      </c>
      <c r="T477" s="6" t="str">
        <f aca="false">IFERROR(__xludf.dummyfunction("""COMPUTED_VALUE"""),"利用しない")</f>
        <v>利用しない</v>
      </c>
      <c r="U477" s="6"/>
      <c r="V477" s="6" t="str">
        <f aca="false">IFERROR(__xludf.dummyfunction("""COMPUTED_VALUE"""),"徒歩")</f>
        <v>徒歩</v>
      </c>
      <c r="W477" s="6"/>
      <c r="X477" s="6" t="str">
        <f aca="false">IFERROR(__xludf.dummyfunction("""COMPUTED_VALUE"""),"実家")</f>
        <v>実家</v>
      </c>
      <c r="Y477" s="6"/>
      <c r="Z477" s="6" t="str">
        <f aca="false">IFERROR(__xludf.dummyfunction("""COMPUTED_VALUE"""),"希望しない")</f>
        <v>希望しない</v>
      </c>
      <c r="AA477" s="6" t="str">
        <f aca="false">IFERROR(__xludf.dummyfunction("""COMPUTED_VALUE"""),"単身")</f>
        <v>単身</v>
      </c>
      <c r="AB477" s="6"/>
      <c r="AC477" s="6"/>
      <c r="AD477" s="6"/>
      <c r="AE477" s="6" t="str">
        <f aca="false">IFERROR(__xludf.dummyfunction("""COMPUTED_VALUE"""),"確認しました。")</f>
        <v>確認しました。</v>
      </c>
      <c r="AF477" s="6" t="str">
        <f aca="false">IFERROR(__xludf.dummyfunction("""COMPUTED_VALUE"""),"社宅基準の内容について確認しました")</f>
        <v>社宅基準の内容について確認しました</v>
      </c>
      <c r="AG477" s="6" t="str">
        <f aca="false">IFERROR(__xludf.dummyfunction("""COMPUTED_VALUE"""),"入居のしおりの内容についてご確認しました")</f>
        <v>入居のしおりの内容についてご確認しました</v>
      </c>
      <c r="AH477" s="6" t="str">
        <f aca="false">IFERROR(__xludf.dummyfunction("""COMPUTED_VALUE"""),"確認しました")</f>
        <v>確認しました</v>
      </c>
      <c r="AI477" s="6"/>
      <c r="AJ477" s="6" t="str">
        <v/>
      </c>
      <c r="AK477" s="6" t="str">
        <v/>
      </c>
      <c r="AL477" s="6" t="str">
        <v/>
      </c>
      <c r="AM477" s="6" t="str">
        <v/>
      </c>
      <c r="AN477" s="6" t="n">
        <f aca="false">FALSE()</f>
        <v>0</v>
      </c>
    </row>
    <row r="478" customFormat="false" ht="52.5" hidden="false" customHeight="true" outlineLevel="0" collapsed="false">
      <c r="A478" s="6" t="str">
        <f aca="false">IFERROR(__xludf.dummyfunction("""COMPUTED_VALUE"""),"2026/03/28 17:34:59")</f>
        <v>2026/03/28 17:34:59</v>
      </c>
      <c r="B478" s="6"/>
      <c r="C478" s="6" t="str">
        <f aca="false">IFERROR(__xludf.dummyfunction("""COMPUTED_VALUE"""),"71941")</f>
        <v>71941</v>
      </c>
      <c r="D478" s="6"/>
      <c r="E478" s="6"/>
      <c r="F478" s="6"/>
      <c r="G478" s="6" t="str">
        <f aca="false">IFERROR(__xludf.dummyfunction("""COMPUTED_VALUE"""),"2026/04/06")</f>
        <v>2026/04/06</v>
      </c>
      <c r="H478" s="6" t="str">
        <f aca="false">IFERROR(__xludf.dummyfunction("""COMPUTED_VALUE"""),"必要")</f>
        <v>必要</v>
      </c>
      <c r="I478" s="6" t="str">
        <f aca="false">IFERROR(__xludf.dummyfunction("""COMPUTED_VALUE"""),"男性")</f>
        <v>男性</v>
      </c>
      <c r="J478" s="6" t="str">
        <f aca="false">IFERROR(__xludf.dummyfunction("""COMPUTED_VALUE"""),"日本")</f>
        <v>日本</v>
      </c>
      <c r="K478" s="6" t="str">
        <f aca="false">IFERROR(__xludf.dummyfunction("""COMPUTED_VALUE"""),"20")</f>
        <v>20</v>
      </c>
      <c r="L478" s="6" t="str">
        <f aca="false">IFERROR(__xludf.dummyfunction("""COMPUTED_VALUE"""),"未定")</f>
        <v>未定</v>
      </c>
      <c r="M478" s="6" t="str">
        <f aca="false">IFERROR(__xludf.dummyfunction("""COMPUTED_VALUE"""),"未定")</f>
        <v>未定</v>
      </c>
      <c r="N478" s="6"/>
      <c r="O478" s="6" t="str">
        <f aca="false">IFERROR(__xludf.dummyfunction("""COMPUTED_VALUE"""),"不要")</f>
        <v>不要</v>
      </c>
      <c r="P478" s="6"/>
      <c r="Q478" s="6"/>
      <c r="R478" s="6"/>
      <c r="S478" s="6" t="str">
        <f aca="false">IFERROR(__xludf.dummyfunction("""COMPUTED_VALUE"""),"家具家電なし社宅")</f>
        <v>家具家電なし社宅</v>
      </c>
      <c r="T478" s="6" t="str">
        <f aca="false">IFERROR(__xludf.dummyfunction("""COMPUTED_VALUE"""),"利用しない")</f>
        <v>利用しない</v>
      </c>
      <c r="U478" s="6"/>
      <c r="V478" s="6" t="str">
        <f aca="false">IFERROR(__xludf.dummyfunction("""COMPUTED_VALUE"""),"電車, バス")</f>
        <v>電車, バス</v>
      </c>
      <c r="W478" s="6"/>
      <c r="X478" s="6" t="str">
        <f aca="false">IFERROR(__xludf.dummyfunction("""COMPUTED_VALUE"""),"実家")</f>
        <v>実家</v>
      </c>
      <c r="Y478" s="6"/>
      <c r="Z478" s="6" t="str">
        <f aca="false">IFERROR(__xludf.dummyfunction("""COMPUTED_VALUE"""),"希望する")</f>
        <v>希望する</v>
      </c>
      <c r="AA478" s="6" t="str">
        <f aca="false">IFERROR(__xludf.dummyfunction("""COMPUTED_VALUE"""),"単身")</f>
        <v>単身</v>
      </c>
      <c r="AB478" s="6"/>
      <c r="AC478" s="6"/>
      <c r="AD478" s="6" t="str">
        <f aca="false">IFERROR(__xludf.dummyfunction("""COMPUTED_VALUE"""),"トイレ、風呂別
2階以上")</f>
        <v>トイレ、風呂別
2階以上</v>
      </c>
      <c r="AE478" s="6" t="str">
        <f aca="false">IFERROR(__xludf.dummyfunction("""COMPUTED_VALUE"""),"確認しました。")</f>
        <v>確認しました。</v>
      </c>
      <c r="AF478" s="6" t="str">
        <f aca="false">IFERROR(__xludf.dummyfunction("""COMPUTED_VALUE"""),"社宅基準の内容について確認しました")</f>
        <v>社宅基準の内容について確認しました</v>
      </c>
      <c r="AG478" s="6" t="str">
        <f aca="false">IFERROR(__xludf.dummyfunction("""COMPUTED_VALUE"""),"入居のしおりの内容についてご確認しました")</f>
        <v>入居のしおりの内容についてご確認しました</v>
      </c>
      <c r="AH478" s="6" t="str">
        <f aca="false">IFERROR(__xludf.dummyfunction("""COMPUTED_VALUE"""),"確認しました")</f>
        <v>確認しました</v>
      </c>
      <c r="AI478" s="6"/>
      <c r="AJ478" s="6" t="str">
        <v/>
      </c>
      <c r="AK478" s="6" t="str">
        <v/>
      </c>
      <c r="AL478" s="6" t="str">
        <v/>
      </c>
      <c r="AM478" s="6" t="str">
        <v/>
      </c>
      <c r="AN478" s="6" t="n">
        <f aca="false">FALSE()</f>
        <v>0</v>
      </c>
    </row>
    <row r="479" customFormat="false" ht="52.5" hidden="false" customHeight="true" outlineLevel="0" collapsed="false">
      <c r="A479" s="6" t="str">
        <f aca="false">IFERROR(__xludf.dummyfunction("""COMPUTED_VALUE"""),"2026/03/28 20:45:21")</f>
        <v>2026/03/28 20:45:21</v>
      </c>
      <c r="B479" s="6"/>
      <c r="C479" s="6" t="str">
        <f aca="false">IFERROR(__xludf.dummyfunction("""COMPUTED_VALUE"""),"71936")</f>
        <v>71936</v>
      </c>
      <c r="D479" s="6"/>
      <c r="E479" s="6"/>
      <c r="F479" s="6"/>
      <c r="G479" s="6" t="str">
        <f aca="false">IFERROR(__xludf.dummyfunction("""COMPUTED_VALUE"""),"2026/04/08")</f>
        <v>2026/04/08</v>
      </c>
      <c r="H479" s="6" t="str">
        <f aca="false">IFERROR(__xludf.dummyfunction("""COMPUTED_VALUE"""),"必要")</f>
        <v>必要</v>
      </c>
      <c r="I479" s="6" t="str">
        <f aca="false">IFERROR(__xludf.dummyfunction("""COMPUTED_VALUE"""),"男性")</f>
        <v>男性</v>
      </c>
      <c r="J479" s="6" t="str">
        <f aca="false">IFERROR(__xludf.dummyfunction("""COMPUTED_VALUE"""),"日本")</f>
        <v>日本</v>
      </c>
      <c r="K479" s="6" t="str">
        <f aca="false">IFERROR(__xludf.dummyfunction("""COMPUTED_VALUE"""),"40")</f>
        <v>40</v>
      </c>
      <c r="L479" s="6" t="str">
        <f aca="false">IFERROR(__xludf.dummyfunction("""COMPUTED_VALUE"""),"単身用2ドア157L、縦型洗濯機7kg、電子レンジ、オーブントースター、掃除機、19型テレビ、炊飯器1升炊き、除湿器、パソコン3台、モニター3台、プリンター")</f>
        <v>単身用2ドア157L、縦型洗濯機7kg、電子レンジ、オーブントースター、掃除機、19型テレビ、炊飯器1升炊き、除湿器、パソコン3台、モニター3台、プリンター</v>
      </c>
      <c r="M479" s="6" t="str">
        <f aca="false">IFERROR(__xludf.dummyfunction("""COMPUTED_VALUE"""),"L型パソコンデスク、ゲーミングチェア、コタツテーブル、洋服収納ボックス4段と5段一つずつ（幅60センチ程）、掛け布団とマットレス1式")</f>
        <v>L型パソコンデスク、ゲーミングチェア、コタツテーブル、洋服収納ボックス4段と5段一つずつ（幅60センチ程）、掛け布団とマットレス1式</v>
      </c>
      <c r="N479" s="6" t="str">
        <f aca="false">IFERROR(__xludf.dummyfunction("""COMPUTED_VALUE"""),"自転車1台")</f>
        <v>自転車1台</v>
      </c>
      <c r="O479" s="6" t="str">
        <f aca="false">IFERROR(__xludf.dummyfunction("""COMPUTED_VALUE"""),"必要")</f>
        <v>必要</v>
      </c>
      <c r="P479" s="6" t="str">
        <f aca="false">IFERROR(__xludf.dummyfunction("""COMPUTED_VALUE"""),"アルト")</f>
        <v>アルト</v>
      </c>
      <c r="Q479" s="6" t="str">
        <f aca="false">IFERROR(__xludf.dummyfunction("""COMPUTED_VALUE"""),"や42-31")</f>
        <v>や42-31</v>
      </c>
      <c r="R479" s="6" t="str">
        <f aca="false">IFERROR(__xludf.dummyfunction("""COMPUTED_VALUE"""),"ブラック")</f>
        <v>ブラック</v>
      </c>
      <c r="S479" s="6" t="str">
        <f aca="false">IFERROR(__xludf.dummyfunction("""COMPUTED_VALUE"""),"家具家電なし社宅")</f>
        <v>家具家電なし社宅</v>
      </c>
      <c r="T479" s="6" t="str">
        <f aca="false">IFERROR(__xludf.dummyfunction("""COMPUTED_VALUE"""),"利用しない")</f>
        <v>利用しない</v>
      </c>
      <c r="U479" s="6"/>
      <c r="V479" s="6" t="str">
        <f aca="false">IFERROR(__xludf.dummyfunction("""COMPUTED_VALUE"""),"徒歩, バス")</f>
        <v>徒歩, バス</v>
      </c>
      <c r="W479" s="6"/>
      <c r="X479" s="6" t="str">
        <f aca="false">IFERROR(__xludf.dummyfunction("""COMPUTED_VALUE"""),"株式会社ビーネックステクノロジーズの社宅")</f>
        <v>株式会社ビーネックステクノロジーズの社宅</v>
      </c>
      <c r="Y479" s="6" t="str">
        <f aca="false">IFERROR(__xludf.dummyfunction("""COMPUTED_VALUE"""),"利用なし")</f>
        <v>利用なし</v>
      </c>
      <c r="Z479" s="6" t="str">
        <f aca="false">IFERROR(__xludf.dummyfunction("""COMPUTED_VALUE"""),"希望する")</f>
        <v>希望する</v>
      </c>
      <c r="AA479" s="6" t="str">
        <f aca="false">IFERROR(__xludf.dummyfunction("""COMPUTED_VALUE"""),"単身")</f>
        <v>単身</v>
      </c>
      <c r="AB479" s="6"/>
      <c r="AC479" s="6"/>
      <c r="AD479" s="6" t="str">
        <f aca="false">IFERROR(__xludf.dummyfunction("""COMPUTED_VALUE"""),"会社とも話はついていて、派遣先の通勤方法に対応する為こちらで最善な物件を選びますので取り扱い店舗とのご調整をお願い致します。")</f>
        <v>会社とも話はついていて、派遣先の通勤方法に対応する為こちらで最善な物件を選びますので取り扱い店舗とのご調整をお願い致します。</v>
      </c>
      <c r="AE479" s="6" t="str">
        <f aca="false">IFERROR(__xludf.dummyfunction("""COMPUTED_VALUE"""),"確認しました。")</f>
        <v>確認しました。</v>
      </c>
      <c r="AF479" s="6" t="str">
        <f aca="false">IFERROR(__xludf.dummyfunction("""COMPUTED_VALUE"""),"社宅基準の内容について確認しました")</f>
        <v>社宅基準の内容について確認しました</v>
      </c>
      <c r="AG479" s="6" t="str">
        <f aca="false">IFERROR(__xludf.dummyfunction("""COMPUTED_VALUE"""),"入居のしおりの内容についてご確認しました")</f>
        <v>入居のしおりの内容についてご確認しました</v>
      </c>
      <c r="AH479" s="6" t="str">
        <f aca="false">IFERROR(__xludf.dummyfunction("""COMPUTED_VALUE"""),"確認しました")</f>
        <v>確認しました</v>
      </c>
      <c r="AI479" s="6"/>
      <c r="AJ479" s="6" t="str">
        <v/>
      </c>
      <c r="AK479" s="6" t="str">
        <v/>
      </c>
      <c r="AL479" s="6" t="str">
        <v/>
      </c>
      <c r="AM479" s="6" t="str">
        <v/>
      </c>
      <c r="AN479" s="6" t="n">
        <f aca="false">FALSE()</f>
        <v>0</v>
      </c>
    </row>
    <row r="480" customFormat="false" ht="52.5" hidden="false" customHeight="true" outlineLevel="0" collapsed="false">
      <c r="A480" s="6" t="str">
        <f aca="false">IFERROR(__xludf.dummyfunction("""COMPUTED_VALUE"""),"2026/03/28 21:32:46")</f>
        <v>2026/03/28 21:32:46</v>
      </c>
      <c r="B480" s="6"/>
      <c r="C480" s="6" t="str">
        <f aca="false">IFERROR(__xludf.dummyfunction("""COMPUTED_VALUE"""),"71863")</f>
        <v>71863</v>
      </c>
      <c r="D480" s="6"/>
      <c r="E480" s="6"/>
      <c r="F480" s="6"/>
      <c r="G480" s="6" t="str">
        <f aca="false">IFERROR(__xludf.dummyfunction("""COMPUTED_VALUE"""),"2026/05/02")</f>
        <v>2026/05/02</v>
      </c>
      <c r="H480" s="6" t="str">
        <f aca="false">IFERROR(__xludf.dummyfunction("""COMPUTED_VALUE"""),"必要")</f>
        <v>必要</v>
      </c>
      <c r="I480" s="6" t="str">
        <f aca="false">IFERROR(__xludf.dummyfunction("""COMPUTED_VALUE"""),"男性")</f>
        <v>男性</v>
      </c>
      <c r="J480" s="6" t="str">
        <f aca="false">IFERROR(__xludf.dummyfunction("""COMPUTED_VALUE"""),"日本")</f>
        <v>日本</v>
      </c>
      <c r="K480" s="6" t="str">
        <f aca="false">IFERROR(__xludf.dummyfunction("""COMPUTED_VALUE"""),"20")</f>
        <v>20</v>
      </c>
      <c r="L480" s="6" t="str">
        <f aca="false">IFERROR(__xludf.dummyfunction("""COMPUTED_VALUE"""),"掃除機、トースター、モニター、PS5")</f>
        <v>掃除機、トースター、モニター、PS5</v>
      </c>
      <c r="M480" s="6" t="str">
        <f aca="false">IFERROR(__xludf.dummyfunction("""COMPUTED_VALUE"""),"シングルの敷布団、掛布団、
ローテーブル(100×60×40)")</f>
        <v>シングルの敷布団、掛布団、
ローテーブル(100×60×40)</v>
      </c>
      <c r="N480" s="6" t="str">
        <f aca="false">IFERROR(__xludf.dummyfunction("""COMPUTED_VALUE"""),"ダーツボードのスタンド(棚付き)")</f>
        <v>ダーツボードのスタンド(棚付き)</v>
      </c>
      <c r="O480" s="6" t="str">
        <f aca="false">IFERROR(__xludf.dummyfunction("""COMPUTED_VALUE"""),"不要")</f>
        <v>不要</v>
      </c>
      <c r="P480" s="6"/>
      <c r="Q480" s="6"/>
      <c r="R480" s="6"/>
      <c r="S480" s="6" t="str">
        <f aca="false">IFERROR(__xludf.dummyfunction("""COMPUTED_VALUE"""),"家具家電なし社宅")</f>
        <v>家具家電なし社宅</v>
      </c>
      <c r="T480" s="6" t="str">
        <f aca="false">IFERROR(__xludf.dummyfunction("""COMPUTED_VALUE"""),"利用しない")</f>
        <v>利用しない</v>
      </c>
      <c r="U480" s="6"/>
      <c r="V480" s="6" t="str">
        <f aca="false">IFERROR(__xludf.dummyfunction("""COMPUTED_VALUE"""),"電車")</f>
        <v>電車</v>
      </c>
      <c r="W480" s="6"/>
      <c r="X480" s="6" t="str">
        <f aca="false">IFERROR(__xludf.dummyfunction("""COMPUTED_VALUE"""),"株式会社ビーネックステクノロジーズの社宅")</f>
        <v>株式会社ビーネックステクノロジーズの社宅</v>
      </c>
      <c r="Y480" s="6" t="str">
        <f aca="false">IFERROR(__xludf.dummyfunction("""COMPUTED_VALUE"""),"回収希望")</f>
        <v>回収希望</v>
      </c>
      <c r="Z480" s="6" t="str">
        <f aca="false">IFERROR(__xludf.dummyfunction("""COMPUTED_VALUE"""),"希望する")</f>
        <v>希望する</v>
      </c>
      <c r="AA480" s="6" t="str">
        <f aca="false">IFERROR(__xludf.dummyfunction("""COMPUTED_VALUE"""),"単身")</f>
        <v>単身</v>
      </c>
      <c r="AB480" s="6"/>
      <c r="AC480" s="6"/>
      <c r="AD480" s="6" t="str">
        <f aca="false">IFERROR(__xludf.dummyfunction("""COMPUTED_VALUE"""),"風呂トイレ別の物件が良いです。
")</f>
        <v>風呂トイレ別の物件が良いです。
</v>
      </c>
      <c r="AE480" s="6" t="str">
        <f aca="false">IFERROR(__xludf.dummyfunction("""COMPUTED_VALUE"""),"確認しました。")</f>
        <v>確認しました。</v>
      </c>
      <c r="AF480" s="6" t="str">
        <f aca="false">IFERROR(__xludf.dummyfunction("""COMPUTED_VALUE"""),"社宅基準の内容について確認しました")</f>
        <v>社宅基準の内容について確認しました</v>
      </c>
      <c r="AG480" s="6" t="str">
        <f aca="false">IFERROR(__xludf.dummyfunction("""COMPUTED_VALUE"""),"入居のしおりの内容についてご確認しました")</f>
        <v>入居のしおりの内容についてご確認しました</v>
      </c>
      <c r="AH480" s="6" t="str">
        <f aca="false">IFERROR(__xludf.dummyfunction("""COMPUTED_VALUE"""),"確認しました")</f>
        <v>確認しました</v>
      </c>
      <c r="AI480" s="6"/>
      <c r="AJ480" s="6" t="str">
        <v/>
      </c>
      <c r="AK480" s="6" t="str">
        <v/>
      </c>
      <c r="AL480" s="6" t="str">
        <v/>
      </c>
      <c r="AM480" s="6" t="str">
        <v/>
      </c>
      <c r="AN480" s="6" t="n">
        <f aca="false">FALSE()</f>
        <v>0</v>
      </c>
    </row>
    <row r="481" customFormat="false" ht="52.5" hidden="false" customHeight="true" outlineLevel="0" collapsed="false">
      <c r="A481" s="6" t="str">
        <f aca="false">IFERROR(__xludf.dummyfunction("""COMPUTED_VALUE"""),"2026/03/29 0:43:36")</f>
        <v>2026/03/29 0:43:36</v>
      </c>
      <c r="B481" s="6"/>
      <c r="C481" s="6" t="str">
        <f aca="false">IFERROR(__xludf.dummyfunction("""COMPUTED_VALUE"""),"71867")</f>
        <v>71867</v>
      </c>
      <c r="D481" s="6"/>
      <c r="E481" s="6"/>
      <c r="F481" s="6"/>
      <c r="G481" s="6" t="str">
        <f aca="false">IFERROR(__xludf.dummyfunction("""COMPUTED_VALUE"""),"2026/06/01")</f>
        <v>2026/06/01</v>
      </c>
      <c r="H481" s="6" t="str">
        <f aca="false">IFERROR(__xludf.dummyfunction("""COMPUTED_VALUE"""),"必要")</f>
        <v>必要</v>
      </c>
      <c r="I481" s="6" t="str">
        <f aca="false">IFERROR(__xludf.dummyfunction("""COMPUTED_VALUE"""),"男性")</f>
        <v>男性</v>
      </c>
      <c r="J481" s="6" t="str">
        <f aca="false">IFERROR(__xludf.dummyfunction("""COMPUTED_VALUE"""),"日本")</f>
        <v>日本</v>
      </c>
      <c r="K481" s="6" t="str">
        <f aca="false">IFERROR(__xludf.dummyfunction("""COMPUTED_VALUE"""),"20")</f>
        <v>20</v>
      </c>
      <c r="L481" s="6" t="str">
        <f aca="false">IFERROR(__xludf.dummyfunction("""COMPUTED_VALUE"""),"冷蔵庫単身用(2ドア)、レンジ、オーブントースター、炊飯器、ウォーターサーバー、テレビ")</f>
        <v>冷蔵庫単身用(2ドア)、レンジ、オーブントースター、炊飯器、ウォーターサーバー、テレビ</v>
      </c>
      <c r="M481" s="6" t="str">
        <f aca="false">IFERROR(__xludf.dummyfunction("""COMPUTED_VALUE"""),"キッチンラック（幅80×奥行40×高さ167cm）、テレビスタンド（本体サイズ:65×奥行40×高さ143.4cm）、折りたたみテーブル（幅120cm x奥行60cm 高さ74cm）、ソファベッド（幅210×奥行141×高さ86cm）")</f>
        <v>キッチンラック（幅80×奥行40×高さ167cm）、テレビスタンド（本体サイズ:65×奥行40×高さ143.4cm）、折りたたみテーブル（幅120cm x奥行60cm 高さ74cm）、ソファベッド（幅210×奥行141×高さ86cm）</v>
      </c>
      <c r="N481" s="6" t="str">
        <f aca="false">IFERROR(__xludf.dummyfunction("""COMPUTED_VALUE"""),"電子機器（サウンドバー、ゲーム機等）")</f>
        <v>電子機器（サウンドバー、ゲーム機等）</v>
      </c>
      <c r="O481" s="6" t="str">
        <f aca="false">IFERROR(__xludf.dummyfunction("""COMPUTED_VALUE"""),"不要")</f>
        <v>不要</v>
      </c>
      <c r="P481" s="6"/>
      <c r="Q481" s="6"/>
      <c r="R481" s="6"/>
      <c r="S481" s="6" t="str">
        <f aca="false">IFERROR(__xludf.dummyfunction("""COMPUTED_VALUE"""),"家具家電なし社宅")</f>
        <v>家具家電なし社宅</v>
      </c>
      <c r="T481" s="6" t="str">
        <f aca="false">IFERROR(__xludf.dummyfunction("""COMPUTED_VALUE"""),"利用しない")</f>
        <v>利用しない</v>
      </c>
      <c r="U481" s="6"/>
      <c r="V481" s="6" t="str">
        <f aca="false">IFERROR(__xludf.dummyfunction("""COMPUTED_VALUE"""),"徒歩, バス")</f>
        <v>徒歩, バス</v>
      </c>
      <c r="W481" s="6"/>
      <c r="X481" s="6" t="str">
        <f aca="false">IFERROR(__xludf.dummyfunction("""COMPUTED_VALUE"""),"株式会社ビーネックステクノロジーズの社宅")</f>
        <v>株式会社ビーネックステクノロジーズの社宅</v>
      </c>
      <c r="Y481" s="6" t="str">
        <f aca="false">IFERROR(__xludf.dummyfunction("""COMPUTED_VALUE"""),"利用なし")</f>
        <v>利用なし</v>
      </c>
      <c r="Z481" s="6" t="str">
        <f aca="false">IFERROR(__xludf.dummyfunction("""COMPUTED_VALUE"""),"希望しない")</f>
        <v>希望しない</v>
      </c>
      <c r="AA481" s="6" t="str">
        <f aca="false">IFERROR(__xludf.dummyfunction("""COMPUTED_VALUE"""),"単身")</f>
        <v>単身</v>
      </c>
      <c r="AB481" s="6"/>
      <c r="AC481" s="6"/>
      <c r="AD481" s="6"/>
      <c r="AE481" s="6" t="str">
        <f aca="false">IFERROR(__xludf.dummyfunction("""COMPUTED_VALUE"""),"確認しました。")</f>
        <v>確認しました。</v>
      </c>
      <c r="AF481" s="6" t="str">
        <f aca="false">IFERROR(__xludf.dummyfunction("""COMPUTED_VALUE"""),"社宅基準の内容について確認しました")</f>
        <v>社宅基準の内容について確認しました</v>
      </c>
      <c r="AG481" s="6" t="str">
        <f aca="false">IFERROR(__xludf.dummyfunction("""COMPUTED_VALUE"""),"入居のしおりの内容についてご確認しました")</f>
        <v>入居のしおりの内容についてご確認しました</v>
      </c>
      <c r="AH481" s="6" t="str">
        <f aca="false">IFERROR(__xludf.dummyfunction("""COMPUTED_VALUE"""),"確認しました")</f>
        <v>確認しました</v>
      </c>
      <c r="AI481" s="6"/>
      <c r="AJ481" s="6" t="str">
        <v/>
      </c>
      <c r="AK481" s="6" t="str">
        <v/>
      </c>
      <c r="AL481" s="6" t="str">
        <v/>
      </c>
      <c r="AM481" s="6" t="str">
        <v/>
      </c>
      <c r="AN481" s="6" t="n">
        <f aca="false">FALSE()</f>
        <v>0</v>
      </c>
    </row>
    <row r="482" customFormat="false" ht="52.5" hidden="false" customHeight="true" outlineLevel="0" collapsed="false">
      <c r="A482" s="6" t="str">
        <f aca="false">IFERROR(__xludf.dummyfunction("""COMPUTED_VALUE"""),"2026/03/29 23:47:44")</f>
        <v>2026/03/29 23:47:44</v>
      </c>
      <c r="B482" s="6"/>
      <c r="C482" s="6" t="str">
        <f aca="false">IFERROR(__xludf.dummyfunction("""COMPUTED_VALUE"""),"71949")</f>
        <v>71949</v>
      </c>
      <c r="D482" s="6"/>
      <c r="E482" s="6"/>
      <c r="F482" s="6"/>
      <c r="G482" s="6" t="str">
        <f aca="false">IFERROR(__xludf.dummyfunction("""COMPUTED_VALUE"""),"2026/04/30")</f>
        <v>2026/04/30</v>
      </c>
      <c r="H482" s="6" t="str">
        <f aca="false">IFERROR(__xludf.dummyfunction("""COMPUTED_VALUE"""),"必要")</f>
        <v>必要</v>
      </c>
      <c r="I482" s="6" t="str">
        <f aca="false">IFERROR(__xludf.dummyfunction("""COMPUTED_VALUE"""),"男性")</f>
        <v>男性</v>
      </c>
      <c r="J482" s="6" t="str">
        <f aca="false">IFERROR(__xludf.dummyfunction("""COMPUTED_VALUE"""),"日本")</f>
        <v>日本</v>
      </c>
      <c r="K482" s="6" t="str">
        <f aca="false">IFERROR(__xludf.dummyfunction("""COMPUTED_VALUE"""),"4")</f>
        <v>4</v>
      </c>
      <c r="L482" s="6" t="str">
        <f aca="false">IFERROR(__xludf.dummyfunction("""COMPUTED_VALUE"""),"単身用冷蔵庫")</f>
        <v>単身用冷蔵庫</v>
      </c>
      <c r="M482" s="6" t="str">
        <f aca="false">IFERROR(__xludf.dummyfunction("""COMPUTED_VALUE"""),"・机72×95 ・机 53×120 ・ルミナスラック174×90・ソファ（1人）90×150・洗濯機80×50")</f>
        <v>・机72×95 ・机 53×120 ・ルミナスラック174×90・ソファ（1人）90×150・洗濯機80×50</v>
      </c>
      <c r="N482" s="6" t="str">
        <f aca="false">IFERROR(__xludf.dummyfunction("""COMPUTED_VALUE"""),"・デスクトップPC ・モニター2台・テレビモニター・キャスター付きチェア1台　簡易折りたたみテーブル2つ")</f>
        <v>・デスクトップPC ・モニター2台・テレビモニター・キャスター付きチェア1台　簡易折りたたみテーブル2つ</v>
      </c>
      <c r="O482" s="6" t="str">
        <f aca="false">IFERROR(__xludf.dummyfunction("""COMPUTED_VALUE"""),"不要")</f>
        <v>不要</v>
      </c>
      <c r="P482" s="6"/>
      <c r="Q482" s="6"/>
      <c r="R482" s="6"/>
      <c r="S482" s="6" t="str">
        <f aca="false">IFERROR(__xludf.dummyfunction("""COMPUTED_VALUE"""),"家具家電なし社宅")</f>
        <v>家具家電なし社宅</v>
      </c>
      <c r="T482" s="6" t="str">
        <f aca="false">IFERROR(__xludf.dummyfunction("""COMPUTED_VALUE"""),"利用しない")</f>
        <v>利用しない</v>
      </c>
      <c r="U482" s="6"/>
      <c r="V482" s="6" t="str">
        <f aca="false">IFERROR(__xludf.dummyfunction("""COMPUTED_VALUE"""),"徒歩, 電車, 社用バス")</f>
        <v>徒歩, 電車, 社用バス</v>
      </c>
      <c r="W482" s="6"/>
      <c r="X482" s="6" t="str">
        <f aca="false">IFERROR(__xludf.dummyfunction("""COMPUTED_VALUE"""),"株式会社ビーネックステクノロジーズの社宅")</f>
        <v>株式会社ビーネックステクノロジーズの社宅</v>
      </c>
      <c r="Y482" s="6" t="str">
        <f aca="false">IFERROR(__xludf.dummyfunction("""COMPUTED_VALUE"""),"利用なし")</f>
        <v>利用なし</v>
      </c>
      <c r="Z482" s="6" t="str">
        <f aca="false">IFERROR(__xludf.dummyfunction("""COMPUTED_VALUE"""),"希望しない")</f>
        <v>希望しない</v>
      </c>
      <c r="AA482" s="6" t="str">
        <f aca="false">IFERROR(__xludf.dummyfunction("""COMPUTED_VALUE"""),"単身")</f>
        <v>単身</v>
      </c>
      <c r="AB482" s="6"/>
      <c r="AC482" s="6"/>
      <c r="AD482" s="6" t="str">
        <f aca="false">IFERROR(__xludf.dummyfunction("""COMPUTED_VALUE"""),"・夜間に友人と通話するため、壁の厚さがあるか、角部屋など深夜帯の話し声で迷惑をかけないところ（叫んだり大声を出したりはしません。あくまでトーンを落としての喋り声ですが低音の声になるため響くかもしれないです。）
・キッチンに調理スペースがあるところ
・個人でコミュファ光を契約しているため引っ越し先でも再契約予定です")</f>
        <v>・夜間に友人と通話するため、壁の厚さがあるか、角部屋など深夜帯の話し声で迷惑をかけないところ（叫んだり大声を出したりはしません。あくまでトーンを落としての喋り声ですが低音の声になるため響くかもしれないです。）
・キッチンに調理スペースがあるところ
・個人でコミュファ光を契約しているため引っ越し先でも再契約予定です</v>
      </c>
      <c r="AE482" s="6" t="str">
        <f aca="false">IFERROR(__xludf.dummyfunction("""COMPUTED_VALUE"""),"確認しました。")</f>
        <v>確認しました。</v>
      </c>
      <c r="AF482" s="6" t="str">
        <f aca="false">IFERROR(__xludf.dummyfunction("""COMPUTED_VALUE"""),"社宅基準の内容について確認しました")</f>
        <v>社宅基準の内容について確認しました</v>
      </c>
      <c r="AG482" s="6" t="str">
        <f aca="false">IFERROR(__xludf.dummyfunction("""COMPUTED_VALUE"""),"入居のしおりの内容についてご確認しました")</f>
        <v>入居のしおりの内容についてご確認しました</v>
      </c>
      <c r="AH482" s="6" t="str">
        <f aca="false">IFERROR(__xludf.dummyfunction("""COMPUTED_VALUE"""),"確認しました")</f>
        <v>確認しました</v>
      </c>
      <c r="AI482" s="6"/>
      <c r="AJ482" s="6" t="str">
        <v/>
      </c>
      <c r="AK482" s="6" t="str">
        <v/>
      </c>
      <c r="AL482" s="6" t="str">
        <v/>
      </c>
      <c r="AM482" s="6" t="str">
        <v/>
      </c>
      <c r="AN482" s="6" t="n">
        <f aca="false">FALSE()</f>
        <v>0</v>
      </c>
    </row>
    <row r="483" customFormat="false" ht="52.5" hidden="false" customHeight="true" outlineLevel="0" collapsed="false">
      <c r="A483" s="6" t="str">
        <f aca="false">IFERROR(__xludf.dummyfunction("""COMPUTED_VALUE"""),"2026/03/30 11:04:21")</f>
        <v>2026/03/30 11:04:21</v>
      </c>
      <c r="B483" s="6"/>
      <c r="C483" s="6" t="str">
        <f aca="false">IFERROR(__xludf.dummyfunction("""COMPUTED_VALUE"""),"71962")</f>
        <v>71962</v>
      </c>
      <c r="D483" s="6"/>
      <c r="E483" s="6"/>
      <c r="F483" s="6"/>
      <c r="G483" s="6" t="str">
        <f aca="false">IFERROR(__xludf.dummyfunction("""COMPUTED_VALUE"""),"2026/04/08")</f>
        <v>2026/04/08</v>
      </c>
      <c r="H483" s="6" t="str">
        <f aca="false">IFERROR(__xludf.dummyfunction("""COMPUTED_VALUE"""),"必要")</f>
        <v>必要</v>
      </c>
      <c r="I483" s="6" t="str">
        <f aca="false">IFERROR(__xludf.dummyfunction("""COMPUTED_VALUE"""),"女性")</f>
        <v>女性</v>
      </c>
      <c r="J483" s="6" t="str">
        <f aca="false">IFERROR(__xludf.dummyfunction("""COMPUTED_VALUE"""),"日本")</f>
        <v>日本</v>
      </c>
      <c r="K483" s="6" t="str">
        <f aca="false">IFERROR(__xludf.dummyfunction("""COMPUTED_VALUE"""),"20")</f>
        <v>20</v>
      </c>
      <c r="L483" s="6" t="str">
        <f aca="false">IFERROR(__xludf.dummyfunction("""COMPUTED_VALUE"""),"冷蔵庫(単身用)、洗濯機(縦型)、電子レンジ、ポット、掃除機、テレビ")</f>
        <v>冷蔵庫(単身用)、洗濯機(縦型)、電子レンジ、ポット、掃除機、テレビ</v>
      </c>
      <c r="M483" s="6" t="str">
        <f aca="false">IFERROR(__xludf.dummyfunction("""COMPUTED_VALUE"""),"ベッド(シングル)、布団、毛布、テレビ台(120㎝ほど)、レンジラック(横60〜70㎝、縦180〜200㎝以下)、こたつテーブル、ダイニングテーブル(1〜2人用)、椅子2脚、タンス大きめ、サイドテーブル(小さめ)、本棚(小さめ)、サイドワゴン3個(小さめ)、キャリーケース3個(大、中、小)、カーテン")</f>
        <v>ベッド(シングル)、布団、毛布、テレビ台(120㎝ほど)、レンジラック(横60〜70㎝、縦180〜200㎝以下)、こたつテーブル、ダイニングテーブル(1〜2人用)、椅子2脚、タンス大きめ、サイドテーブル(小さめ)、本棚(小さめ)、サイドワゴン3個(小さめ)、キャリーケース3個(大、中、小)、カーテン</v>
      </c>
      <c r="N483" s="6" t="str">
        <f aca="false">IFERROR(__xludf.dummyfunction("""COMPUTED_VALUE"""),"自転車")</f>
        <v>自転車</v>
      </c>
      <c r="O483" s="6" t="str">
        <f aca="false">IFERROR(__xludf.dummyfunction("""COMPUTED_VALUE"""),"不要")</f>
        <v>不要</v>
      </c>
      <c r="P483" s="6"/>
      <c r="Q483" s="6"/>
      <c r="R483" s="6"/>
      <c r="S483" s="6" t="str">
        <f aca="false">IFERROR(__xludf.dummyfunction("""COMPUTED_VALUE"""),"家具家電なし社宅")</f>
        <v>家具家電なし社宅</v>
      </c>
      <c r="T483" s="6" t="str">
        <f aca="false">IFERROR(__xludf.dummyfunction("""COMPUTED_VALUE"""),"利用しない")</f>
        <v>利用しない</v>
      </c>
      <c r="U483" s="6"/>
      <c r="V483" s="6" t="str">
        <f aca="false">IFERROR(__xludf.dummyfunction("""COMPUTED_VALUE"""),"徒歩, 自転車, バス")</f>
        <v>徒歩, 自転車, バス</v>
      </c>
      <c r="W483" s="6"/>
      <c r="X483" s="6" t="str">
        <f aca="false">IFERROR(__xludf.dummyfunction("""COMPUTED_VALUE"""),"ご自身で契約中の物件")</f>
        <v>ご自身で契約中の物件</v>
      </c>
      <c r="Y483" s="6"/>
      <c r="Z483" s="6" t="str">
        <f aca="false">IFERROR(__xludf.dummyfunction("""COMPUTED_VALUE"""),"希望する")</f>
        <v>希望する</v>
      </c>
      <c r="AA483" s="6" t="str">
        <f aca="false">IFERROR(__xludf.dummyfunction("""COMPUTED_VALUE"""),"単身")</f>
        <v>単身</v>
      </c>
      <c r="AB483" s="6"/>
      <c r="AC483" s="6"/>
      <c r="AD483" s="6"/>
      <c r="AE483" s="6" t="str">
        <f aca="false">IFERROR(__xludf.dummyfunction("""COMPUTED_VALUE"""),"確認しました。")</f>
        <v>確認しました。</v>
      </c>
      <c r="AF483" s="6" t="str">
        <f aca="false">IFERROR(__xludf.dummyfunction("""COMPUTED_VALUE"""),"社宅基準の内容について確認しました")</f>
        <v>社宅基準の内容について確認しました</v>
      </c>
      <c r="AG483" s="6" t="str">
        <f aca="false">IFERROR(__xludf.dummyfunction("""COMPUTED_VALUE"""),"入居のしおりの内容についてご確認しました")</f>
        <v>入居のしおりの内容についてご確認しました</v>
      </c>
      <c r="AH483" s="6" t="str">
        <f aca="false">IFERROR(__xludf.dummyfunction("""COMPUTED_VALUE"""),"確認しました")</f>
        <v>確認しました</v>
      </c>
      <c r="AI483" s="6"/>
      <c r="AJ483" s="6" t="str">
        <v/>
      </c>
      <c r="AK483" s="6" t="str">
        <v/>
      </c>
      <c r="AL483" s="6" t="str">
        <v/>
      </c>
      <c r="AM483" s="6" t="str">
        <v/>
      </c>
      <c r="AN483" s="6" t="n">
        <f aca="false">FALSE()</f>
        <v>0</v>
      </c>
    </row>
    <row r="484" customFormat="false" ht="52.5" hidden="false" customHeight="true" outlineLevel="0" collapsed="false">
      <c r="A484" s="6" t="str">
        <f aca="false">IFERROR(__xludf.dummyfunction("""COMPUTED_VALUE"""),"2026/03/30 13:36:13")</f>
        <v>2026/03/30 13:36:13</v>
      </c>
      <c r="B484" s="6"/>
      <c r="C484" s="6" t="str">
        <f aca="false">IFERROR(__xludf.dummyfunction("""COMPUTED_VALUE"""),"71964")</f>
        <v>71964</v>
      </c>
      <c r="D484" s="6"/>
      <c r="E484" s="6"/>
      <c r="F484" s="6"/>
      <c r="G484" s="6" t="str">
        <f aca="false">IFERROR(__xludf.dummyfunction("""COMPUTED_VALUE"""),"2026/04/05")</f>
        <v>2026/04/05</v>
      </c>
      <c r="H484" s="6" t="str">
        <f aca="false">IFERROR(__xludf.dummyfunction("""COMPUTED_VALUE"""),"必要")</f>
        <v>必要</v>
      </c>
      <c r="I484" s="6" t="str">
        <f aca="false">IFERROR(__xludf.dummyfunction("""COMPUTED_VALUE"""),"男性")</f>
        <v>男性</v>
      </c>
      <c r="J484" s="6" t="str">
        <f aca="false">IFERROR(__xludf.dummyfunction("""COMPUTED_VALUE"""),"日本")</f>
        <v>日本</v>
      </c>
      <c r="K484" s="6" t="str">
        <f aca="false">IFERROR(__xludf.dummyfunction("""COMPUTED_VALUE"""),"10")</f>
        <v>10</v>
      </c>
      <c r="L484" s="6" t="str">
        <f aca="false">IFERROR(__xludf.dummyfunction("""COMPUTED_VALUE"""),"なし")</f>
        <v>なし</v>
      </c>
      <c r="M484" s="6" t="str">
        <f aca="false">IFERROR(__xludf.dummyfunction("""COMPUTED_VALUE"""),"なし")</f>
        <v>なし</v>
      </c>
      <c r="N484" s="6" t="str">
        <f aca="false">IFERROR(__xludf.dummyfunction("""COMPUTED_VALUE"""),"自転車")</f>
        <v>自転車</v>
      </c>
      <c r="O484" s="6" t="str">
        <f aca="false">IFERROR(__xludf.dummyfunction("""COMPUTED_VALUE"""),"不要")</f>
        <v>不要</v>
      </c>
      <c r="P484" s="6"/>
      <c r="Q484" s="6"/>
      <c r="R484" s="6"/>
      <c r="S484" s="6" t="str">
        <f aca="false">IFERROR(__xludf.dummyfunction("""COMPUTED_VALUE"""),"家具家電なし社宅")</f>
        <v>家具家電なし社宅</v>
      </c>
      <c r="T484" s="6" t="str">
        <f aca="false">IFERROR(__xludf.dummyfunction("""COMPUTED_VALUE"""),"利用しない")</f>
        <v>利用しない</v>
      </c>
      <c r="U484" s="6"/>
      <c r="V484" s="6" t="str">
        <f aca="false">IFERROR(__xludf.dummyfunction("""COMPUTED_VALUE"""),"自転車")</f>
        <v>自転車</v>
      </c>
      <c r="W484" s="6"/>
      <c r="X484" s="6" t="str">
        <f aca="false">IFERROR(__xludf.dummyfunction("""COMPUTED_VALUE"""),"実家")</f>
        <v>実家</v>
      </c>
      <c r="Y484" s="6"/>
      <c r="Z484" s="6" t="str">
        <f aca="false">IFERROR(__xludf.dummyfunction("""COMPUTED_VALUE"""),"希望する")</f>
        <v>希望する</v>
      </c>
      <c r="AA484" s="6" t="str">
        <f aca="false">IFERROR(__xludf.dummyfunction("""COMPUTED_VALUE"""),"単身")</f>
        <v>単身</v>
      </c>
      <c r="AB484" s="6"/>
      <c r="AC484" s="6"/>
      <c r="AD484" s="6" t="str">
        <f aca="false">IFERROR(__xludf.dummyfunction("""COMPUTED_VALUE"""),"風呂トイレ別
Wi-Fi完備
家賃3万5千")</f>
        <v>風呂トイレ別
Wi-Fi完備
家賃3万5千</v>
      </c>
      <c r="AE484" s="6" t="str">
        <f aca="false">IFERROR(__xludf.dummyfunction("""COMPUTED_VALUE"""),"確認しました。")</f>
        <v>確認しました。</v>
      </c>
      <c r="AF484" s="6" t="str">
        <f aca="false">IFERROR(__xludf.dummyfunction("""COMPUTED_VALUE"""),"社宅基準の内容について確認しました")</f>
        <v>社宅基準の内容について確認しました</v>
      </c>
      <c r="AG484" s="6" t="str">
        <f aca="false">IFERROR(__xludf.dummyfunction("""COMPUTED_VALUE"""),"入居のしおりの内容についてご確認しました")</f>
        <v>入居のしおりの内容についてご確認しました</v>
      </c>
      <c r="AH484" s="6" t="str">
        <f aca="false">IFERROR(__xludf.dummyfunction("""COMPUTED_VALUE"""),"確認しました")</f>
        <v>確認しました</v>
      </c>
      <c r="AI484" s="6"/>
      <c r="AJ484" s="6" t="str">
        <v/>
      </c>
      <c r="AK484" s="6" t="str">
        <v/>
      </c>
      <c r="AL484" s="6" t="str">
        <v/>
      </c>
      <c r="AM484" s="6" t="str">
        <v/>
      </c>
      <c r="AN484" s="6" t="n">
        <f aca="false">FALSE()</f>
        <v>0</v>
      </c>
    </row>
    <row r="485" customFormat="false" ht="52.5" hidden="false" customHeight="true" outlineLevel="0" collapsed="false">
      <c r="A485" s="6" t="str">
        <f aca="false">IFERROR(__xludf.dummyfunction("""COMPUTED_VALUE"""),"2026/03/30 13:56:49")</f>
        <v>2026/03/30 13:56:49</v>
      </c>
      <c r="B485" s="6"/>
      <c r="C485" s="6" t="str">
        <f aca="false">IFERROR(__xludf.dummyfunction("""COMPUTED_VALUE"""),"71844")</f>
        <v>71844</v>
      </c>
      <c r="D485" s="6"/>
      <c r="E485" s="6"/>
      <c r="F485" s="6"/>
      <c r="G485" s="6" t="str">
        <f aca="false">IFERROR(__xludf.dummyfunction("""COMPUTED_VALUE"""),"2026/07/04")</f>
        <v>2026/07/04</v>
      </c>
      <c r="H485" s="6" t="str">
        <f aca="false">IFERROR(__xludf.dummyfunction("""COMPUTED_VALUE"""),"必要")</f>
        <v>必要</v>
      </c>
      <c r="I485" s="6" t="str">
        <f aca="false">IFERROR(__xludf.dummyfunction("""COMPUTED_VALUE"""),"男性")</f>
        <v>男性</v>
      </c>
      <c r="J485" s="6" t="str">
        <f aca="false">IFERROR(__xludf.dummyfunction("""COMPUTED_VALUE"""),"日本")</f>
        <v>日本</v>
      </c>
      <c r="K485" s="6" t="str">
        <f aca="false">IFERROR(__xludf.dummyfunction("""COMPUTED_VALUE"""),"10")</f>
        <v>10</v>
      </c>
      <c r="L485" s="6" t="str">
        <f aca="false">IFERROR(__xludf.dummyfunction("""COMPUTED_VALUE"""),"なし")</f>
        <v>なし</v>
      </c>
      <c r="M485" s="6" t="str">
        <f aca="false">IFERROR(__xludf.dummyfunction("""COMPUTED_VALUE"""),"なし")</f>
        <v>なし</v>
      </c>
      <c r="N485" s="6"/>
      <c r="O485" s="6" t="str">
        <f aca="false">IFERROR(__xludf.dummyfunction("""COMPUTED_VALUE"""),"必要")</f>
        <v>必要</v>
      </c>
      <c r="P485" s="6" t="str">
        <f aca="false">IFERROR(__xludf.dummyfunction("""COMPUTED_VALUE"""),"プリウス")</f>
        <v>プリウス</v>
      </c>
      <c r="Q485" s="6" t="str">
        <f aca="false">IFERROR(__xludf.dummyfunction("""COMPUTED_VALUE"""),"ま8888")</f>
        <v>ま8888</v>
      </c>
      <c r="R485" s="6" t="str">
        <f aca="false">IFERROR(__xludf.dummyfunction("""COMPUTED_VALUE"""),"白")</f>
        <v>白</v>
      </c>
      <c r="S485" s="6" t="str">
        <f aca="false">IFERROR(__xludf.dummyfunction("""COMPUTED_VALUE"""),"家具家電付き社宅")</f>
        <v>家具家電付き社宅</v>
      </c>
      <c r="T485" s="6" t="str">
        <f aca="false">IFERROR(__xludf.dummyfunction("""COMPUTED_VALUE"""),"利用する")</f>
        <v>利用する</v>
      </c>
      <c r="U485" s="6" t="str">
        <f aca="false">IFERROR(__xludf.dummyfunction("""COMPUTED_VALUE"""),"今は分からない")</f>
        <v>今は分からない</v>
      </c>
      <c r="V485" s="6" t="str">
        <f aca="false">IFERROR(__xludf.dummyfunction("""COMPUTED_VALUE"""),"自動車")</f>
        <v>自動車</v>
      </c>
      <c r="W485" s="6"/>
      <c r="X485" s="6" t="str">
        <f aca="false">IFERROR(__xludf.dummyfunction("""COMPUTED_VALUE"""),"実家")</f>
        <v>実家</v>
      </c>
      <c r="Y485" s="6"/>
      <c r="Z485" s="6" t="str">
        <f aca="false">IFERROR(__xludf.dummyfunction("""COMPUTED_VALUE"""),"希望する")</f>
        <v>希望する</v>
      </c>
      <c r="AA485" s="6" t="str">
        <f aca="false">IFERROR(__xludf.dummyfunction("""COMPUTED_VALUE"""),"単身")</f>
        <v>単身</v>
      </c>
      <c r="AB485" s="6"/>
      <c r="AC485" s="6"/>
      <c r="AD485" s="6"/>
      <c r="AE485" s="6" t="str">
        <f aca="false">IFERROR(__xludf.dummyfunction("""COMPUTED_VALUE"""),"確認しました。")</f>
        <v>確認しました。</v>
      </c>
      <c r="AF485" s="6" t="str">
        <f aca="false">IFERROR(__xludf.dummyfunction("""COMPUTED_VALUE"""),"社宅基準の内容について確認しました")</f>
        <v>社宅基準の内容について確認しました</v>
      </c>
      <c r="AG485" s="6" t="str">
        <f aca="false">IFERROR(__xludf.dummyfunction("""COMPUTED_VALUE"""),"入居のしおりの内容についてご確認しました")</f>
        <v>入居のしおりの内容についてご確認しました</v>
      </c>
      <c r="AH485" s="6" t="str">
        <f aca="false">IFERROR(__xludf.dummyfunction("""COMPUTED_VALUE"""),"確認しました")</f>
        <v>確認しました</v>
      </c>
      <c r="AI485" s="6"/>
      <c r="AJ485" s="6" t="str">
        <v/>
      </c>
      <c r="AK485" s="6" t="str">
        <v/>
      </c>
      <c r="AL485" s="6" t="str">
        <v/>
      </c>
      <c r="AM485" s="6" t="str">
        <v/>
      </c>
      <c r="AN485" s="6" t="n">
        <f aca="false">FALSE()</f>
        <v>0</v>
      </c>
    </row>
    <row r="486" customFormat="false" ht="52.5" hidden="false" customHeight="true" outlineLevel="0" collapsed="false">
      <c r="A486" s="6" t="str">
        <f aca="false">IFERROR(__xludf.dummyfunction("""COMPUTED_VALUE"""),"2026/03/30 17:37:15")</f>
        <v>2026/03/30 17:37:15</v>
      </c>
      <c r="B486" s="6"/>
      <c r="C486" s="6" t="str">
        <f aca="false">IFERROR(__xludf.dummyfunction("""COMPUTED_VALUE"""),"72006")</f>
        <v>72006</v>
      </c>
      <c r="D486" s="6"/>
      <c r="E486" s="6"/>
      <c r="F486" s="6"/>
      <c r="G486" s="6" t="str">
        <f aca="false">IFERROR(__xludf.dummyfunction("""COMPUTED_VALUE"""),"2026/04/10")</f>
        <v>2026/04/10</v>
      </c>
      <c r="H486" s="6" t="str">
        <f aca="false">IFERROR(__xludf.dummyfunction("""COMPUTED_VALUE"""),"必要")</f>
        <v>必要</v>
      </c>
      <c r="I486" s="6" t="str">
        <f aca="false">IFERROR(__xludf.dummyfunction("""COMPUTED_VALUE"""),"男性")</f>
        <v>男性</v>
      </c>
      <c r="J486" s="6" t="str">
        <f aca="false">IFERROR(__xludf.dummyfunction("""COMPUTED_VALUE"""),"日本")</f>
        <v>日本</v>
      </c>
      <c r="K486" s="6" t="str">
        <f aca="false">IFERROR(__xludf.dummyfunction("""COMPUTED_VALUE"""),"30")</f>
        <v>30</v>
      </c>
      <c r="L486" s="6" t="str">
        <f aca="false">IFERROR(__xludf.dummyfunction("""COMPUTED_VALUE"""),"食器洗浄機　湯沸かし器　コーヒーメーカー　電気毛布　ノンフライヤー　炊飯器　空気洗浄機　加湿器　モニター　ミニ掃除機　印刷機　ウォーターサーバー　")</f>
        <v>食器洗浄機　湯沸かし器　コーヒーメーカー　電気毛布　ノンフライヤー　炊飯器　空気洗浄機　加湿器　モニター　ミニ掃除機　印刷機　ウォーターサーバー　</v>
      </c>
      <c r="M486" s="6" t="str">
        <f aca="false">IFERROR(__xludf.dummyfunction("""COMPUTED_VALUE"""),"ソファ（1人）　正方形の本棚（縦横1.3m）
食器掛け　折りたたみテーブル3個　敷き布団1個　掛け布団1個　毛布3枚　")</f>
        <v>ソファ（1人）　正方形の本棚（縦横1.3m）
食器掛け　折りたたみテーブル3個　敷き布団1個　掛け布団1個　毛布3枚　</v>
      </c>
      <c r="N486" s="6" t="str">
        <f aca="false">IFERROR(__xludf.dummyfunction("""COMPUTED_VALUE"""),"PS4（ゲーム機）Switch（ゲーム機）バスケボール２個　ダンベル　ストレッチマット　筋トレ用具　大型バッグ２個　米入れ　電子キーボード　紙ゴミ用箱　救急箱　風呂前マット　風呂イス　風呂桶　洗濯物入れ　")</f>
        <v>PS4（ゲーム機）Switch（ゲーム機）バスケボール２個　ダンベル　ストレッチマット　筋トレ用具　大型バッグ２個　米入れ　電子キーボード　紙ゴミ用箱　救急箱　風呂前マット　風呂イス　風呂桶　洗濯物入れ　</v>
      </c>
      <c r="O486" s="6" t="str">
        <f aca="false">IFERROR(__xludf.dummyfunction("""COMPUTED_VALUE"""),"不要")</f>
        <v>不要</v>
      </c>
      <c r="P486" s="6"/>
      <c r="Q486" s="6"/>
      <c r="R486" s="6"/>
      <c r="S486" s="6" t="str">
        <f aca="false">IFERROR(__xludf.dummyfunction("""COMPUTED_VALUE"""),"家具家電付き社宅")</f>
        <v>家具家電付き社宅</v>
      </c>
      <c r="T486" s="6" t="str">
        <f aca="false">IFERROR(__xludf.dummyfunction("""COMPUTED_VALUE"""),"利用しない")</f>
        <v>利用しない</v>
      </c>
      <c r="U486" s="6"/>
      <c r="V486" s="6" t="str">
        <f aca="false">IFERROR(__xludf.dummyfunction("""COMPUTED_VALUE"""),"徒歩, 電車, バス")</f>
        <v>徒歩, 電車, バス</v>
      </c>
      <c r="W486" s="6"/>
      <c r="X486" s="6" t="str">
        <f aca="false">IFERROR(__xludf.dummyfunction("""COMPUTED_VALUE"""),"株式会社ビーネックステクノロジーズの社宅")</f>
        <v>株式会社ビーネックステクノロジーズの社宅</v>
      </c>
      <c r="Y486" s="6" t="str">
        <f aca="false">IFERROR(__xludf.dummyfunction("""COMPUTED_VALUE"""),"利用なし")</f>
        <v>利用なし</v>
      </c>
      <c r="Z486" s="6" t="str">
        <f aca="false">IFERROR(__xludf.dummyfunction("""COMPUTED_VALUE"""),"希望する")</f>
        <v>希望する</v>
      </c>
      <c r="AA486" s="6" t="str">
        <f aca="false">IFERROR(__xludf.dummyfunction("""COMPUTED_VALUE"""),"単身")</f>
        <v>単身</v>
      </c>
      <c r="AB486" s="6"/>
      <c r="AC486" s="6"/>
      <c r="AD486" s="6" t="str">
        <f aca="false">IFERROR(__xludf.dummyfunction("""COMPUTED_VALUE"""),"就業先付近かつジムの近くで買い物ができる店（ディスカウントストアが望ましい）の近くを希望する")</f>
        <v>就業先付近かつジムの近くで買い物ができる店（ディスカウントストアが望ましい）の近くを希望する</v>
      </c>
      <c r="AE486" s="6" t="str">
        <f aca="false">IFERROR(__xludf.dummyfunction("""COMPUTED_VALUE"""),"確認しました。")</f>
        <v>確認しました。</v>
      </c>
      <c r="AF486" s="6" t="str">
        <f aca="false">IFERROR(__xludf.dummyfunction("""COMPUTED_VALUE"""),"社宅基準の内容について確認しました")</f>
        <v>社宅基準の内容について確認しました</v>
      </c>
      <c r="AG486" s="6" t="str">
        <f aca="false">IFERROR(__xludf.dummyfunction("""COMPUTED_VALUE"""),"入居のしおりの内容についてご確認しました")</f>
        <v>入居のしおりの内容についてご確認しました</v>
      </c>
      <c r="AH486" s="6" t="str">
        <f aca="false">IFERROR(__xludf.dummyfunction("""COMPUTED_VALUE"""),"確認しました")</f>
        <v>確認しました</v>
      </c>
      <c r="AI486" s="6"/>
      <c r="AJ486" s="6" t="str">
        <v/>
      </c>
      <c r="AK486" s="6" t="str">
        <v/>
      </c>
      <c r="AL486" s="6" t="str">
        <v/>
      </c>
      <c r="AM486" s="6" t="str">
        <v/>
      </c>
      <c r="AN486" s="6" t="n">
        <f aca="false">FALSE()</f>
        <v>0</v>
      </c>
    </row>
    <row r="487" customFormat="false" ht="52.5" hidden="false" customHeight="true" outlineLevel="0" collapsed="false">
      <c r="A487" s="6" t="str">
        <f aca="false">IFERROR(__xludf.dummyfunction("""COMPUTED_VALUE"""),"2026/03/30 21:43:06")</f>
        <v>2026/03/30 21:43:06</v>
      </c>
      <c r="B487" s="6"/>
      <c r="C487" s="6" t="str">
        <f aca="false">IFERROR(__xludf.dummyfunction("""COMPUTED_VALUE"""),"71983")</f>
        <v>71983</v>
      </c>
      <c r="D487" s="6"/>
      <c r="E487" s="6"/>
      <c r="F487" s="6"/>
      <c r="G487" s="6" t="str">
        <f aca="false">IFERROR(__xludf.dummyfunction("""COMPUTED_VALUE"""),"2026/04/09")</f>
        <v>2026/04/09</v>
      </c>
      <c r="H487" s="6" t="str">
        <f aca="false">IFERROR(__xludf.dummyfunction("""COMPUTED_VALUE"""),"必要")</f>
        <v>必要</v>
      </c>
      <c r="I487" s="6" t="str">
        <f aca="false">IFERROR(__xludf.dummyfunction("""COMPUTED_VALUE"""),"男性")</f>
        <v>男性</v>
      </c>
      <c r="J487" s="6" t="str">
        <f aca="false">IFERROR(__xludf.dummyfunction("""COMPUTED_VALUE"""),"日本")</f>
        <v>日本</v>
      </c>
      <c r="K487" s="6" t="str">
        <f aca="false">IFERROR(__xludf.dummyfunction("""COMPUTED_VALUE"""),"10")</f>
        <v>10</v>
      </c>
      <c r="L487" s="6" t="str">
        <f aca="false">IFERROR(__xludf.dummyfunction("""COMPUTED_VALUE"""),"デスクトップPC、24インチモニター")</f>
        <v>デスクトップPC、24インチモニター</v>
      </c>
      <c r="M487" s="6" t="str">
        <f aca="false">IFERROR(__xludf.dummyfunction("""COMPUTED_VALUE"""),"ゲーミングチェア×2、PC用テーブル、1m box棚")</f>
        <v>ゲーミングチェア×2、PC用テーブル、1m box棚</v>
      </c>
      <c r="N487" s="6"/>
      <c r="O487" s="6" t="str">
        <f aca="false">IFERROR(__xludf.dummyfunction("""COMPUTED_VALUE"""),"不要")</f>
        <v>不要</v>
      </c>
      <c r="P487" s="6"/>
      <c r="Q487" s="6"/>
      <c r="R487" s="6"/>
      <c r="S487" s="6" t="str">
        <f aca="false">IFERROR(__xludf.dummyfunction("""COMPUTED_VALUE"""),"家具家電付き社宅")</f>
        <v>家具家電付き社宅</v>
      </c>
      <c r="T487" s="6" t="str">
        <f aca="false">IFERROR(__xludf.dummyfunction("""COMPUTED_VALUE"""),"利用しない")</f>
        <v>利用しない</v>
      </c>
      <c r="U487" s="6"/>
      <c r="V487" s="6" t="str">
        <f aca="false">IFERROR(__xludf.dummyfunction("""COMPUTED_VALUE"""),"徒歩, バス, 社用バス")</f>
        <v>徒歩, バス, 社用バス</v>
      </c>
      <c r="W487" s="6"/>
      <c r="X487" s="6" t="str">
        <f aca="false">IFERROR(__xludf.dummyfunction("""COMPUTED_VALUE"""),"株式会社ビーネックステクノロジーズの社宅")</f>
        <v>株式会社ビーネックステクノロジーズの社宅</v>
      </c>
      <c r="Y487" s="6" t="str">
        <f aca="false">IFERROR(__xludf.dummyfunction("""COMPUTED_VALUE"""),"利用なし")</f>
        <v>利用なし</v>
      </c>
      <c r="Z487" s="6" t="str">
        <f aca="false">IFERROR(__xludf.dummyfunction("""COMPUTED_VALUE"""),"希望する")</f>
        <v>希望する</v>
      </c>
      <c r="AA487" s="6" t="str">
        <f aca="false">IFERROR(__xludf.dummyfunction("""COMPUTED_VALUE"""),"単身")</f>
        <v>単身</v>
      </c>
      <c r="AB487" s="6"/>
      <c r="AC487" s="6"/>
      <c r="AD487" s="6" t="str">
        <f aca="false">IFERROR(__xludf.dummyfunction("""COMPUTED_VALUE"""),"駅から徒歩10分前後の場所が理想です。")</f>
        <v>駅から徒歩10分前後の場所が理想です。</v>
      </c>
      <c r="AE487" s="6" t="str">
        <f aca="false">IFERROR(__xludf.dummyfunction("""COMPUTED_VALUE"""),"確認しました。")</f>
        <v>確認しました。</v>
      </c>
      <c r="AF487" s="6" t="str">
        <f aca="false">IFERROR(__xludf.dummyfunction("""COMPUTED_VALUE"""),"社宅基準の内容について確認しました")</f>
        <v>社宅基準の内容について確認しました</v>
      </c>
      <c r="AG487" s="6" t="str">
        <f aca="false">IFERROR(__xludf.dummyfunction("""COMPUTED_VALUE"""),"入居のしおりの内容についてご確認しました")</f>
        <v>入居のしおりの内容についてご確認しました</v>
      </c>
      <c r="AH487" s="6" t="str">
        <f aca="false">IFERROR(__xludf.dummyfunction("""COMPUTED_VALUE"""),"確認しました")</f>
        <v>確認しました</v>
      </c>
      <c r="AI487" s="6"/>
      <c r="AJ487" s="6" t="str">
        <v/>
      </c>
      <c r="AK487" s="6" t="str">
        <v/>
      </c>
      <c r="AL487" s="6" t="str">
        <v/>
      </c>
      <c r="AM487" s="6" t="str">
        <v/>
      </c>
      <c r="AN487" s="6" t="n">
        <f aca="false">FALSE()</f>
        <v>0</v>
      </c>
    </row>
    <row r="488" customFormat="false" ht="52.5" hidden="false" customHeight="true" outlineLevel="0" collapsed="false">
      <c r="A488" s="6" t="str">
        <f aca="false">IFERROR(__xludf.dummyfunction("""COMPUTED_VALUE"""),"2026/03/31 8:47:03")</f>
        <v>2026/03/31 8:47:03</v>
      </c>
      <c r="B488" s="6"/>
      <c r="C488" s="6" t="str">
        <f aca="false">IFERROR(__xludf.dummyfunction("""COMPUTED_VALUE"""),"71825")</f>
        <v>71825</v>
      </c>
      <c r="D488" s="6"/>
      <c r="E488" s="6"/>
      <c r="F488" s="6"/>
      <c r="G488" s="6" t="str">
        <f aca="false">IFERROR(__xludf.dummyfunction("""COMPUTED_VALUE"""),"2026/04/15")</f>
        <v>2026/04/15</v>
      </c>
      <c r="H488" s="6" t="str">
        <f aca="false">IFERROR(__xludf.dummyfunction("""COMPUTED_VALUE"""),"不要")</f>
        <v>不要</v>
      </c>
      <c r="I488" s="6" t="str">
        <f aca="false">IFERROR(__xludf.dummyfunction("""COMPUTED_VALUE"""),"男性")</f>
        <v>男性</v>
      </c>
      <c r="J488" s="6" t="str">
        <f aca="false">IFERROR(__xludf.dummyfunction("""COMPUTED_VALUE"""),"日本")</f>
        <v>日本</v>
      </c>
      <c r="K488" s="6"/>
      <c r="L488" s="6"/>
      <c r="M488" s="6"/>
      <c r="N488" s="6"/>
      <c r="O488" s="6" t="str">
        <f aca="false">IFERROR(__xludf.dummyfunction("""COMPUTED_VALUE"""),"必要")</f>
        <v>必要</v>
      </c>
      <c r="P488" s="6" t="str">
        <f aca="false">IFERROR(__xludf.dummyfunction("""COMPUTED_VALUE"""),"フィアット500")</f>
        <v>フィアット500</v>
      </c>
      <c r="Q488" s="6" t="str">
        <f aca="false">IFERROR(__xludf.dummyfunction("""COMPUTED_VALUE"""),"た9138")</f>
        <v>た9138</v>
      </c>
      <c r="R488" s="6" t="str">
        <f aca="false">IFERROR(__xludf.dummyfunction("""COMPUTED_VALUE"""),"緑")</f>
        <v>緑</v>
      </c>
      <c r="S488" s="6" t="str">
        <f aca="false">IFERROR(__xludf.dummyfunction("""COMPUTED_VALUE"""),"家具家電付き社宅")</f>
        <v>家具家電付き社宅</v>
      </c>
      <c r="T488" s="6" t="str">
        <f aca="false">IFERROR(__xludf.dummyfunction("""COMPUTED_VALUE"""),"利用する")</f>
        <v>利用する</v>
      </c>
      <c r="U488" s="6" t="str">
        <f aca="false">IFERROR(__xludf.dummyfunction("""COMPUTED_VALUE"""),"テレビ32冷蔵庫布団")</f>
        <v>テレビ32冷蔵庫布団</v>
      </c>
      <c r="V488" s="6" t="str">
        <f aca="false">IFERROR(__xludf.dummyfunction("""COMPUTED_VALUE"""),"自動車")</f>
        <v>自動車</v>
      </c>
      <c r="W488" s="6"/>
      <c r="X488" s="6" t="str">
        <f aca="false">IFERROR(__xludf.dummyfunction("""COMPUTED_VALUE"""),"実家")</f>
        <v>実家</v>
      </c>
      <c r="Y488" s="6"/>
      <c r="Z488" s="6" t="str">
        <f aca="false">IFERROR(__xludf.dummyfunction("""COMPUTED_VALUE"""),"希望する")</f>
        <v>希望する</v>
      </c>
      <c r="AA488" s="6" t="str">
        <f aca="false">IFERROR(__xludf.dummyfunction("""COMPUTED_VALUE"""),"単身")</f>
        <v>単身</v>
      </c>
      <c r="AB488" s="6"/>
      <c r="AC488" s="6"/>
      <c r="AD488" s="6"/>
      <c r="AE488" s="6" t="str">
        <f aca="false">IFERROR(__xludf.dummyfunction("""COMPUTED_VALUE"""),"確認しました。")</f>
        <v>確認しました。</v>
      </c>
      <c r="AF488" s="6" t="str">
        <f aca="false">IFERROR(__xludf.dummyfunction("""COMPUTED_VALUE"""),"社宅基準の内容について確認しました")</f>
        <v>社宅基準の内容について確認しました</v>
      </c>
      <c r="AG488" s="6" t="str">
        <f aca="false">IFERROR(__xludf.dummyfunction("""COMPUTED_VALUE"""),"入居のしおりの内容についてご確認しました")</f>
        <v>入居のしおりの内容についてご確認しました</v>
      </c>
      <c r="AH488" s="6" t="str">
        <f aca="false">IFERROR(__xludf.dummyfunction("""COMPUTED_VALUE"""),"確認しました")</f>
        <v>確認しました</v>
      </c>
      <c r="AI488" s="6"/>
      <c r="AJ488" s="6" t="str">
        <v/>
      </c>
      <c r="AK488" s="6" t="str">
        <v/>
      </c>
      <c r="AL488" s="6" t="str">
        <v/>
      </c>
      <c r="AM488" s="6" t="str">
        <v/>
      </c>
      <c r="AN488" s="6" t="n">
        <f aca="false">FALSE()</f>
        <v>0</v>
      </c>
    </row>
    <row r="489" customFormat="false" ht="52.5" hidden="false" customHeight="true" outlineLevel="0" collapsed="false">
      <c r="A489" s="6" t="str">
        <f aca="false">IFERROR(__xludf.dummyfunction("""COMPUTED_VALUE"""),"2026/03/31 10:41:34")</f>
        <v>2026/03/31 10:41:34</v>
      </c>
      <c r="B489" s="6"/>
      <c r="C489" s="6" t="str">
        <f aca="false">IFERROR(__xludf.dummyfunction("""COMPUTED_VALUE"""),"72030")</f>
        <v>72030</v>
      </c>
      <c r="D489" s="6"/>
      <c r="E489" s="6"/>
      <c r="F489" s="6"/>
      <c r="G489" s="6" t="str">
        <f aca="false">IFERROR(__xludf.dummyfunction("""COMPUTED_VALUE"""),"2026/05/15")</f>
        <v>2026/05/15</v>
      </c>
      <c r="H489" s="6" t="str">
        <f aca="false">IFERROR(__xludf.dummyfunction("""COMPUTED_VALUE"""),"必要")</f>
        <v>必要</v>
      </c>
      <c r="I489" s="6" t="str">
        <f aca="false">IFERROR(__xludf.dummyfunction("""COMPUTED_VALUE"""),"男性")</f>
        <v>男性</v>
      </c>
      <c r="J489" s="6" t="str">
        <f aca="false">IFERROR(__xludf.dummyfunction("""COMPUTED_VALUE"""),"日本")</f>
        <v>日本</v>
      </c>
      <c r="K489" s="6" t="str">
        <f aca="false">IFERROR(__xludf.dummyfunction("""COMPUTED_VALUE"""),"40")</f>
        <v>40</v>
      </c>
      <c r="L489" s="6" t="str">
        <f aca="false">IFERROR(__xludf.dummyfunction("""COMPUTED_VALUE"""),"家族用冷蔵庫、TV、電子レンジ、洗濯機、オーブン、ガスコンロ、天井照明×4、送風機、電気ストーブ、扇風機×2")</f>
        <v>家族用冷蔵庫、TV、電子レンジ、洗濯機、オーブン、ガスコンロ、天井照明×4、送風機、電気ストーブ、扇風機×2</v>
      </c>
      <c r="M489" s="6" t="str">
        <f aca="false">IFERROR(__xludf.dummyfunction("""COMPUTED_VALUE"""),"棚(73・40・136)×2個、本棚(84・28・81)、棚(86・30・198)、棚(93・45・150)、棚(60・42・176)、食器棚(104・31・190、高さ190は上下102と88に分割可能)、メタルラック(75・36・123)、デスク(95・48・72)、棚(53・30・105)、食卓(110・70・76)、椅子4脚、棚(59・17・90)×2個")</f>
        <v>棚(73・40・136)×2個、本棚(84・28・81)、棚(86・30・198)、棚(93・45・150)、棚(60・42・176)、食器棚(104・31・190、高さ190は上下102と88に分割可能)、メタルラック(75・36・123)、デスク(95・48・72)、棚(53・30・105)、食卓(110・70・76)、椅子4脚、棚(59・17・90)×2個</v>
      </c>
      <c r="N489" s="6" t="str">
        <f aca="false">IFERROR(__xludf.dummyfunction("""COMPUTED_VALUE"""),"電動アシスト自転車、子供用自転車、")</f>
        <v>電動アシスト自転車、子供用自転車、</v>
      </c>
      <c r="O489" s="6" t="str">
        <f aca="false">IFERROR(__xludf.dummyfunction("""COMPUTED_VALUE"""),"不要")</f>
        <v>不要</v>
      </c>
      <c r="P489" s="6"/>
      <c r="Q489" s="6"/>
      <c r="R489" s="6"/>
      <c r="S489" s="6" t="str">
        <f aca="false">IFERROR(__xludf.dummyfunction("""COMPUTED_VALUE"""),"家具家電なし社宅")</f>
        <v>家具家電なし社宅</v>
      </c>
      <c r="T489" s="6" t="str">
        <f aca="false">IFERROR(__xludf.dummyfunction("""COMPUTED_VALUE"""),"利用しない")</f>
        <v>利用しない</v>
      </c>
      <c r="U489" s="6"/>
      <c r="V489" s="6" t="str">
        <f aca="false">IFERROR(__xludf.dummyfunction("""COMPUTED_VALUE"""),"徒歩, 自転車, 電車, バス")</f>
        <v>徒歩, 自転車, 電車, バス</v>
      </c>
      <c r="W489" s="6"/>
      <c r="X489" s="6" t="str">
        <f aca="false">IFERROR(__xludf.dummyfunction("""COMPUTED_VALUE"""),"株式会社ビーネックステクノロジーズの社宅")</f>
        <v>株式会社ビーネックステクノロジーズの社宅</v>
      </c>
      <c r="Y489" s="6" t="str">
        <f aca="false">IFERROR(__xludf.dummyfunction("""COMPUTED_VALUE"""),"利用なし")</f>
        <v>利用なし</v>
      </c>
      <c r="Z489" s="6" t="str">
        <f aca="false">IFERROR(__xludf.dummyfunction("""COMPUTED_VALUE"""),"希望しない")</f>
        <v>希望しない</v>
      </c>
      <c r="AA489" s="6" t="str">
        <f aca="false">IFERROR(__xludf.dummyfunction("""COMPUTED_VALUE"""),"家族")</f>
        <v>家族</v>
      </c>
      <c r="AB489" s="6" t="str">
        <f aca="false">IFERROR(__xludf.dummyfunction("""COMPUTED_VALUE"""),"氏名：藤田珠実
フリガナ：フジタタマミ
生年月日：1994/11/5
携帯番号：09057737101
続柄：妻
氏名：藤田葵
フリガナ：フジタアオイ
生年月日：2021/2/25
携帯番号：-
続柄：長女
氏名：藤田紬
フリガナ：フジタツムギ
生年月日：2023/4/25
携帯番号：-
続柄：次女
氏名：藤田栞
フリガナ：フジタシオリ
生年月日：2025/3/16
携帯番号：-
続柄：三女")</f>
        <v>氏名：藤田珠実
フリガナ：フジタタマミ
生年月日：1994/11/5
携帯番号：09057737101
続柄：妻
氏名：藤田葵
フリガナ：フジタアオイ
生年月日：2021/2/25
携帯番号：-
続柄：長女
氏名：藤田紬
フリガナ：フジタツムギ
生年月日：2023/4/25
携帯番号：-
続柄：次女
氏名：藤田栞
フリガナ：フジタシオリ
生年月日：2025/3/16
携帯番号：-
続柄：三女</v>
      </c>
      <c r="AC489" s="6"/>
      <c r="AD489" s="6" t="str">
        <f aca="false">IFERROR(__xludf.dummyfunction("""COMPUTED_VALUE"""),"センター南駅周辺での物件を希望しています。難しいとは思いますが荏田東周辺で物件があればより幸いです。")</f>
        <v>センター南駅周辺での物件を希望しています。難しいとは思いますが荏田東周辺で物件があればより幸いです。</v>
      </c>
      <c r="AE489" s="6" t="str">
        <f aca="false">IFERROR(__xludf.dummyfunction("""COMPUTED_VALUE"""),"確認しました。")</f>
        <v>確認しました。</v>
      </c>
      <c r="AF489" s="6" t="str">
        <f aca="false">IFERROR(__xludf.dummyfunction("""COMPUTED_VALUE"""),"社宅基準の内容について確認しました")</f>
        <v>社宅基準の内容について確認しました</v>
      </c>
      <c r="AG489" s="6" t="str">
        <f aca="false">IFERROR(__xludf.dummyfunction("""COMPUTED_VALUE"""),"入居のしおりの内容についてご確認しました")</f>
        <v>入居のしおりの内容についてご確認しました</v>
      </c>
      <c r="AH489" s="6" t="str">
        <f aca="false">IFERROR(__xludf.dummyfunction("""COMPUTED_VALUE"""),"確認しました")</f>
        <v>確認しました</v>
      </c>
      <c r="AI489" s="6"/>
      <c r="AJ489" s="6" t="str">
        <v/>
      </c>
      <c r="AK489" s="6" t="str">
        <v/>
      </c>
      <c r="AL489" s="6" t="str">
        <v/>
      </c>
      <c r="AM489" s="6" t="str">
        <v/>
      </c>
      <c r="AN489" s="6" t="n">
        <f aca="false">FALSE()</f>
        <v>0</v>
      </c>
    </row>
    <row r="490" customFormat="false" ht="52.5" hidden="false" customHeight="true" outlineLevel="0" collapsed="false">
      <c r="A490" s="6" t="str">
        <f aca="false">IFERROR(__xludf.dummyfunction("""COMPUTED_VALUE"""),"2026/03/31 12:00:48")</f>
        <v>2026/03/31 12:00:48</v>
      </c>
      <c r="B490" s="6"/>
      <c r="C490" s="6" t="str">
        <f aca="false">IFERROR(__xludf.dummyfunction("""COMPUTED_VALUE"""),"71973")</f>
        <v>71973</v>
      </c>
      <c r="D490" s="6"/>
      <c r="E490" s="6"/>
      <c r="F490" s="6"/>
      <c r="G490" s="6" t="str">
        <f aca="false">IFERROR(__xludf.dummyfunction("""COMPUTED_VALUE"""),"2026/04/15")</f>
        <v>2026/04/15</v>
      </c>
      <c r="H490" s="6" t="str">
        <f aca="false">IFERROR(__xludf.dummyfunction("""COMPUTED_VALUE"""),"必要")</f>
        <v>必要</v>
      </c>
      <c r="I490" s="6" t="str">
        <f aca="false">IFERROR(__xludf.dummyfunction("""COMPUTED_VALUE"""),"男性")</f>
        <v>男性</v>
      </c>
      <c r="J490" s="6" t="str">
        <f aca="false">IFERROR(__xludf.dummyfunction("""COMPUTED_VALUE"""),"日本")</f>
        <v>日本</v>
      </c>
      <c r="K490" s="6" t="str">
        <f aca="false">IFERROR(__xludf.dummyfunction("""COMPUTED_VALUE"""),"15")</f>
        <v>15</v>
      </c>
      <c r="L490" s="6" t="str">
        <f aca="false">IFERROR(__xludf.dummyfunction("""COMPUTED_VALUE"""),"65インチテレビ")</f>
        <v>65インチテレビ</v>
      </c>
      <c r="M490" s="6" t="str">
        <f aca="false">IFERROR(__xludf.dummyfunction("""COMPUTED_VALUE"""),"ソファ1人、テレビ台(横約150cm、奥行約30cm、高さ約30cm)、布団等")</f>
        <v>ソファ1人、テレビ台(横約150cm、奥行約30cm、高さ約30cm)、布団等</v>
      </c>
      <c r="N490" s="6" t="str">
        <f aca="false">IFERROR(__xludf.dummyfunction("""COMPUTED_VALUE"""),"自転車、その他雑貨等")</f>
        <v>自転車、その他雑貨等</v>
      </c>
      <c r="O490" s="6" t="str">
        <f aca="false">IFERROR(__xludf.dummyfunction("""COMPUTED_VALUE"""),"不要")</f>
        <v>不要</v>
      </c>
      <c r="P490" s="6"/>
      <c r="Q490" s="6"/>
      <c r="R490" s="6"/>
      <c r="S490" s="6" t="str">
        <f aca="false">IFERROR(__xludf.dummyfunction("""COMPUTED_VALUE"""),"家具家電付き社宅")</f>
        <v>家具家電付き社宅</v>
      </c>
      <c r="T490" s="6" t="str">
        <f aca="false">IFERROR(__xludf.dummyfunction("""COMPUTED_VALUE"""),"利用しない")</f>
        <v>利用しない</v>
      </c>
      <c r="U490" s="6"/>
      <c r="V490" s="6" t="str">
        <f aca="false">IFERROR(__xludf.dummyfunction("""COMPUTED_VALUE"""),"徒歩, 自転車, 電車")</f>
        <v>徒歩, 自転車, 電車</v>
      </c>
      <c r="W490" s="6"/>
      <c r="X490" s="6" t="str">
        <f aca="false">IFERROR(__xludf.dummyfunction("""COMPUTED_VALUE"""),"実家")</f>
        <v>実家</v>
      </c>
      <c r="Y490" s="6"/>
      <c r="Z490" s="6" t="str">
        <f aca="false">IFERROR(__xludf.dummyfunction("""COMPUTED_VALUE"""),"希望する")</f>
        <v>希望する</v>
      </c>
      <c r="AA490" s="6" t="str">
        <f aca="false">IFERROR(__xludf.dummyfunction("""COMPUTED_VALUE"""),"単身")</f>
        <v>単身</v>
      </c>
      <c r="AB490" s="6"/>
      <c r="AC490" s="6"/>
      <c r="AD490" s="6" t="str">
        <f aca="false">IFERROR(__xludf.dummyfunction("""COMPUTED_VALUE"""),"お風呂とトイレが別だと嬉しいです。また、JRの駅近だと尚嬉しいです。")</f>
        <v>お風呂とトイレが別だと嬉しいです。また、JRの駅近だと尚嬉しいです。</v>
      </c>
      <c r="AE490" s="6" t="str">
        <f aca="false">IFERROR(__xludf.dummyfunction("""COMPUTED_VALUE"""),"確認しました。")</f>
        <v>確認しました。</v>
      </c>
      <c r="AF490" s="6" t="str">
        <f aca="false">IFERROR(__xludf.dummyfunction("""COMPUTED_VALUE"""),"社宅基準の内容について確認しました")</f>
        <v>社宅基準の内容について確認しました</v>
      </c>
      <c r="AG490" s="6" t="str">
        <f aca="false">IFERROR(__xludf.dummyfunction("""COMPUTED_VALUE"""),"入居のしおりの内容についてご確認しました")</f>
        <v>入居のしおりの内容についてご確認しました</v>
      </c>
      <c r="AH490" s="6" t="str">
        <f aca="false">IFERROR(__xludf.dummyfunction("""COMPUTED_VALUE"""),"確認しました")</f>
        <v>確認しました</v>
      </c>
      <c r="AI490" s="6"/>
      <c r="AJ490" s="6" t="str">
        <v/>
      </c>
      <c r="AK490" s="6" t="str">
        <v/>
      </c>
      <c r="AL490" s="6" t="str">
        <v/>
      </c>
      <c r="AM490" s="6" t="str">
        <v/>
      </c>
      <c r="AN490" s="6" t="n">
        <f aca="false">FALSE()</f>
        <v>0</v>
      </c>
    </row>
    <row r="491" customFormat="false" ht="52.5" hidden="false" customHeight="true" outlineLevel="0" collapsed="false">
      <c r="A491" s="6" t="str">
        <f aca="false">IFERROR(__xludf.dummyfunction("""COMPUTED_VALUE"""),"2026/03/31 22:12:39")</f>
        <v>2026/03/31 22:12:39</v>
      </c>
      <c r="B491" s="6"/>
      <c r="C491" s="6" t="str">
        <f aca="false">IFERROR(__xludf.dummyfunction("""COMPUTED_VALUE"""),"71972")</f>
        <v>71972</v>
      </c>
      <c r="D491" s="6"/>
      <c r="E491" s="6"/>
      <c r="F491" s="6"/>
      <c r="G491" s="6" t="str">
        <f aca="false">IFERROR(__xludf.dummyfunction("""COMPUTED_VALUE"""),"2026/04/09")</f>
        <v>2026/04/09</v>
      </c>
      <c r="H491" s="6" t="str">
        <f aca="false">IFERROR(__xludf.dummyfunction("""COMPUTED_VALUE"""),"必要")</f>
        <v>必要</v>
      </c>
      <c r="I491" s="6" t="str">
        <f aca="false">IFERROR(__xludf.dummyfunction("""COMPUTED_VALUE"""),"男性")</f>
        <v>男性</v>
      </c>
      <c r="J491" s="6" t="str">
        <f aca="false">IFERROR(__xludf.dummyfunction("""COMPUTED_VALUE"""),"日本")</f>
        <v>日本</v>
      </c>
      <c r="K491" s="6" t="str">
        <f aca="false">IFERROR(__xludf.dummyfunction("""COMPUTED_VALUE"""),"15")</f>
        <v>15</v>
      </c>
      <c r="L491" s="6" t="str">
        <f aca="false">IFERROR(__xludf.dummyfunction("""COMPUTED_VALUE"""),"モニター、アンプ")</f>
        <v>モニター、アンプ</v>
      </c>
      <c r="M491" s="6" t="str">
        <f aca="false">IFERROR(__xludf.dummyfunction("""COMPUTED_VALUE"""),"なし")</f>
        <v>なし</v>
      </c>
      <c r="N491" s="6" t="str">
        <f aca="false">IFERROR(__xludf.dummyfunction("""COMPUTED_VALUE"""),"楽器")</f>
        <v>楽器</v>
      </c>
      <c r="O491" s="6" t="str">
        <f aca="false">IFERROR(__xludf.dummyfunction("""COMPUTED_VALUE"""),"不要")</f>
        <v>不要</v>
      </c>
      <c r="P491" s="6"/>
      <c r="Q491" s="6"/>
      <c r="R491" s="6"/>
      <c r="S491" s="6" t="str">
        <f aca="false">IFERROR(__xludf.dummyfunction("""COMPUTED_VALUE"""),"家具家電なし社宅")</f>
        <v>家具家電なし社宅</v>
      </c>
      <c r="T491" s="6" t="str">
        <f aca="false">IFERROR(__xludf.dummyfunction("""COMPUTED_VALUE"""),"利用しない")</f>
        <v>利用しない</v>
      </c>
      <c r="U491" s="6"/>
      <c r="V491" s="6" t="str">
        <f aca="false">IFERROR(__xludf.dummyfunction("""COMPUTED_VALUE"""),"徒歩, 自転車, 電車")</f>
        <v>徒歩, 自転車, 電車</v>
      </c>
      <c r="W491" s="6"/>
      <c r="X491" s="6" t="str">
        <f aca="false">IFERROR(__xludf.dummyfunction("""COMPUTED_VALUE"""),"実家")</f>
        <v>実家</v>
      </c>
      <c r="Y491" s="6"/>
      <c r="Z491" s="6" t="str">
        <f aca="false">IFERROR(__xludf.dummyfunction("""COMPUTED_VALUE"""),"希望しない")</f>
        <v>希望しない</v>
      </c>
      <c r="AA491" s="6" t="str">
        <f aca="false">IFERROR(__xludf.dummyfunction("""COMPUTED_VALUE"""),"単身")</f>
        <v>単身</v>
      </c>
      <c r="AB491" s="6"/>
      <c r="AC491" s="6"/>
      <c r="AD491" s="6" t="str">
        <f aca="false">IFERROR(__xludf.dummyfunction("""COMPUTED_VALUE"""),"近くにスーパー、病院、飲食店などがある場所かつ、通勤に便利な場所を希望する。
物件候補の際に立地や家の大きさ、家賃など教えていただけると幸いです。")</f>
        <v>近くにスーパー、病院、飲食店などがある場所かつ、通勤に便利な場所を希望する。
物件候補の際に立地や家の大きさ、家賃など教えていただけると幸いです。</v>
      </c>
      <c r="AE491" s="6" t="str">
        <f aca="false">IFERROR(__xludf.dummyfunction("""COMPUTED_VALUE"""),"確認しました。")</f>
        <v>確認しました。</v>
      </c>
      <c r="AF491" s="6" t="str">
        <f aca="false">IFERROR(__xludf.dummyfunction("""COMPUTED_VALUE"""),"社宅基準の内容について確認しました")</f>
        <v>社宅基準の内容について確認しました</v>
      </c>
      <c r="AG491" s="6" t="str">
        <f aca="false">IFERROR(__xludf.dummyfunction("""COMPUTED_VALUE"""),"入居のしおりの内容についてご確認しました")</f>
        <v>入居のしおりの内容についてご確認しました</v>
      </c>
      <c r="AH491" s="6" t="str">
        <f aca="false">IFERROR(__xludf.dummyfunction("""COMPUTED_VALUE"""),"確認しました")</f>
        <v>確認しました</v>
      </c>
      <c r="AI491" s="6"/>
      <c r="AJ491" s="6" t="str">
        <v/>
      </c>
      <c r="AK491" s="6" t="str">
        <v/>
      </c>
      <c r="AL491" s="6" t="str">
        <v/>
      </c>
      <c r="AM491" s="6" t="str">
        <v/>
      </c>
      <c r="AN491" s="6" t="n">
        <f aca="false">FALSE()</f>
        <v>0</v>
      </c>
    </row>
    <row r="492" customFormat="false" ht="52.5" hidden="false" customHeight="true" outlineLevel="0" collapsed="false">
      <c r="A492" s="6" t="str">
        <f aca="false">IFERROR(__xludf.dummyfunction("""COMPUTED_VALUE"""),"2026/04/01 9:06:10")</f>
        <v>2026/04/01 9:06:10</v>
      </c>
      <c r="B492" s="6"/>
      <c r="C492" s="6" t="str">
        <f aca="false">IFERROR(__xludf.dummyfunction("""COMPUTED_VALUE"""),"71987")</f>
        <v>71987</v>
      </c>
      <c r="D492" s="6"/>
      <c r="E492" s="6"/>
      <c r="F492" s="6"/>
      <c r="G492" s="6" t="str">
        <f aca="false">IFERROR(__xludf.dummyfunction("""COMPUTED_VALUE"""),"2026/04/19")</f>
        <v>2026/04/19</v>
      </c>
      <c r="H492" s="6" t="str">
        <f aca="false">IFERROR(__xludf.dummyfunction("""COMPUTED_VALUE"""),"必要")</f>
        <v>必要</v>
      </c>
      <c r="I492" s="6" t="str">
        <f aca="false">IFERROR(__xludf.dummyfunction("""COMPUTED_VALUE"""),"男性")</f>
        <v>男性</v>
      </c>
      <c r="J492" s="6" t="str">
        <f aca="false">IFERROR(__xludf.dummyfunction("""COMPUTED_VALUE"""),"日本")</f>
        <v>日本</v>
      </c>
      <c r="K492" s="6" t="str">
        <f aca="false">IFERROR(__xludf.dummyfunction("""COMPUTED_VALUE"""),"10")</f>
        <v>10</v>
      </c>
      <c r="L492" s="6" t="str">
        <f aca="false">IFERROR(__xludf.dummyfunction("""COMPUTED_VALUE"""),"単身用冷蔵庫
洗濯機
パソコン
電子レンジ
トースター
炊飯器
電気ケトル")</f>
        <v>単身用冷蔵庫
洗濯機
パソコン
電子レンジ
トースター
炊飯器
電気ケトル</v>
      </c>
      <c r="M492" s="6" t="str">
        <f aca="false">IFERROR(__xludf.dummyfunction("""COMPUTED_VALUE"""),"机(奥行き110 幅80 高さ75)
椅子(奥行き55 幅60 高さ110)
スチールラック(横60 縦35 高さ125)
本棚(横60 縦30 高さ125)")</f>
        <v>机(奥行き110 幅80 高さ75)
椅子(奥行き55 幅60 高さ110)
スチールラック(横60 縦35 高さ125)
本棚(横60 縦30 高さ125)</v>
      </c>
      <c r="N492" s="6" t="str">
        <f aca="false">IFERROR(__xludf.dummyfunction("""COMPUTED_VALUE"""),"自転車")</f>
        <v>自転車</v>
      </c>
      <c r="O492" s="6" t="str">
        <f aca="false">IFERROR(__xludf.dummyfunction("""COMPUTED_VALUE"""),"不要")</f>
        <v>不要</v>
      </c>
      <c r="P492" s="6"/>
      <c r="Q492" s="6"/>
      <c r="R492" s="6"/>
      <c r="S492" s="6" t="str">
        <f aca="false">IFERROR(__xludf.dummyfunction("""COMPUTED_VALUE"""),"家具家電なし社宅")</f>
        <v>家具家電なし社宅</v>
      </c>
      <c r="T492" s="6" t="str">
        <f aca="false">IFERROR(__xludf.dummyfunction("""COMPUTED_VALUE"""),"利用しない")</f>
        <v>利用しない</v>
      </c>
      <c r="U492" s="6"/>
      <c r="V492" s="6" t="str">
        <f aca="false">IFERROR(__xludf.dummyfunction("""COMPUTED_VALUE"""),"徒歩, 自転車, 電車")</f>
        <v>徒歩, 自転車, 電車</v>
      </c>
      <c r="W492" s="6"/>
      <c r="X492" s="6" t="str">
        <f aca="false">IFERROR(__xludf.dummyfunction("""COMPUTED_VALUE"""),"株式会社ビーネックステクノロジーズの社宅")</f>
        <v>株式会社ビーネックステクノロジーズの社宅</v>
      </c>
      <c r="Y492" s="6" t="str">
        <f aca="false">IFERROR(__xludf.dummyfunction("""COMPUTED_VALUE"""),"利用なし")</f>
        <v>利用なし</v>
      </c>
      <c r="Z492" s="6" t="str">
        <f aca="false">IFERROR(__xludf.dummyfunction("""COMPUTED_VALUE"""),"希望する")</f>
        <v>希望する</v>
      </c>
      <c r="AA492" s="6" t="str">
        <f aca="false">IFERROR(__xludf.dummyfunction("""COMPUTED_VALUE"""),"単身")</f>
        <v>単身</v>
      </c>
      <c r="AB492" s="6"/>
      <c r="AC492" s="6"/>
      <c r="AD492" s="6" t="str">
        <f aca="false">IFERROR(__xludf.dummyfunction("""COMPUTED_VALUE"""),"バス(風呂)・トイレ別
駐輪場あり
鉄筋コンクリート造
独立洗面所
レオパレスNG
ネット無料")</f>
        <v>バス(風呂)・トイレ別
駐輪場あり
鉄筋コンクリート造
独立洗面所
レオパレスNG
ネット無料</v>
      </c>
      <c r="AE492" s="6" t="str">
        <f aca="false">IFERROR(__xludf.dummyfunction("""COMPUTED_VALUE"""),"確認しました。")</f>
        <v>確認しました。</v>
      </c>
      <c r="AF492" s="6" t="str">
        <f aca="false">IFERROR(__xludf.dummyfunction("""COMPUTED_VALUE"""),"社宅基準の内容について確認しました")</f>
        <v>社宅基準の内容について確認しました</v>
      </c>
      <c r="AG492" s="6" t="str">
        <f aca="false">IFERROR(__xludf.dummyfunction("""COMPUTED_VALUE"""),"入居のしおりの内容についてご確認しました")</f>
        <v>入居のしおりの内容についてご確認しました</v>
      </c>
      <c r="AH492" s="6" t="str">
        <f aca="false">IFERROR(__xludf.dummyfunction("""COMPUTED_VALUE"""),"確認しました")</f>
        <v>確認しました</v>
      </c>
      <c r="AI492" s="6"/>
      <c r="AJ492" s="6" t="str">
        <v/>
      </c>
      <c r="AK492" s="6" t="str">
        <v/>
      </c>
      <c r="AL492" s="6" t="str">
        <v/>
      </c>
      <c r="AM492" s="6" t="str">
        <v/>
      </c>
      <c r="AN492" s="6" t="n">
        <f aca="false">FALSE()</f>
        <v>0</v>
      </c>
    </row>
    <row r="493" customFormat="false" ht="52.5" hidden="false" customHeight="true" outlineLevel="0" collapsed="false">
      <c r="A493" s="6" t="str">
        <f aca="false">IFERROR(__xludf.dummyfunction("""COMPUTED_VALUE"""),"2026/04/01 11:40:19")</f>
        <v>2026/04/01 11:40:19</v>
      </c>
      <c r="B493" s="6"/>
      <c r="C493" s="6" t="str">
        <f aca="false">IFERROR(__xludf.dummyfunction("""COMPUTED_VALUE"""),"72072")</f>
        <v>72072</v>
      </c>
      <c r="D493" s="6"/>
      <c r="E493" s="6"/>
      <c r="F493" s="6"/>
      <c r="G493" s="6" t="str">
        <f aca="false">IFERROR(__xludf.dummyfunction("""COMPUTED_VALUE"""),"2026/04/09")</f>
        <v>2026/04/09</v>
      </c>
      <c r="H493" s="6" t="str">
        <f aca="false">IFERROR(__xludf.dummyfunction("""COMPUTED_VALUE"""),"必要")</f>
        <v>必要</v>
      </c>
      <c r="I493" s="6" t="str">
        <f aca="false">IFERROR(__xludf.dummyfunction("""COMPUTED_VALUE"""),"男性")</f>
        <v>男性</v>
      </c>
      <c r="J493" s="6" t="str">
        <f aca="false">IFERROR(__xludf.dummyfunction("""COMPUTED_VALUE"""),"日本")</f>
        <v>日本</v>
      </c>
      <c r="K493" s="6" t="str">
        <f aca="false">IFERROR(__xludf.dummyfunction("""COMPUTED_VALUE"""),"4")</f>
        <v>4</v>
      </c>
      <c r="L493" s="6" t="str">
        <f aca="false">IFERROR(__xludf.dummyfunction("""COMPUTED_VALUE"""),"なし")</f>
        <v>なし</v>
      </c>
      <c r="M493" s="6" t="str">
        <f aca="false">IFERROR(__xludf.dummyfunction("""COMPUTED_VALUE"""),"なし")</f>
        <v>なし</v>
      </c>
      <c r="N493" s="6" t="str">
        <f aca="false">IFERROR(__xludf.dummyfunction("""COMPUTED_VALUE"""),"自転車")</f>
        <v>自転車</v>
      </c>
      <c r="O493" s="6" t="str">
        <f aca="false">IFERROR(__xludf.dummyfunction("""COMPUTED_VALUE"""),"不要")</f>
        <v>不要</v>
      </c>
      <c r="P493" s="6"/>
      <c r="Q493" s="6"/>
      <c r="R493" s="6"/>
      <c r="S493" s="6" t="str">
        <f aca="false">IFERROR(__xludf.dummyfunction("""COMPUTED_VALUE"""),"家具家電付き社宅")</f>
        <v>家具家電付き社宅</v>
      </c>
      <c r="T493" s="6" t="str">
        <f aca="false">IFERROR(__xludf.dummyfunction("""COMPUTED_VALUE"""),"利用しない")</f>
        <v>利用しない</v>
      </c>
      <c r="U493" s="6"/>
      <c r="V493" s="6" t="str">
        <f aca="false">IFERROR(__xludf.dummyfunction("""COMPUTED_VALUE"""),"バス")</f>
        <v>バス</v>
      </c>
      <c r="W493" s="6"/>
      <c r="X493" s="6" t="str">
        <f aca="false">IFERROR(__xludf.dummyfunction("""COMPUTED_VALUE"""),"実家")</f>
        <v>実家</v>
      </c>
      <c r="Y493" s="6"/>
      <c r="Z493" s="6" t="str">
        <f aca="false">IFERROR(__xludf.dummyfunction("""COMPUTED_VALUE"""),"希望する")</f>
        <v>希望する</v>
      </c>
      <c r="AA493" s="6" t="str">
        <f aca="false">IFERROR(__xludf.dummyfunction("""COMPUTED_VALUE"""),"単身")</f>
        <v>単身</v>
      </c>
      <c r="AB493" s="6"/>
      <c r="AC493" s="6"/>
      <c r="AD493" s="6"/>
      <c r="AE493" s="6" t="str">
        <f aca="false">IFERROR(__xludf.dummyfunction("""COMPUTED_VALUE"""),"確認しました。")</f>
        <v>確認しました。</v>
      </c>
      <c r="AF493" s="6" t="str">
        <f aca="false">IFERROR(__xludf.dummyfunction("""COMPUTED_VALUE"""),"社宅基準の内容について確認しました")</f>
        <v>社宅基準の内容について確認しました</v>
      </c>
      <c r="AG493" s="6" t="str">
        <f aca="false">IFERROR(__xludf.dummyfunction("""COMPUTED_VALUE"""),"入居のしおりの内容についてご確認しました")</f>
        <v>入居のしおりの内容についてご確認しました</v>
      </c>
      <c r="AH493" s="6" t="str">
        <f aca="false">IFERROR(__xludf.dummyfunction("""COMPUTED_VALUE"""),"確認しました")</f>
        <v>確認しました</v>
      </c>
      <c r="AI493" s="6"/>
      <c r="AJ493" s="6" t="str">
        <v/>
      </c>
      <c r="AK493" s="6" t="str">
        <v/>
      </c>
      <c r="AL493" s="6" t="str">
        <v/>
      </c>
      <c r="AM493" s="6" t="str">
        <v/>
      </c>
      <c r="AN493" s="6" t="n">
        <f aca="false">FALSE()</f>
        <v>0</v>
      </c>
    </row>
    <row r="494" customFormat="false" ht="52.5" hidden="false" customHeight="true" outlineLevel="0" collapsed="false">
      <c r="A494" s="6" t="str">
        <f aca="false">IFERROR(__xludf.dummyfunction("""COMPUTED_VALUE"""),"2026/04/01 18:53:15")</f>
        <v>2026/04/01 18:53:15</v>
      </c>
      <c r="B494" s="6"/>
      <c r="C494" s="6" t="str">
        <f aca="false">IFERROR(__xludf.dummyfunction("""COMPUTED_VALUE"""),"72073")</f>
        <v>72073</v>
      </c>
      <c r="D494" s="6"/>
      <c r="E494" s="6"/>
      <c r="F494" s="6"/>
      <c r="G494" s="6" t="str">
        <f aca="false">IFERROR(__xludf.dummyfunction("""COMPUTED_VALUE"""),"2026/04/11")</f>
        <v>2026/04/11</v>
      </c>
      <c r="H494" s="6" t="str">
        <f aca="false">IFERROR(__xludf.dummyfunction("""COMPUTED_VALUE"""),"必要")</f>
        <v>必要</v>
      </c>
      <c r="I494" s="6" t="str">
        <f aca="false">IFERROR(__xludf.dummyfunction("""COMPUTED_VALUE"""),"男性")</f>
        <v>男性</v>
      </c>
      <c r="J494" s="6" t="str">
        <f aca="false">IFERROR(__xludf.dummyfunction("""COMPUTED_VALUE"""),"日本")</f>
        <v>日本</v>
      </c>
      <c r="K494" s="6" t="str">
        <f aca="false">IFERROR(__xludf.dummyfunction("""COMPUTED_VALUE"""),"10")</f>
        <v>10</v>
      </c>
      <c r="L494" s="6" t="str">
        <f aca="false">IFERROR(__xludf.dummyfunction("""COMPUTED_VALUE"""),"炊飯器、オーブン")</f>
        <v>炊飯器、オーブン</v>
      </c>
      <c r="M494" s="6" t="str">
        <f aca="false">IFERROR(__xludf.dummyfunction("""COMPUTED_VALUE"""),"ゲーミングチェア")</f>
        <v>ゲーミングチェア</v>
      </c>
      <c r="N494" s="6" t="str">
        <f aca="false">IFERROR(__xludf.dummyfunction("""COMPUTED_VALUE"""),"自転車")</f>
        <v>自転車</v>
      </c>
      <c r="O494" s="6" t="str">
        <f aca="false">IFERROR(__xludf.dummyfunction("""COMPUTED_VALUE"""),"不要")</f>
        <v>不要</v>
      </c>
      <c r="P494" s="6"/>
      <c r="Q494" s="6"/>
      <c r="R494" s="6"/>
      <c r="S494" s="6" t="str">
        <f aca="false">IFERROR(__xludf.dummyfunction("""COMPUTED_VALUE"""),"家具家電付き社宅")</f>
        <v>家具家電付き社宅</v>
      </c>
      <c r="T494" s="6" t="str">
        <f aca="false">IFERROR(__xludf.dummyfunction("""COMPUTED_VALUE"""),"利用しない")</f>
        <v>利用しない</v>
      </c>
      <c r="U494" s="6"/>
      <c r="V494" s="6" t="str">
        <f aca="false">IFERROR(__xludf.dummyfunction("""COMPUTED_VALUE"""),"バス")</f>
        <v>バス</v>
      </c>
      <c r="W494" s="6"/>
      <c r="X494" s="6" t="str">
        <f aca="false">IFERROR(__xludf.dummyfunction("""COMPUTED_VALUE"""),"実家")</f>
        <v>実家</v>
      </c>
      <c r="Y494" s="6"/>
      <c r="Z494" s="6" t="str">
        <f aca="false">IFERROR(__xludf.dummyfunction("""COMPUTED_VALUE"""),"希望しない")</f>
        <v>希望しない</v>
      </c>
      <c r="AA494" s="6" t="str">
        <f aca="false">IFERROR(__xludf.dummyfunction("""COMPUTED_VALUE"""),"単身")</f>
        <v>単身</v>
      </c>
      <c r="AB494" s="6"/>
      <c r="AC494" s="6"/>
      <c r="AD494" s="6" t="str">
        <f aca="false">IFERROR(__xludf.dummyfunction("""COMPUTED_VALUE"""),"石山駅周辺であれば家具なし物件も紹介して欲しいです")</f>
        <v>石山駅周辺であれば家具なし物件も紹介して欲しいです</v>
      </c>
      <c r="AE494" s="6" t="str">
        <f aca="false">IFERROR(__xludf.dummyfunction("""COMPUTED_VALUE"""),"確認しました。")</f>
        <v>確認しました。</v>
      </c>
      <c r="AF494" s="6" t="str">
        <f aca="false">IFERROR(__xludf.dummyfunction("""COMPUTED_VALUE"""),"社宅基準の内容について確認しました")</f>
        <v>社宅基準の内容について確認しました</v>
      </c>
      <c r="AG494" s="6" t="str">
        <f aca="false">IFERROR(__xludf.dummyfunction("""COMPUTED_VALUE"""),"入居のしおりの内容についてご確認しました")</f>
        <v>入居のしおりの内容についてご確認しました</v>
      </c>
      <c r="AH494" s="6" t="str">
        <f aca="false">IFERROR(__xludf.dummyfunction("""COMPUTED_VALUE"""),"確認しました")</f>
        <v>確認しました</v>
      </c>
      <c r="AI494" s="6"/>
      <c r="AJ494" s="6" t="str">
        <v/>
      </c>
      <c r="AK494" s="6" t="str">
        <v/>
      </c>
      <c r="AL494" s="6" t="str">
        <v/>
      </c>
      <c r="AM494" s="6" t="str">
        <v/>
      </c>
      <c r="AN494" s="6" t="n">
        <f aca="false">FALSE()</f>
        <v>0</v>
      </c>
    </row>
    <row r="495" customFormat="false" ht="52.5" hidden="false" customHeight="true" outlineLevel="0" collapsed="false">
      <c r="A495" s="6" t="str">
        <f aca="false">IFERROR(__xludf.dummyfunction("""COMPUTED_VALUE"""),"2026/04/01 19:02:08")</f>
        <v>2026/04/01 19:02:08</v>
      </c>
      <c r="B495" s="6"/>
      <c r="C495" s="6" t="str">
        <f aca="false">IFERROR(__xludf.dummyfunction("""COMPUTED_VALUE"""),"02079")</f>
        <v>02079</v>
      </c>
      <c r="D495" s="6"/>
      <c r="E495" s="6"/>
      <c r="F495" s="6"/>
      <c r="G495" s="6" t="str">
        <f aca="false">IFERROR(__xludf.dummyfunction("""COMPUTED_VALUE"""),"2026/04/24")</f>
        <v>2026/04/24</v>
      </c>
      <c r="H495" s="6" t="str">
        <f aca="false">IFERROR(__xludf.dummyfunction("""COMPUTED_VALUE"""),"必要")</f>
        <v>必要</v>
      </c>
      <c r="I495" s="6" t="str">
        <f aca="false">IFERROR(__xludf.dummyfunction("""COMPUTED_VALUE"""),"男性")</f>
        <v>男性</v>
      </c>
      <c r="J495" s="6" t="str">
        <f aca="false">IFERROR(__xludf.dummyfunction("""COMPUTED_VALUE"""),"日本")</f>
        <v>日本</v>
      </c>
      <c r="K495" s="6" t="str">
        <f aca="false">IFERROR(__xludf.dummyfunction("""COMPUTED_VALUE"""),"5")</f>
        <v>5</v>
      </c>
      <c r="L495" s="6" t="str">
        <f aca="false">IFERROR(__xludf.dummyfunction("""COMPUTED_VALUE"""),"特になし")</f>
        <v>特になし</v>
      </c>
      <c r="M495" s="6" t="str">
        <f aca="false">IFERROR(__xludf.dummyfunction("""COMPUTED_VALUE"""),"L字型デスク　幅150×奥行130×高さ75.5㎝
ゲーミングチェア
タンス　幅60×奥行60×高さ190㎝")</f>
        <v>L字型デスク　幅150×奥行130×高さ75.5㎝
ゲーミングチェア
タンス　幅60×奥行60×高さ190㎝</v>
      </c>
      <c r="N495" s="6" t="str">
        <f aca="false">IFERROR(__xludf.dummyfunction("""COMPUTED_VALUE"""),"自転車")</f>
        <v>自転車</v>
      </c>
      <c r="O495" s="6" t="str">
        <f aca="false">IFERROR(__xludf.dummyfunction("""COMPUTED_VALUE"""),"不要")</f>
        <v>不要</v>
      </c>
      <c r="P495" s="6"/>
      <c r="Q495" s="6"/>
      <c r="R495" s="6"/>
      <c r="S495" s="6" t="str">
        <f aca="false">IFERROR(__xludf.dummyfunction("""COMPUTED_VALUE"""),"家具家電付き社宅")</f>
        <v>家具家電付き社宅</v>
      </c>
      <c r="T495" s="6" t="str">
        <f aca="false">IFERROR(__xludf.dummyfunction("""COMPUTED_VALUE"""),"利用しない")</f>
        <v>利用しない</v>
      </c>
      <c r="U495" s="6"/>
      <c r="V495" s="6" t="str">
        <f aca="false">IFERROR(__xludf.dummyfunction("""COMPUTED_VALUE"""),"電車, バス")</f>
        <v>電車, バス</v>
      </c>
      <c r="W495" s="6"/>
      <c r="X495" s="6" t="str">
        <f aca="false">IFERROR(__xludf.dummyfunction("""COMPUTED_VALUE"""),"株式会社オープンアップネクストエンジニア様の社宅")</f>
        <v>株式会社オープンアップネクストエンジニア様の社宅</v>
      </c>
      <c r="Y495" s="6" t="str">
        <f aca="false">IFERROR(__xludf.dummyfunction("""COMPUTED_VALUE"""),"利用なし")</f>
        <v>利用なし</v>
      </c>
      <c r="Z495" s="6" t="str">
        <f aca="false">IFERROR(__xludf.dummyfunction("""COMPUTED_VALUE"""),"希望する")</f>
        <v>希望する</v>
      </c>
      <c r="AA495" s="6" t="str">
        <f aca="false">IFERROR(__xludf.dummyfunction("""COMPUTED_VALUE"""),"単身")</f>
        <v>単身</v>
      </c>
      <c r="AB495" s="6"/>
      <c r="AC495" s="6"/>
      <c r="AD495" s="6"/>
      <c r="AE495" s="6" t="str">
        <f aca="false">IFERROR(__xludf.dummyfunction("""COMPUTED_VALUE"""),"確認しました。")</f>
        <v>確認しました。</v>
      </c>
      <c r="AF495" s="6" t="str">
        <f aca="false">IFERROR(__xludf.dummyfunction("""COMPUTED_VALUE"""),"社宅基準の内容について確認しました")</f>
        <v>社宅基準の内容について確認しました</v>
      </c>
      <c r="AG495" s="6" t="str">
        <f aca="false">IFERROR(__xludf.dummyfunction("""COMPUTED_VALUE"""),"入居のしおりの内容についてご確認しました")</f>
        <v>入居のしおりの内容についてご確認しました</v>
      </c>
      <c r="AH495" s="6" t="str">
        <f aca="false">IFERROR(__xludf.dummyfunction("""COMPUTED_VALUE"""),"確認しました")</f>
        <v>確認しました</v>
      </c>
      <c r="AI495" s="6"/>
      <c r="AJ495" s="6" t="str">
        <v/>
      </c>
      <c r="AK495" s="6" t="str">
        <v/>
      </c>
      <c r="AL495" s="6" t="str">
        <v/>
      </c>
      <c r="AM495" s="6" t="str">
        <v/>
      </c>
      <c r="AN495" s="6" t="n">
        <f aca="false">FALSE()</f>
        <v>0</v>
      </c>
    </row>
    <row r="496" customFormat="false" ht="52.5" hidden="false" customHeight="true" outlineLevel="0" collapsed="false">
      <c r="A496" s="6" t="str">
        <f aca="false">IFERROR(__xludf.dummyfunction("""COMPUTED_VALUE"""),"2026/04/01 19:13:27")</f>
        <v>2026/04/01 19:13:27</v>
      </c>
      <c r="B496" s="6"/>
      <c r="C496" s="6" t="str">
        <f aca="false">IFERROR(__xludf.dummyfunction("""COMPUTED_VALUE"""),"72101")</f>
        <v>72101</v>
      </c>
      <c r="D496" s="6"/>
      <c r="E496" s="6"/>
      <c r="F496" s="6"/>
      <c r="G496" s="6" t="str">
        <f aca="false">IFERROR(__xludf.dummyfunction("""COMPUTED_VALUE"""),"2026/05/25")</f>
        <v>2026/05/25</v>
      </c>
      <c r="H496" s="6" t="str">
        <f aca="false">IFERROR(__xludf.dummyfunction("""COMPUTED_VALUE"""),"必要")</f>
        <v>必要</v>
      </c>
      <c r="I496" s="6" t="str">
        <f aca="false">IFERROR(__xludf.dummyfunction("""COMPUTED_VALUE"""),"男性")</f>
        <v>男性</v>
      </c>
      <c r="J496" s="6" t="str">
        <f aca="false">IFERROR(__xludf.dummyfunction("""COMPUTED_VALUE"""),"日本")</f>
        <v>日本</v>
      </c>
      <c r="K496" s="6" t="str">
        <f aca="false">IFERROR(__xludf.dummyfunction("""COMPUTED_VALUE"""),"6")</f>
        <v>6</v>
      </c>
      <c r="L496" s="6" t="str">
        <f aca="false">IFERROR(__xludf.dummyfunction("""COMPUTED_VALUE"""),"冷蔵庫(601ℓ:家族用)、洗濯機")</f>
        <v>冷蔵庫(601ℓ:家族用)、洗濯機</v>
      </c>
      <c r="M496" s="6" t="str">
        <f aca="false">IFERROR(__xludf.dummyfunction("""COMPUTED_VALUE"""),"ベッド(シングル)、ソファー(2人掛け)")</f>
        <v>ベッド(シングル)、ソファー(2人掛け)</v>
      </c>
      <c r="N496" s="6"/>
      <c r="O496" s="6" t="str">
        <f aca="false">IFERROR(__xludf.dummyfunction("""COMPUTED_VALUE"""),"不要")</f>
        <v>不要</v>
      </c>
      <c r="P496" s="6"/>
      <c r="Q496" s="6"/>
      <c r="R496" s="6"/>
      <c r="S496" s="6" t="str">
        <f aca="false">IFERROR(__xludf.dummyfunction("""COMPUTED_VALUE"""),"家具家電なし社宅")</f>
        <v>家具家電なし社宅</v>
      </c>
      <c r="T496" s="6" t="str">
        <f aca="false">IFERROR(__xludf.dummyfunction("""COMPUTED_VALUE"""),"利用しない")</f>
        <v>利用しない</v>
      </c>
      <c r="U496" s="6"/>
      <c r="V496" s="6" t="str">
        <f aca="false">IFERROR(__xludf.dummyfunction("""COMPUTED_VALUE"""),"徒歩, 電車")</f>
        <v>徒歩, 電車</v>
      </c>
      <c r="W496" s="6"/>
      <c r="X496" s="6" t="str">
        <f aca="false">IFERROR(__xludf.dummyfunction("""COMPUTED_VALUE"""),"ご自身で契約中の物件")</f>
        <v>ご自身で契約中の物件</v>
      </c>
      <c r="Y496" s="6"/>
      <c r="Z496" s="6" t="str">
        <f aca="false">IFERROR(__xludf.dummyfunction("""COMPUTED_VALUE"""),"希望する")</f>
        <v>希望する</v>
      </c>
      <c r="AA496" s="6" t="str">
        <f aca="false">IFERROR(__xludf.dummyfunction("""COMPUTED_VALUE"""),"家族")</f>
        <v>家族</v>
      </c>
      <c r="AB496" s="6" t="str">
        <f aca="false">IFERROR(__xludf.dummyfunction("""COMPUTED_VALUE"""),"氏名：早川　愛里
フリガナ：ハヤカワ　アイリ
生年月日：1997年7月11日
携帯番号：09079691310
続柄：妻
氏名：早川　晴陽
フリガナ：ハヤカワ　ハルヒ
生年月日：2026年5月上旬出産予定
続柄：息子")</f>
        <v>氏名：早川　愛里
フリガナ：ハヤカワ　アイリ
生年月日：1997年7月11日
携帯番号：09079691310
続柄：妻
氏名：早川　晴陽
フリガナ：ハヤカワ　ハルヒ
生年月日：2026年5月上旬出産予定
続柄：息子</v>
      </c>
      <c r="AC496" s="6"/>
      <c r="AD496" s="6"/>
      <c r="AE496" s="6" t="str">
        <f aca="false">IFERROR(__xludf.dummyfunction("""COMPUTED_VALUE"""),"確認しました。")</f>
        <v>確認しました。</v>
      </c>
      <c r="AF496" s="6" t="str">
        <f aca="false">IFERROR(__xludf.dummyfunction("""COMPUTED_VALUE"""),"社宅基準の内容について確認しました")</f>
        <v>社宅基準の内容について確認しました</v>
      </c>
      <c r="AG496" s="6" t="str">
        <f aca="false">IFERROR(__xludf.dummyfunction("""COMPUTED_VALUE"""),"入居のしおりの内容についてご確認しました")</f>
        <v>入居のしおりの内容についてご確認しました</v>
      </c>
      <c r="AH496" s="6" t="str">
        <f aca="false">IFERROR(__xludf.dummyfunction("""COMPUTED_VALUE"""),"確認しました")</f>
        <v>確認しました</v>
      </c>
      <c r="AI496" s="6"/>
      <c r="AJ496" s="6" t="str">
        <v/>
      </c>
      <c r="AK496" s="6" t="str">
        <v/>
      </c>
      <c r="AL496" s="6" t="str">
        <v/>
      </c>
      <c r="AM496" s="6" t="str">
        <v/>
      </c>
      <c r="AN496" s="6" t="n">
        <f aca="false">FALSE()</f>
        <v>0</v>
      </c>
    </row>
    <row r="497" customFormat="false" ht="52.5" hidden="false" customHeight="true" outlineLevel="0" collapsed="false">
      <c r="A497" s="6" t="str">
        <f aca="false">IFERROR(__xludf.dummyfunction("""COMPUTED_VALUE"""),"2026/04/01 19:34:58")</f>
        <v>2026/04/01 19:34:58</v>
      </c>
      <c r="B497" s="6"/>
      <c r="C497" s="6" t="str">
        <f aca="false">IFERROR(__xludf.dummyfunction("""COMPUTED_VALUE"""),"72074")</f>
        <v>72074</v>
      </c>
      <c r="D497" s="6"/>
      <c r="E497" s="6"/>
      <c r="F497" s="6"/>
      <c r="G497" s="6" t="str">
        <f aca="false">IFERROR(__xludf.dummyfunction("""COMPUTED_VALUE"""),"2026/04/19")</f>
        <v>2026/04/19</v>
      </c>
      <c r="H497" s="6" t="str">
        <f aca="false">IFERROR(__xludf.dummyfunction("""COMPUTED_VALUE"""),"必要")</f>
        <v>必要</v>
      </c>
      <c r="I497" s="6" t="str">
        <f aca="false">IFERROR(__xludf.dummyfunction("""COMPUTED_VALUE"""),"男性")</f>
        <v>男性</v>
      </c>
      <c r="J497" s="6" t="str">
        <f aca="false">IFERROR(__xludf.dummyfunction("""COMPUTED_VALUE"""),"日本")</f>
        <v>日本</v>
      </c>
      <c r="K497" s="6" t="str">
        <f aca="false">IFERROR(__xludf.dummyfunction("""COMPUTED_VALUE"""),"15")</f>
        <v>15</v>
      </c>
      <c r="L497" s="6" t="str">
        <f aca="false">IFERROR(__xludf.dummyfunction("""COMPUTED_VALUE"""),"2ドア冷蔵庫 ドラム式洗濯機 幅595×奥行685×高さ943（ｍｍ）")</f>
        <v>2ドア冷蔵庫 ドラム式洗濯機 幅595×奥行685×高さ943（ｍｍ）</v>
      </c>
      <c r="M497" s="6" t="str">
        <f aca="false">IFERROR(__xludf.dummyfunction("""COMPUTED_VALUE"""),"テレビ50v 折りたたみデスク 折りたたみシングルベッド 2人掛けソファ")</f>
        <v>テレビ50v 折りたたみデスク 折りたたみシングルベッド 2人掛けソファ</v>
      </c>
      <c r="N497" s="6"/>
      <c r="O497" s="6" t="str">
        <f aca="false">IFERROR(__xludf.dummyfunction("""COMPUTED_VALUE"""),"不要")</f>
        <v>不要</v>
      </c>
      <c r="P497" s="6"/>
      <c r="Q497" s="6"/>
      <c r="R497" s="6"/>
      <c r="S497" s="6" t="str">
        <f aca="false">IFERROR(__xludf.dummyfunction("""COMPUTED_VALUE"""),"家具家電なし社宅")</f>
        <v>家具家電なし社宅</v>
      </c>
      <c r="T497" s="6" t="str">
        <f aca="false">IFERROR(__xludf.dummyfunction("""COMPUTED_VALUE"""),"利用しない")</f>
        <v>利用しない</v>
      </c>
      <c r="U497" s="6"/>
      <c r="V497" s="6" t="str">
        <f aca="false">IFERROR(__xludf.dummyfunction("""COMPUTED_VALUE"""),"徒歩, 電車")</f>
        <v>徒歩, 電車</v>
      </c>
      <c r="W497" s="6"/>
      <c r="X497" s="6" t="str">
        <f aca="false">IFERROR(__xludf.dummyfunction("""COMPUTED_VALUE"""),"株式会社オープンアップネクストエンジニア様の社宅")</f>
        <v>株式会社オープンアップネクストエンジニア様の社宅</v>
      </c>
      <c r="Y497" s="6" t="str">
        <f aca="false">IFERROR(__xludf.dummyfunction("""COMPUTED_VALUE"""),"利用なし")</f>
        <v>利用なし</v>
      </c>
      <c r="Z497" s="6" t="str">
        <f aca="false">IFERROR(__xludf.dummyfunction("""COMPUTED_VALUE"""),"希望しない")</f>
        <v>希望しない</v>
      </c>
      <c r="AA497" s="6" t="str">
        <f aca="false">IFERROR(__xludf.dummyfunction("""COMPUTED_VALUE"""),"単身")</f>
        <v>単身</v>
      </c>
      <c r="AB497" s="6"/>
      <c r="AC497" s="6"/>
      <c r="AD497" s="6"/>
      <c r="AE497" s="6" t="str">
        <f aca="false">IFERROR(__xludf.dummyfunction("""COMPUTED_VALUE"""),"確認しました。")</f>
        <v>確認しました。</v>
      </c>
      <c r="AF497" s="6" t="str">
        <f aca="false">IFERROR(__xludf.dummyfunction("""COMPUTED_VALUE"""),"社宅基準の内容について確認しました")</f>
        <v>社宅基準の内容について確認しました</v>
      </c>
      <c r="AG497" s="6" t="str">
        <f aca="false">IFERROR(__xludf.dummyfunction("""COMPUTED_VALUE"""),"入居のしおりの内容についてご確認しました")</f>
        <v>入居のしおりの内容についてご確認しました</v>
      </c>
      <c r="AH497" s="6" t="str">
        <f aca="false">IFERROR(__xludf.dummyfunction("""COMPUTED_VALUE"""),"確認しました")</f>
        <v>確認しました</v>
      </c>
      <c r="AI497" s="6"/>
      <c r="AJ497" s="6" t="str">
        <v/>
      </c>
      <c r="AK497" s="6" t="str">
        <v/>
      </c>
      <c r="AL497" s="6" t="str">
        <v/>
      </c>
      <c r="AM497" s="6" t="str">
        <v/>
      </c>
      <c r="AN497" s="6" t="n">
        <f aca="false">FALSE()</f>
        <v>0</v>
      </c>
    </row>
    <row r="498" customFormat="false" ht="52.5" hidden="false" customHeight="true" outlineLevel="0" collapsed="false">
      <c r="A498" s="6" t="str">
        <f aca="false">IFERROR(__xludf.dummyfunction("""COMPUTED_VALUE"""),"2026/04/01 23:09:33")</f>
        <v>2026/04/01 23:09:33</v>
      </c>
      <c r="B498" s="6"/>
      <c r="C498" s="6" t="str">
        <f aca="false">IFERROR(__xludf.dummyfunction("""COMPUTED_VALUE"""),"72043")</f>
        <v>72043</v>
      </c>
      <c r="D498" s="6"/>
      <c r="E498" s="6"/>
      <c r="F498" s="6"/>
      <c r="G498" s="6" t="str">
        <f aca="false">IFERROR(__xludf.dummyfunction("""COMPUTED_VALUE"""),"2026/05/01")</f>
        <v>2026/05/01</v>
      </c>
      <c r="H498" s="6" t="str">
        <f aca="false">IFERROR(__xludf.dummyfunction("""COMPUTED_VALUE"""),"不要")</f>
        <v>不要</v>
      </c>
      <c r="I498" s="6" t="str">
        <f aca="false">IFERROR(__xludf.dummyfunction("""COMPUTED_VALUE"""),"男性")</f>
        <v>男性</v>
      </c>
      <c r="J498" s="6" t="str">
        <f aca="false">IFERROR(__xludf.dummyfunction("""COMPUTED_VALUE"""),"日本")</f>
        <v>日本</v>
      </c>
      <c r="K498" s="6"/>
      <c r="L498" s="6"/>
      <c r="M498" s="6"/>
      <c r="N498" s="6"/>
      <c r="O498" s="6" t="str">
        <f aca="false">IFERROR(__xludf.dummyfunction("""COMPUTED_VALUE"""),"必要")</f>
        <v>必要</v>
      </c>
      <c r="P498" s="6" t="str">
        <f aca="false">IFERROR(__xludf.dummyfunction("""COMPUTED_VALUE"""),"キックス")</f>
        <v>キックス</v>
      </c>
      <c r="Q498" s="6" t="str">
        <f aca="false">IFERROR(__xludf.dummyfunction("""COMPUTED_VALUE"""),"か55-08")</f>
        <v>か55-08</v>
      </c>
      <c r="R498" s="6" t="str">
        <f aca="false">IFERROR(__xludf.dummyfunction("""COMPUTED_VALUE"""),"グレーメタリック")</f>
        <v>グレーメタリック</v>
      </c>
      <c r="S498" s="6" t="str">
        <f aca="false">IFERROR(__xludf.dummyfunction("""COMPUTED_VALUE"""),"家具家電なし社宅")</f>
        <v>家具家電なし社宅</v>
      </c>
      <c r="T498" s="6" t="str">
        <f aca="false">IFERROR(__xludf.dummyfunction("""COMPUTED_VALUE"""),"利用しない")</f>
        <v>利用しない</v>
      </c>
      <c r="U498" s="6"/>
      <c r="V498" s="6" t="str">
        <f aca="false">IFERROR(__xludf.dummyfunction("""COMPUTED_VALUE"""),"自動車")</f>
        <v>自動車</v>
      </c>
      <c r="W498" s="6"/>
      <c r="X498" s="6" t="str">
        <f aca="false">IFERROR(__xludf.dummyfunction("""COMPUTED_VALUE"""),"株式会社オープンアップネクストエンジニア様の社宅")</f>
        <v>株式会社オープンアップネクストエンジニア様の社宅</v>
      </c>
      <c r="Y498" s="6" t="str">
        <f aca="false">IFERROR(__xludf.dummyfunction("""COMPUTED_VALUE"""),"利用なし")</f>
        <v>利用なし</v>
      </c>
      <c r="Z498" s="6" t="str">
        <f aca="false">IFERROR(__xludf.dummyfunction("""COMPUTED_VALUE"""),"希望しない")</f>
        <v>希望しない</v>
      </c>
      <c r="AA498" s="6" t="str">
        <f aca="false">IFERROR(__xludf.dummyfunction("""COMPUTED_VALUE"""),"家族")</f>
        <v>家族</v>
      </c>
      <c r="AB498" s="6" t="str">
        <f aca="false">IFERROR(__xludf.dummyfunction("""COMPUTED_VALUE"""),"氏名：若林　萌
フリガナ：ワカバヤシ　メグム
生年月日：1983年７月５日
携帯番号：09077657050
続柄：妻")</f>
        <v>氏名：若林　萌
フリガナ：ワカバヤシ　メグム
生年月日：1983年７月５日
携帯番号：09077657050
続柄：妻</v>
      </c>
      <c r="AC498" s="6"/>
      <c r="AD498" s="6"/>
      <c r="AE498" s="6" t="str">
        <f aca="false">IFERROR(__xludf.dummyfunction("""COMPUTED_VALUE"""),"確認しました。")</f>
        <v>確認しました。</v>
      </c>
      <c r="AF498" s="6" t="str">
        <f aca="false">IFERROR(__xludf.dummyfunction("""COMPUTED_VALUE"""),"社宅基準の内容について確認しました")</f>
        <v>社宅基準の内容について確認しました</v>
      </c>
      <c r="AG498" s="6" t="str">
        <f aca="false">IFERROR(__xludf.dummyfunction("""COMPUTED_VALUE"""),"入居のしおりの内容についてご確認しました")</f>
        <v>入居のしおりの内容についてご確認しました</v>
      </c>
      <c r="AH498" s="6" t="str">
        <f aca="false">IFERROR(__xludf.dummyfunction("""COMPUTED_VALUE"""),"確認しました")</f>
        <v>確認しました</v>
      </c>
      <c r="AI498" s="6"/>
      <c r="AJ498" s="6" t="str">
        <v/>
      </c>
      <c r="AK498" s="6" t="str">
        <v/>
      </c>
      <c r="AL498" s="6" t="str">
        <v/>
      </c>
      <c r="AM498" s="6" t="str">
        <v/>
      </c>
      <c r="AN498" s="6" t="n">
        <f aca="false">FALSE()</f>
        <v>0</v>
      </c>
    </row>
    <row r="499" customFormat="false" ht="52.5" hidden="false" customHeight="true" outlineLevel="0" collapsed="false">
      <c r="A499" s="6" t="str">
        <f aca="false">IFERROR(__xludf.dummyfunction("""COMPUTED_VALUE"""),"2026/04/02 0:30:10")</f>
        <v>2026/04/02 0:30:10</v>
      </c>
      <c r="B499" s="6"/>
      <c r="C499" s="6" t="str">
        <f aca="false">IFERROR(__xludf.dummyfunction("""COMPUTED_VALUE"""),"72077")</f>
        <v>72077</v>
      </c>
      <c r="D499" s="6"/>
      <c r="E499" s="6"/>
      <c r="F499" s="6"/>
      <c r="G499" s="6" t="str">
        <f aca="false">IFERROR(__xludf.dummyfunction("""COMPUTED_VALUE"""),"2026/04/17")</f>
        <v>2026/04/17</v>
      </c>
      <c r="H499" s="6" t="str">
        <f aca="false">IFERROR(__xludf.dummyfunction("""COMPUTED_VALUE"""),"必要")</f>
        <v>必要</v>
      </c>
      <c r="I499" s="6" t="str">
        <f aca="false">IFERROR(__xludf.dummyfunction("""COMPUTED_VALUE"""),"女性")</f>
        <v>女性</v>
      </c>
      <c r="J499" s="6" t="str">
        <f aca="false">IFERROR(__xludf.dummyfunction("""COMPUTED_VALUE"""),"日本")</f>
        <v>日本</v>
      </c>
      <c r="K499" s="6" t="str">
        <f aca="false">IFERROR(__xludf.dummyfunction("""COMPUTED_VALUE"""),"20")</f>
        <v>20</v>
      </c>
      <c r="L499" s="6" t="str">
        <f aca="false">IFERROR(__xludf.dummyfunction("""COMPUTED_VALUE"""),"冷蔵庫(2ドア)、洗濯機、テレビ、オーブンレンジ、炊飯器、電子レンジ")</f>
        <v>冷蔵庫(2ドア)、洗濯機、テレビ、オーブンレンジ、炊飯器、電子レンジ</v>
      </c>
      <c r="M499" s="6" t="str">
        <f aca="false">IFERROR(__xludf.dummyfunction("""COMPUTED_VALUE"""),"マットレス(セミダブル)、棚(小さめ)×2、ソファ(折りたたみ・足がないタイプ)×3")</f>
        <v>マットレス(セミダブル)、棚(小さめ)×2、ソファ(折りたたみ・足がないタイプ)×3</v>
      </c>
      <c r="N499" s="6"/>
      <c r="O499" s="6" t="str">
        <f aca="false">IFERROR(__xludf.dummyfunction("""COMPUTED_VALUE"""),"不要")</f>
        <v>不要</v>
      </c>
      <c r="P499" s="6"/>
      <c r="Q499" s="6"/>
      <c r="R499" s="6"/>
      <c r="S499" s="6" t="str">
        <f aca="false">IFERROR(__xludf.dummyfunction("""COMPUTED_VALUE"""),"家具家電なし社宅")</f>
        <v>家具家電なし社宅</v>
      </c>
      <c r="T499" s="6" t="str">
        <f aca="false">IFERROR(__xludf.dummyfunction("""COMPUTED_VALUE"""),"利用しない")</f>
        <v>利用しない</v>
      </c>
      <c r="U499" s="6"/>
      <c r="V499" s="6" t="str">
        <f aca="false">IFERROR(__xludf.dummyfunction("""COMPUTED_VALUE"""),"徒歩, 電車, バス")</f>
        <v>徒歩, 電車, バス</v>
      </c>
      <c r="W499" s="6"/>
      <c r="X499" s="6" t="str">
        <f aca="false">IFERROR(__xludf.dummyfunction("""COMPUTED_VALUE"""),"ご自身で契約中の物件")</f>
        <v>ご自身で契約中の物件</v>
      </c>
      <c r="Y499" s="6"/>
      <c r="Z499" s="6" t="str">
        <f aca="false">IFERROR(__xludf.dummyfunction("""COMPUTED_VALUE"""),"希望する")</f>
        <v>希望する</v>
      </c>
      <c r="AA499" s="6" t="str">
        <f aca="false">IFERROR(__xludf.dummyfunction("""COMPUTED_VALUE"""),"単身")</f>
        <v>単身</v>
      </c>
      <c r="AB499" s="6"/>
      <c r="AC499" s="6"/>
      <c r="AD499" s="6"/>
      <c r="AE499" s="6" t="str">
        <f aca="false">IFERROR(__xludf.dummyfunction("""COMPUTED_VALUE"""),"確認しました。")</f>
        <v>確認しました。</v>
      </c>
      <c r="AF499" s="6" t="str">
        <f aca="false">IFERROR(__xludf.dummyfunction("""COMPUTED_VALUE"""),"社宅基準の内容について確認しました")</f>
        <v>社宅基準の内容について確認しました</v>
      </c>
      <c r="AG499" s="6" t="str">
        <f aca="false">IFERROR(__xludf.dummyfunction("""COMPUTED_VALUE"""),"入居のしおりの内容についてご確認しました")</f>
        <v>入居のしおりの内容についてご確認しました</v>
      </c>
      <c r="AH499" s="6" t="str">
        <f aca="false">IFERROR(__xludf.dummyfunction("""COMPUTED_VALUE"""),"確認しました")</f>
        <v>確認しました</v>
      </c>
      <c r="AI499" s="6"/>
      <c r="AJ499" s="6" t="str">
        <v/>
      </c>
      <c r="AK499" s="6" t="str">
        <v/>
      </c>
      <c r="AL499" s="6" t="str">
        <v/>
      </c>
      <c r="AM499" s="6" t="str">
        <v/>
      </c>
      <c r="AN499" s="6" t="n">
        <f aca="false">FALSE()</f>
        <v>0</v>
      </c>
    </row>
    <row r="500" customFormat="false" ht="52.5" hidden="false" customHeight="true" outlineLevel="0" collapsed="false">
      <c r="A500" s="6" t="str">
        <f aca="false">IFERROR(__xludf.dummyfunction("""COMPUTED_VALUE"""),"2026/04/02 10:16:00")</f>
        <v>2026/04/02 10:16:00</v>
      </c>
      <c r="B500" s="6"/>
      <c r="C500" s="6" t="str">
        <f aca="false">IFERROR(__xludf.dummyfunction("""COMPUTED_VALUE"""),"72110")</f>
        <v>72110</v>
      </c>
      <c r="D500" s="6"/>
      <c r="E500" s="6"/>
      <c r="F500" s="6"/>
      <c r="G500" s="6" t="str">
        <f aca="false">IFERROR(__xludf.dummyfunction("""COMPUTED_VALUE"""),"2026/04/16")</f>
        <v>2026/04/16</v>
      </c>
      <c r="H500" s="6" t="str">
        <f aca="false">IFERROR(__xludf.dummyfunction("""COMPUTED_VALUE"""),"必要")</f>
        <v>必要</v>
      </c>
      <c r="I500" s="6" t="str">
        <f aca="false">IFERROR(__xludf.dummyfunction("""COMPUTED_VALUE"""),"男性")</f>
        <v>男性</v>
      </c>
      <c r="J500" s="6" t="str">
        <f aca="false">IFERROR(__xludf.dummyfunction("""COMPUTED_VALUE"""),"日本")</f>
        <v>日本</v>
      </c>
      <c r="K500" s="6" t="str">
        <f aca="false">IFERROR(__xludf.dummyfunction("""COMPUTED_VALUE"""),"15")</f>
        <v>15</v>
      </c>
      <c r="L500" s="6" t="str">
        <f aca="false">IFERROR(__xludf.dummyfunction("""COMPUTED_VALUE"""),"ヒーター、扇風機、炊飯器、掃除機")</f>
        <v>ヒーター、扇風機、炊飯器、掃除機</v>
      </c>
      <c r="M500" s="6" t="str">
        <f aca="false">IFERROR(__xludf.dummyfunction("""COMPUTED_VALUE"""),"布団、カラーボックス扉付き(420×300×890)、カラーボックス扉無し(600×310×420)、ワイドチェスト(640×460×940)")</f>
        <v>布団、カラーボックス扉付き(420×300×890)、カラーボックス扉無し(600×310×420)、ワイドチェスト(640×460×940)</v>
      </c>
      <c r="N500" s="6" t="str">
        <f aca="false">IFERROR(__xludf.dummyfunction("""COMPUTED_VALUE"""),"自転車2台")</f>
        <v>自転車2台</v>
      </c>
      <c r="O500" s="6" t="str">
        <f aca="false">IFERROR(__xludf.dummyfunction("""COMPUTED_VALUE"""),"不要")</f>
        <v>不要</v>
      </c>
      <c r="P500" s="6"/>
      <c r="Q500" s="6"/>
      <c r="R500" s="6"/>
      <c r="S500" s="6" t="str">
        <f aca="false">IFERROR(__xludf.dummyfunction("""COMPUTED_VALUE"""),"家具家電付き社宅")</f>
        <v>家具家電付き社宅</v>
      </c>
      <c r="T500" s="6" t="str">
        <f aca="false">IFERROR(__xludf.dummyfunction("""COMPUTED_VALUE"""),"利用しない")</f>
        <v>利用しない</v>
      </c>
      <c r="U500" s="6"/>
      <c r="V500" s="6" t="str">
        <f aca="false">IFERROR(__xludf.dummyfunction("""COMPUTED_VALUE"""),"自転車")</f>
        <v>自転車</v>
      </c>
      <c r="W500" s="6"/>
      <c r="X500" s="6" t="str">
        <f aca="false">IFERROR(__xludf.dummyfunction("""COMPUTED_VALUE"""),"株式会社オープンアップネクストエンジニア様の社宅")</f>
        <v>株式会社オープンアップネクストエンジニア様の社宅</v>
      </c>
      <c r="Y500" s="6" t="str">
        <f aca="false">IFERROR(__xludf.dummyfunction("""COMPUTED_VALUE"""),"利用無し")</f>
        <v>利用無し</v>
      </c>
      <c r="Z500" s="6" t="str">
        <f aca="false">IFERROR(__xludf.dummyfunction("""COMPUTED_VALUE"""),"希望する")</f>
        <v>希望する</v>
      </c>
      <c r="AA500" s="6" t="str">
        <f aca="false">IFERROR(__xludf.dummyfunction("""COMPUTED_VALUE"""),"単身")</f>
        <v>単身</v>
      </c>
      <c r="AB500" s="6"/>
      <c r="AC500" s="6"/>
      <c r="AD500" s="6"/>
      <c r="AE500" s="6" t="str">
        <f aca="false">IFERROR(__xludf.dummyfunction("""COMPUTED_VALUE"""),"確認しました。")</f>
        <v>確認しました。</v>
      </c>
      <c r="AF500" s="6" t="str">
        <f aca="false">IFERROR(__xludf.dummyfunction("""COMPUTED_VALUE"""),"社宅基準の内容について確認しました")</f>
        <v>社宅基準の内容について確認しました</v>
      </c>
      <c r="AG500" s="6" t="str">
        <f aca="false">IFERROR(__xludf.dummyfunction("""COMPUTED_VALUE"""),"入居のしおりの内容についてご確認しました")</f>
        <v>入居のしおりの内容についてご確認しました</v>
      </c>
      <c r="AH500" s="6" t="str">
        <f aca="false">IFERROR(__xludf.dummyfunction("""COMPUTED_VALUE"""),"確認しました")</f>
        <v>確認しました</v>
      </c>
      <c r="AI500" s="6"/>
      <c r="AJ500" s="6" t="str">
        <v/>
      </c>
      <c r="AK500" s="6" t="str">
        <v/>
      </c>
      <c r="AL500" s="6" t="str">
        <v/>
      </c>
      <c r="AM500" s="6" t="str">
        <v/>
      </c>
      <c r="AN500" s="6" t="n">
        <f aca="false">FALSE()</f>
        <v>0</v>
      </c>
    </row>
    <row r="501" customFormat="false" ht="52.5" hidden="false" customHeight="true" outlineLevel="0" collapsed="false">
      <c r="A501" s="6" t="str">
        <f aca="false">IFERROR(__xludf.dummyfunction("""COMPUTED_VALUE"""),"2026/04/02 17:49:23")</f>
        <v>2026/04/02 17:49:23</v>
      </c>
      <c r="B501" s="6"/>
      <c r="C501" s="6" t="str">
        <f aca="false">IFERROR(__xludf.dummyfunction("""COMPUTED_VALUE"""),"71860")</f>
        <v>71860</v>
      </c>
      <c r="D501" s="6"/>
      <c r="E501" s="6"/>
      <c r="F501" s="6"/>
      <c r="G501" s="6" t="str">
        <f aca="false">IFERROR(__xludf.dummyfunction("""COMPUTED_VALUE"""),"2026/04/29")</f>
        <v>2026/04/29</v>
      </c>
      <c r="H501" s="6" t="str">
        <f aca="false">IFERROR(__xludf.dummyfunction("""COMPUTED_VALUE"""),"必要")</f>
        <v>必要</v>
      </c>
      <c r="I501" s="6" t="str">
        <f aca="false">IFERROR(__xludf.dummyfunction("""COMPUTED_VALUE"""),"男性")</f>
        <v>男性</v>
      </c>
      <c r="J501" s="6" t="str">
        <f aca="false">IFERROR(__xludf.dummyfunction("""COMPUTED_VALUE"""),"日本")</f>
        <v>日本</v>
      </c>
      <c r="K501" s="6" t="str">
        <f aca="false">IFERROR(__xludf.dummyfunction("""COMPUTED_VALUE"""),"15")</f>
        <v>15</v>
      </c>
      <c r="L501" s="6" t="str">
        <f aca="false">IFERROR(__xludf.dummyfunction("""COMPUTED_VALUE"""),"冷蔵庫　")</f>
        <v>冷蔵庫　</v>
      </c>
      <c r="M501" s="6" t="str">
        <f aca="false">IFERROR(__xludf.dummyfunction("""COMPUTED_VALUE"""),"机　ベッド　収納棚　テレビ　ゲーム")</f>
        <v>机　ベッド　収納棚　テレビ　ゲーム</v>
      </c>
      <c r="N501" s="6"/>
      <c r="O501" s="6" t="str">
        <f aca="false">IFERROR(__xludf.dummyfunction("""COMPUTED_VALUE"""),"不要")</f>
        <v>不要</v>
      </c>
      <c r="P501" s="6"/>
      <c r="Q501" s="6"/>
      <c r="R501" s="6"/>
      <c r="S501" s="6" t="str">
        <f aca="false">IFERROR(__xludf.dummyfunction("""COMPUTED_VALUE"""),"家具家電なし社宅")</f>
        <v>家具家電なし社宅</v>
      </c>
      <c r="T501" s="6" t="str">
        <f aca="false">IFERROR(__xludf.dummyfunction("""COMPUTED_VALUE"""),"利用しない")</f>
        <v>利用しない</v>
      </c>
      <c r="U501" s="6"/>
      <c r="V501" s="6" t="str">
        <f aca="false">IFERROR(__xludf.dummyfunction("""COMPUTED_VALUE"""),"徒歩, 電車, バス")</f>
        <v>徒歩, 電車, バス</v>
      </c>
      <c r="W501" s="6"/>
      <c r="X501" s="6" t="str">
        <f aca="false">IFERROR(__xludf.dummyfunction("""COMPUTED_VALUE"""),"実家")</f>
        <v>実家</v>
      </c>
      <c r="Y501" s="6"/>
      <c r="Z501" s="6" t="str">
        <f aca="false">IFERROR(__xludf.dummyfunction("""COMPUTED_VALUE"""),"希望する")</f>
        <v>希望する</v>
      </c>
      <c r="AA501" s="6" t="str">
        <f aca="false">IFERROR(__xludf.dummyfunction("""COMPUTED_VALUE"""),"単身")</f>
        <v>単身</v>
      </c>
      <c r="AB501" s="6"/>
      <c r="AC501" s="6"/>
      <c r="AD501" s="6" t="str">
        <f aca="false">IFERROR(__xludf.dummyfunction("""COMPUTED_VALUE"""),"7畳以上の広さを希望します。")</f>
        <v>7畳以上の広さを希望します。</v>
      </c>
      <c r="AE501" s="6" t="str">
        <f aca="false">IFERROR(__xludf.dummyfunction("""COMPUTED_VALUE"""),"確認しました。")</f>
        <v>確認しました。</v>
      </c>
      <c r="AF501" s="6" t="str">
        <f aca="false">IFERROR(__xludf.dummyfunction("""COMPUTED_VALUE"""),"社宅基準の内容について確認しました")</f>
        <v>社宅基準の内容について確認しました</v>
      </c>
      <c r="AG501" s="6" t="str">
        <f aca="false">IFERROR(__xludf.dummyfunction("""COMPUTED_VALUE"""),"入居のしおりの内容についてご確認しました")</f>
        <v>入居のしおりの内容についてご確認しました</v>
      </c>
      <c r="AH501" s="6" t="str">
        <f aca="false">IFERROR(__xludf.dummyfunction("""COMPUTED_VALUE"""),"確認しました")</f>
        <v>確認しました</v>
      </c>
      <c r="AI501" s="6"/>
      <c r="AJ501" s="6" t="str">
        <v/>
      </c>
      <c r="AK501" s="6" t="str">
        <v/>
      </c>
      <c r="AL501" s="6" t="str">
        <v/>
      </c>
      <c r="AM501" s="6" t="str">
        <v/>
      </c>
      <c r="AN501" s="6" t="n">
        <f aca="false">FALSE()</f>
        <v>0</v>
      </c>
    </row>
    <row r="502" customFormat="false" ht="52.5" hidden="false" customHeight="true" outlineLevel="0" collapsed="false">
      <c r="A502" s="6" t="str">
        <f aca="false">IFERROR(__xludf.dummyfunction("""COMPUTED_VALUE"""),"2026/04/02 18:55:02")</f>
        <v>2026/04/02 18:55:02</v>
      </c>
      <c r="B502" s="6"/>
      <c r="C502" s="6" t="str">
        <f aca="false">IFERROR(__xludf.dummyfunction("""COMPUTED_VALUE"""),"71996")</f>
        <v>71996</v>
      </c>
      <c r="D502" s="6"/>
      <c r="E502" s="6"/>
      <c r="F502" s="6"/>
      <c r="G502" s="6" t="str">
        <f aca="false">IFERROR(__xludf.dummyfunction("""COMPUTED_VALUE"""),"2026/05/02")</f>
        <v>2026/05/02</v>
      </c>
      <c r="H502" s="6" t="str">
        <f aca="false">IFERROR(__xludf.dummyfunction("""COMPUTED_VALUE"""),"必要")</f>
        <v>必要</v>
      </c>
      <c r="I502" s="6" t="str">
        <f aca="false">IFERROR(__xludf.dummyfunction("""COMPUTED_VALUE"""),"女性")</f>
        <v>女性</v>
      </c>
      <c r="J502" s="6" t="str">
        <f aca="false">IFERROR(__xludf.dummyfunction("""COMPUTED_VALUE"""),"日本")</f>
        <v>日本</v>
      </c>
      <c r="K502" s="6" t="str">
        <f aca="false">IFERROR(__xludf.dummyfunction("""COMPUTED_VALUE"""),"10")</f>
        <v>10</v>
      </c>
      <c r="L502" s="6" t="str">
        <f aca="false">IFERROR(__xludf.dummyfunction("""COMPUTED_VALUE"""),"冷蔵庫単身用、洗濯機（横54・縦55・高95）、単機能レンジ、炊飯器")</f>
        <v>冷蔵庫単身用、洗濯機（横54・縦55・高95）、単機能レンジ、炊飯器</v>
      </c>
      <c r="M502" s="6" t="str">
        <f aca="false">IFERROR(__xludf.dummyfunction("""COMPUTED_VALUE"""),"折りたたみ式机（幅70・奥50・高70）
チェア（幅50・奥50・高さ100）
")</f>
        <v>折りたたみ式机（幅70・奥50・高70）
チェア（幅50・奥50・高さ100）
</v>
      </c>
      <c r="N502" s="6" t="str">
        <f aca="false">IFERROR(__xludf.dummyfunction("""COMPUTED_VALUE"""),"敷布団2枚、毛布4枚、掛け布団1枚、薄手マットレス2枚（3枚折り可）")</f>
        <v>敷布団2枚、毛布4枚、掛け布団1枚、薄手マットレス2枚（3枚折り可）</v>
      </c>
      <c r="O502" s="6" t="str">
        <f aca="false">IFERROR(__xludf.dummyfunction("""COMPUTED_VALUE"""),"不要")</f>
        <v>不要</v>
      </c>
      <c r="P502" s="6"/>
      <c r="Q502" s="6"/>
      <c r="R502" s="6"/>
      <c r="S502" s="6" t="str">
        <f aca="false">IFERROR(__xludf.dummyfunction("""COMPUTED_VALUE"""),"家具家電なし社宅")</f>
        <v>家具家電なし社宅</v>
      </c>
      <c r="T502" s="6" t="str">
        <f aca="false">IFERROR(__xludf.dummyfunction("""COMPUTED_VALUE"""),"利用しない")</f>
        <v>利用しない</v>
      </c>
      <c r="U502" s="6"/>
      <c r="V502" s="6" t="str">
        <f aca="false">IFERROR(__xludf.dummyfunction("""COMPUTED_VALUE"""),"徒歩, 電車")</f>
        <v>徒歩, 電車</v>
      </c>
      <c r="W502" s="6"/>
      <c r="X502" s="6" t="str">
        <f aca="false">IFERROR(__xludf.dummyfunction("""COMPUTED_VALUE"""),"ご自身で契約中の物件")</f>
        <v>ご自身で契約中の物件</v>
      </c>
      <c r="Y502" s="6"/>
      <c r="Z502" s="6" t="str">
        <f aca="false">IFERROR(__xludf.dummyfunction("""COMPUTED_VALUE"""),"希望しない")</f>
        <v>希望しない</v>
      </c>
      <c r="AA502" s="6" t="str">
        <f aca="false">IFERROR(__xludf.dummyfunction("""COMPUTED_VALUE"""),"単身")</f>
        <v>単身</v>
      </c>
      <c r="AB502" s="6"/>
      <c r="AC502" s="6"/>
      <c r="AD502" s="6"/>
      <c r="AE502" s="6" t="str">
        <f aca="false">IFERROR(__xludf.dummyfunction("""COMPUTED_VALUE"""),"確認しました。")</f>
        <v>確認しました。</v>
      </c>
      <c r="AF502" s="6" t="str">
        <f aca="false">IFERROR(__xludf.dummyfunction("""COMPUTED_VALUE"""),"社宅基準の内容について確認しました")</f>
        <v>社宅基準の内容について確認しました</v>
      </c>
      <c r="AG502" s="6" t="str">
        <f aca="false">IFERROR(__xludf.dummyfunction("""COMPUTED_VALUE"""),"入居のしおりの内容についてご確認しました")</f>
        <v>入居のしおりの内容についてご確認しました</v>
      </c>
      <c r="AH502" s="6" t="str">
        <f aca="false">IFERROR(__xludf.dummyfunction("""COMPUTED_VALUE"""),"確認しました")</f>
        <v>確認しました</v>
      </c>
      <c r="AI502" s="6"/>
      <c r="AJ502" s="6" t="str">
        <v/>
      </c>
      <c r="AK502" s="6" t="str">
        <v/>
      </c>
      <c r="AL502" s="6" t="str">
        <v/>
      </c>
      <c r="AM502" s="6" t="str">
        <v/>
      </c>
      <c r="AN502" s="6" t="n">
        <f aca="false">FALSE()</f>
        <v>0</v>
      </c>
    </row>
    <row r="503" customFormat="false" ht="52.5" hidden="false" customHeight="true" outlineLevel="0" collapsed="false">
      <c r="A503" s="6" t="str">
        <f aca="false">IFERROR(__xludf.dummyfunction("""COMPUTED_VALUE"""),"2026/04/02 21:17:54")</f>
        <v>2026/04/02 21:17:54</v>
      </c>
      <c r="B503" s="6"/>
      <c r="C503" s="6" t="str">
        <f aca="false">IFERROR(__xludf.dummyfunction("""COMPUTED_VALUE"""),"71910")</f>
        <v>71910</v>
      </c>
      <c r="D503" s="6"/>
      <c r="E503" s="6"/>
      <c r="F503" s="6"/>
      <c r="G503" s="6" t="str">
        <f aca="false">IFERROR(__xludf.dummyfunction("""COMPUTED_VALUE"""),"2026/06/01")</f>
        <v>2026/06/01</v>
      </c>
      <c r="H503" s="6" t="str">
        <f aca="false">IFERROR(__xludf.dummyfunction("""COMPUTED_VALUE"""),"必要")</f>
        <v>必要</v>
      </c>
      <c r="I503" s="6" t="str">
        <f aca="false">IFERROR(__xludf.dummyfunction("""COMPUTED_VALUE"""),"男性")</f>
        <v>男性</v>
      </c>
      <c r="J503" s="6" t="str">
        <f aca="false">IFERROR(__xludf.dummyfunction("""COMPUTED_VALUE"""),"日本")</f>
        <v>日本</v>
      </c>
      <c r="K503" s="6" t="str">
        <f aca="false">IFERROR(__xludf.dummyfunction("""COMPUTED_VALUE"""),"20")</f>
        <v>20</v>
      </c>
      <c r="L503" s="6" t="str">
        <f aca="false">IFERROR(__xludf.dummyfunction("""COMPUTED_VALUE"""),"32インチTV、1ドア冷蔵庫")</f>
        <v>32インチTV、1ドア冷蔵庫</v>
      </c>
      <c r="M503" s="6" t="str">
        <f aca="false">IFERROR(__xludf.dummyfunction("""COMPUTED_VALUE"""),"55×45×85の棚、25×40×80の棚")</f>
        <v>55×45×85の棚、25×40×80の棚</v>
      </c>
      <c r="N503" s="6" t="str">
        <f aca="false">IFERROR(__xludf.dummyfunction("""COMPUTED_VALUE"""),"自転車1台")</f>
        <v>自転車1台</v>
      </c>
      <c r="O503" s="6" t="str">
        <f aca="false">IFERROR(__xludf.dummyfunction("""COMPUTED_VALUE"""),"不要")</f>
        <v>不要</v>
      </c>
      <c r="P503" s="6"/>
      <c r="Q503" s="6"/>
      <c r="R503" s="6"/>
      <c r="S503" s="6" t="str">
        <f aca="false">IFERROR(__xludf.dummyfunction("""COMPUTED_VALUE"""),"家具家電付き社宅")</f>
        <v>家具家電付き社宅</v>
      </c>
      <c r="T503" s="6" t="str">
        <f aca="false">IFERROR(__xludf.dummyfunction("""COMPUTED_VALUE"""),"利用しない")</f>
        <v>利用しない</v>
      </c>
      <c r="U503" s="6"/>
      <c r="V503" s="6" t="str">
        <f aca="false">IFERROR(__xludf.dummyfunction("""COMPUTED_VALUE"""),"自転車")</f>
        <v>自転車</v>
      </c>
      <c r="W503" s="6"/>
      <c r="X503" s="6" t="str">
        <f aca="false">IFERROR(__xludf.dummyfunction("""COMPUTED_VALUE"""),"株式会社オープンアップネクストエンジニア様の社宅")</f>
        <v>株式会社オープンアップネクストエンジニア様の社宅</v>
      </c>
      <c r="Y503" s="6" t="str">
        <f aca="false">IFERROR(__xludf.dummyfunction("""COMPUTED_VALUE"""),"利用なし")</f>
        <v>利用なし</v>
      </c>
      <c r="Z503" s="6" t="str">
        <f aca="false">IFERROR(__xludf.dummyfunction("""COMPUTED_VALUE"""),"希望しない")</f>
        <v>希望しない</v>
      </c>
      <c r="AA503" s="6" t="str">
        <f aca="false">IFERROR(__xludf.dummyfunction("""COMPUTED_VALUE"""),"単身")</f>
        <v>単身</v>
      </c>
      <c r="AB503" s="6"/>
      <c r="AC503" s="6"/>
      <c r="AD503" s="6" t="str">
        <f aca="false">IFERROR(__xludf.dummyfunction("""COMPUTED_VALUE"""),"飲食店やスーパーなどが近くにある
会社から自転車で30分以内")</f>
        <v>飲食店やスーパーなどが近くにある
会社から自転車で30分以内</v>
      </c>
      <c r="AE503" s="6" t="str">
        <f aca="false">IFERROR(__xludf.dummyfunction("""COMPUTED_VALUE"""),"確認しました。")</f>
        <v>確認しました。</v>
      </c>
      <c r="AF503" s="6" t="str">
        <f aca="false">IFERROR(__xludf.dummyfunction("""COMPUTED_VALUE"""),"社宅基準の内容について確認しました")</f>
        <v>社宅基準の内容について確認しました</v>
      </c>
      <c r="AG503" s="6" t="str">
        <f aca="false">IFERROR(__xludf.dummyfunction("""COMPUTED_VALUE"""),"入居のしおりの内容についてご確認しました")</f>
        <v>入居のしおりの内容についてご確認しました</v>
      </c>
      <c r="AH503" s="6" t="str">
        <f aca="false">IFERROR(__xludf.dummyfunction("""COMPUTED_VALUE"""),"確認しました")</f>
        <v>確認しました</v>
      </c>
      <c r="AI503" s="6"/>
      <c r="AJ503" s="6" t="str">
        <v/>
      </c>
      <c r="AK503" s="6" t="str">
        <v/>
      </c>
      <c r="AL503" s="6" t="str">
        <v/>
      </c>
      <c r="AM503" s="6" t="str">
        <v/>
      </c>
      <c r="AN503" s="6" t="n">
        <f aca="false">FALSE()</f>
        <v>0</v>
      </c>
    </row>
    <row r="504" customFormat="false" ht="52.5" hidden="false" customHeight="true" outlineLevel="0" collapsed="false">
      <c r="A504" s="6" t="str">
        <f aca="false">IFERROR(__xludf.dummyfunction("""COMPUTED_VALUE"""),"2026/04/03 11:28:05")</f>
        <v>2026/04/03 11:28:05</v>
      </c>
      <c r="B504" s="6"/>
      <c r="C504" s="6" t="str">
        <f aca="false">IFERROR(__xludf.dummyfunction("""COMPUTED_VALUE"""),"72080")</f>
        <v>72080</v>
      </c>
      <c r="D504" s="6"/>
      <c r="E504" s="6"/>
      <c r="F504" s="6"/>
      <c r="G504" s="6" t="str">
        <f aca="false">IFERROR(__xludf.dummyfunction("""COMPUTED_VALUE"""),"2026/04/10")</f>
        <v>2026/04/10</v>
      </c>
      <c r="H504" s="6" t="str">
        <f aca="false">IFERROR(__xludf.dummyfunction("""COMPUTED_VALUE"""),"必要")</f>
        <v>必要</v>
      </c>
      <c r="I504" s="6" t="str">
        <f aca="false">IFERROR(__xludf.dummyfunction("""COMPUTED_VALUE"""),"男性")</f>
        <v>男性</v>
      </c>
      <c r="J504" s="6" t="str">
        <f aca="false">IFERROR(__xludf.dummyfunction("""COMPUTED_VALUE"""),"日本")</f>
        <v>日本</v>
      </c>
      <c r="K504" s="6" t="str">
        <f aca="false">IFERROR(__xludf.dummyfunction("""COMPUTED_VALUE"""),"20")</f>
        <v>20</v>
      </c>
      <c r="L504" s="6" t="str">
        <f aca="false">IFERROR(__xludf.dummyfunction("""COMPUTED_VALUE"""),"なし")</f>
        <v>なし</v>
      </c>
      <c r="M504" s="6" t="str">
        <f aca="false">IFERROR(__xludf.dummyfunction("""COMPUTED_VALUE"""),"なし")</f>
        <v>なし</v>
      </c>
      <c r="N504" s="6" t="str">
        <f aca="false">IFERROR(__xludf.dummyfunction("""COMPUTED_VALUE"""),"自転車・布団")</f>
        <v>自転車・布団</v>
      </c>
      <c r="O504" s="6" t="str">
        <f aca="false">IFERROR(__xludf.dummyfunction("""COMPUTED_VALUE"""),"不要")</f>
        <v>不要</v>
      </c>
      <c r="P504" s="6"/>
      <c r="Q504" s="6"/>
      <c r="R504" s="6"/>
      <c r="S504" s="6" t="str">
        <f aca="false">IFERROR(__xludf.dummyfunction("""COMPUTED_VALUE"""),"家具家電付き社宅")</f>
        <v>家具家電付き社宅</v>
      </c>
      <c r="T504" s="6" t="str">
        <f aca="false">IFERROR(__xludf.dummyfunction("""COMPUTED_VALUE"""),"利用しない")</f>
        <v>利用しない</v>
      </c>
      <c r="U504" s="6"/>
      <c r="V504" s="6" t="str">
        <f aca="false">IFERROR(__xludf.dummyfunction("""COMPUTED_VALUE"""),"徒歩, 自転車, 電車")</f>
        <v>徒歩, 自転車, 電車</v>
      </c>
      <c r="W504" s="6"/>
      <c r="X504" s="6" t="str">
        <f aca="false">IFERROR(__xludf.dummyfunction("""COMPUTED_VALUE"""),"実家")</f>
        <v>実家</v>
      </c>
      <c r="Y504" s="6"/>
      <c r="Z504" s="6" t="str">
        <f aca="false">IFERROR(__xludf.dummyfunction("""COMPUTED_VALUE"""),"希望する")</f>
        <v>希望する</v>
      </c>
      <c r="AA504" s="6" t="str">
        <f aca="false">IFERROR(__xludf.dummyfunction("""COMPUTED_VALUE"""),"単身")</f>
        <v>単身</v>
      </c>
      <c r="AB504" s="6"/>
      <c r="AC504" s="6"/>
      <c r="AD504" s="6"/>
      <c r="AE504" s="6" t="str">
        <f aca="false">IFERROR(__xludf.dummyfunction("""COMPUTED_VALUE"""),"確認しました。")</f>
        <v>確認しました。</v>
      </c>
      <c r="AF504" s="6" t="str">
        <f aca="false">IFERROR(__xludf.dummyfunction("""COMPUTED_VALUE"""),"社宅基準の内容について確認しました")</f>
        <v>社宅基準の内容について確認しました</v>
      </c>
      <c r="AG504" s="6" t="str">
        <f aca="false">IFERROR(__xludf.dummyfunction("""COMPUTED_VALUE"""),"入居のしおりの内容についてご確認しました")</f>
        <v>入居のしおりの内容についてご確認しました</v>
      </c>
      <c r="AH504" s="6" t="str">
        <f aca="false">IFERROR(__xludf.dummyfunction("""COMPUTED_VALUE"""),"確認しました")</f>
        <v>確認しました</v>
      </c>
      <c r="AI504" s="6"/>
      <c r="AJ504" s="6" t="str">
        <v/>
      </c>
      <c r="AK504" s="6" t="str">
        <v/>
      </c>
      <c r="AL504" s="6" t="str">
        <v/>
      </c>
      <c r="AM504" s="6" t="str">
        <v/>
      </c>
      <c r="AN504" s="6" t="n">
        <f aca="false">FALSE()</f>
        <v>0</v>
      </c>
    </row>
    <row r="505" customFormat="false" ht="52.5" hidden="false" customHeight="true" outlineLevel="0" collapsed="false">
      <c r="A505" s="6" t="str">
        <f aca="false">IFERROR(__xludf.dummyfunction("""COMPUTED_VALUE"""),"2026/04/03 14:34:41")</f>
        <v>2026/04/03 14:34:41</v>
      </c>
      <c r="B505" s="6"/>
      <c r="C505" s="6" t="str">
        <f aca="false">IFERROR(__xludf.dummyfunction("""COMPUTED_VALUE"""),"72147")</f>
        <v>72147</v>
      </c>
      <c r="D505" s="6"/>
      <c r="E505" s="6"/>
      <c r="F505" s="6"/>
      <c r="G505" s="6" t="str">
        <f aca="false">IFERROR(__xludf.dummyfunction("""COMPUTED_VALUE"""),"2026/04/10")</f>
        <v>2026/04/10</v>
      </c>
      <c r="H505" s="6" t="str">
        <f aca="false">IFERROR(__xludf.dummyfunction("""COMPUTED_VALUE"""),"必要")</f>
        <v>必要</v>
      </c>
      <c r="I505" s="6" t="str">
        <f aca="false">IFERROR(__xludf.dummyfunction("""COMPUTED_VALUE"""),"男性")</f>
        <v>男性</v>
      </c>
      <c r="J505" s="6" t="str">
        <f aca="false">IFERROR(__xludf.dummyfunction("""COMPUTED_VALUE"""),"日本")</f>
        <v>日本</v>
      </c>
      <c r="K505" s="6" t="str">
        <f aca="false">IFERROR(__xludf.dummyfunction("""COMPUTED_VALUE"""),"5")</f>
        <v>5</v>
      </c>
      <c r="L505" s="6" t="str">
        <f aca="false">IFERROR(__xludf.dummyfunction("""COMPUTED_VALUE"""),"デスクトップPC(iMac)、冷蔵庫(2ドア)、スピーカー、炊飯器、電子レンジ、洗濯機(64cm・60cm・104cm)、掃除機、小型手持ち洗濯機、")</f>
        <v>デスクトップPC(iMac)、冷蔵庫(2ドア)、スピーカー、炊飯器、電子レンジ、洗濯機(64cm・60cm・104cm)、掃除機、小型手持ち洗濯機、</v>
      </c>
      <c r="M505" s="6" t="str">
        <f aca="false">IFERROR(__xludf.dummyfunction("""COMPUTED_VALUE"""),"机(120cm・60cm・72cm)、ベッド(シングル)、椅子、鏡、衣装箪笥(54cm・38cm、62cm)x2つ、布団4枚、毛布1枚、小型簡易ソファ")</f>
        <v>机(120cm・60cm・72cm)、ベッド(シングル)、椅子、鏡、衣装箪笥(54cm・38cm、62cm)x2つ、布団4枚、毛布1枚、小型簡易ソファ</v>
      </c>
      <c r="N505" s="6" t="str">
        <f aca="false">IFERROR(__xludf.dummyfunction("""COMPUTED_VALUE"""),"楽器(DJ機材、小型キーボード)、ベッド用のスノコ、CD")</f>
        <v>楽器(DJ機材、小型キーボード)、ベッド用のスノコ、CD</v>
      </c>
      <c r="O505" s="6" t="str">
        <f aca="false">IFERROR(__xludf.dummyfunction("""COMPUTED_VALUE"""),"不要")</f>
        <v>不要</v>
      </c>
      <c r="P505" s="6"/>
      <c r="Q505" s="6"/>
      <c r="R505" s="6"/>
      <c r="S505" s="6" t="str">
        <f aca="false">IFERROR(__xludf.dummyfunction("""COMPUTED_VALUE"""),"家具家電なし社宅")</f>
        <v>家具家電なし社宅</v>
      </c>
      <c r="T505" s="6" t="str">
        <f aca="false">IFERROR(__xludf.dummyfunction("""COMPUTED_VALUE"""),"利用しない")</f>
        <v>利用しない</v>
      </c>
      <c r="U505" s="6"/>
      <c r="V505" s="6" t="str">
        <f aca="false">IFERROR(__xludf.dummyfunction("""COMPUTED_VALUE"""),"徒歩, 電車")</f>
        <v>徒歩, 電車</v>
      </c>
      <c r="W505" s="6"/>
      <c r="X505" s="6" t="str">
        <f aca="false">IFERROR(__xludf.dummyfunction("""COMPUTED_VALUE"""),"株式会社オープンアップネクストエンジニア様の社宅")</f>
        <v>株式会社オープンアップネクストエンジニア様の社宅</v>
      </c>
      <c r="Y505" s="6" t="str">
        <f aca="false">IFERROR(__xludf.dummyfunction("""COMPUTED_VALUE"""),"利用なし")</f>
        <v>利用なし</v>
      </c>
      <c r="Z505" s="6" t="str">
        <f aca="false">IFERROR(__xludf.dummyfunction("""COMPUTED_VALUE"""),"希望する")</f>
        <v>希望する</v>
      </c>
      <c r="AA505" s="6" t="str">
        <f aca="false">IFERROR(__xludf.dummyfunction("""COMPUTED_VALUE"""),"単身")</f>
        <v>単身</v>
      </c>
      <c r="AB505" s="6"/>
      <c r="AC505" s="6"/>
      <c r="AD505" s="6" t="str">
        <f aca="false">IFERROR(__xludf.dummyfunction("""COMPUTED_VALUE"""),"ライフライン契約お手伝いサービスは、下記の条件の適用をお願いします。
1.ガスは都市ガスでお願いします
2.インターネットは個人で契約予定なので、手伝い不要です。")</f>
        <v>ライフライン契約お手伝いサービスは、下記の条件の適用をお願いします。
1.ガスは都市ガスでお願いします
2.インターネットは個人で契約予定なので、手伝い不要です。</v>
      </c>
      <c r="AE505" s="6" t="str">
        <f aca="false">IFERROR(__xludf.dummyfunction("""COMPUTED_VALUE"""),"確認しました。")</f>
        <v>確認しました。</v>
      </c>
      <c r="AF505" s="6" t="str">
        <f aca="false">IFERROR(__xludf.dummyfunction("""COMPUTED_VALUE"""),"社宅基準の内容について確認しました")</f>
        <v>社宅基準の内容について確認しました</v>
      </c>
      <c r="AG505" s="6" t="str">
        <f aca="false">IFERROR(__xludf.dummyfunction("""COMPUTED_VALUE"""),"入居のしおりの内容についてご確認しました")</f>
        <v>入居のしおりの内容についてご確認しました</v>
      </c>
      <c r="AH505" s="6" t="str">
        <f aca="false">IFERROR(__xludf.dummyfunction("""COMPUTED_VALUE"""),"確認しました")</f>
        <v>確認しました</v>
      </c>
      <c r="AI505" s="6"/>
      <c r="AJ505" s="6" t="str">
        <v/>
      </c>
      <c r="AK505" s="6" t="str">
        <v/>
      </c>
      <c r="AL505" s="6" t="str">
        <v/>
      </c>
      <c r="AM505" s="6" t="str">
        <v/>
      </c>
      <c r="AN505" s="6" t="n">
        <f aca="false">FALSE()</f>
        <v>0</v>
      </c>
    </row>
    <row r="506" customFormat="false" ht="52.5" hidden="false" customHeight="true" outlineLevel="0" collapsed="false">
      <c r="A506" s="6" t="str">
        <f aca="false">IFERROR(__xludf.dummyfunction("""COMPUTED_VALUE"""),"2026/04/03 14:49:12")</f>
        <v>2026/04/03 14:49:12</v>
      </c>
      <c r="B506" s="6"/>
      <c r="C506" s="6" t="str">
        <f aca="false">IFERROR(__xludf.dummyfunction("""COMPUTED_VALUE"""),"72118")</f>
        <v>72118</v>
      </c>
      <c r="D506" s="6"/>
      <c r="E506" s="6"/>
      <c r="F506" s="6"/>
      <c r="G506" s="6" t="str">
        <f aca="false">IFERROR(__xludf.dummyfunction("""COMPUTED_VALUE"""),"2026/04/18")</f>
        <v>2026/04/18</v>
      </c>
      <c r="H506" s="6" t="str">
        <f aca="false">IFERROR(__xludf.dummyfunction("""COMPUTED_VALUE"""),"必要")</f>
        <v>必要</v>
      </c>
      <c r="I506" s="6" t="str">
        <f aca="false">IFERROR(__xludf.dummyfunction("""COMPUTED_VALUE"""),"男性")</f>
        <v>男性</v>
      </c>
      <c r="J506" s="6" t="str">
        <f aca="false">IFERROR(__xludf.dummyfunction("""COMPUTED_VALUE"""),"日本")</f>
        <v>日本</v>
      </c>
      <c r="K506" s="6" t="str">
        <f aca="false">IFERROR(__xludf.dummyfunction("""COMPUTED_VALUE"""),"7")</f>
        <v>7</v>
      </c>
      <c r="L506" s="6" t="str">
        <f aca="false">IFERROR(__xludf.dummyfunction("""COMPUTED_VALUE"""),"なし")</f>
        <v>なし</v>
      </c>
      <c r="M506" s="6" t="str">
        <f aca="false">IFERROR(__xludf.dummyfunction("""COMPUTED_VALUE"""),"イス(幅68㎝奥行70㎝高さ110㎝)
マットレス(シングル)")</f>
        <v>イス(幅68㎝奥行70㎝高さ110㎝)
マットレス(シングル)</v>
      </c>
      <c r="N506" s="6"/>
      <c r="O506" s="6" t="str">
        <f aca="false">IFERROR(__xludf.dummyfunction("""COMPUTED_VALUE"""),"不要")</f>
        <v>不要</v>
      </c>
      <c r="P506" s="6"/>
      <c r="Q506" s="6"/>
      <c r="R506" s="6"/>
      <c r="S506" s="6" t="str">
        <f aca="false">IFERROR(__xludf.dummyfunction("""COMPUTED_VALUE"""),"家具家電付き社宅")</f>
        <v>家具家電付き社宅</v>
      </c>
      <c r="T506" s="6" t="str">
        <f aca="false">IFERROR(__xludf.dummyfunction("""COMPUTED_VALUE"""),"利用しない")</f>
        <v>利用しない</v>
      </c>
      <c r="U506" s="6"/>
      <c r="V506" s="6" t="str">
        <f aca="false">IFERROR(__xludf.dummyfunction("""COMPUTED_VALUE"""),"徒歩, 自動車, 自転車, 電車, バス")</f>
        <v>徒歩, 自動車, 自転車, 電車, バス</v>
      </c>
      <c r="W506" s="6"/>
      <c r="X506" s="6" t="str">
        <f aca="false">IFERROR(__xludf.dummyfunction("""COMPUTED_VALUE"""),"実家")</f>
        <v>実家</v>
      </c>
      <c r="Y506" s="6"/>
      <c r="Z506" s="6" t="str">
        <f aca="false">IFERROR(__xludf.dummyfunction("""COMPUTED_VALUE"""),"希望する")</f>
        <v>希望する</v>
      </c>
      <c r="AA506" s="6" t="str">
        <f aca="false">IFERROR(__xludf.dummyfunction("""COMPUTED_VALUE"""),"単身")</f>
        <v>単身</v>
      </c>
      <c r="AB506" s="6"/>
      <c r="AC506" s="6"/>
      <c r="AD506" s="6"/>
      <c r="AE506" s="6" t="str">
        <f aca="false">IFERROR(__xludf.dummyfunction("""COMPUTED_VALUE"""),"確認しました。")</f>
        <v>確認しました。</v>
      </c>
      <c r="AF506" s="6" t="str">
        <f aca="false">IFERROR(__xludf.dummyfunction("""COMPUTED_VALUE"""),"社宅基準の内容について確認しました")</f>
        <v>社宅基準の内容について確認しました</v>
      </c>
      <c r="AG506" s="6" t="str">
        <f aca="false">IFERROR(__xludf.dummyfunction("""COMPUTED_VALUE"""),"入居のしおりの内容についてご確認しました")</f>
        <v>入居のしおりの内容についてご確認しました</v>
      </c>
      <c r="AH506" s="6" t="str">
        <f aca="false">IFERROR(__xludf.dummyfunction("""COMPUTED_VALUE"""),"確認しました")</f>
        <v>確認しました</v>
      </c>
      <c r="AI506" s="6"/>
      <c r="AJ506" s="6" t="str">
        <v/>
      </c>
      <c r="AK506" s="6" t="str">
        <v/>
      </c>
      <c r="AL506" s="6" t="str">
        <v/>
      </c>
      <c r="AM506" s="6" t="str">
        <v/>
      </c>
      <c r="AN506" s="6" t="n">
        <f aca="false">FALSE()</f>
        <v>0</v>
      </c>
    </row>
    <row r="507" customFormat="false" ht="52.5" hidden="false" customHeight="true" outlineLevel="0" collapsed="false">
      <c r="A507" s="6" t="str">
        <f aca="false">IFERROR(__xludf.dummyfunction("""COMPUTED_VALUE"""),"2026/04/03 16:44:29")</f>
        <v>2026/04/03 16:44:29</v>
      </c>
      <c r="B507" s="6"/>
      <c r="C507" s="6" t="str">
        <f aca="false">IFERROR(__xludf.dummyfunction("""COMPUTED_VALUE"""),"72154")</f>
        <v>72154</v>
      </c>
      <c r="D507" s="6"/>
      <c r="E507" s="6"/>
      <c r="F507" s="6"/>
      <c r="G507" s="6" t="str">
        <f aca="false">IFERROR(__xludf.dummyfunction("""COMPUTED_VALUE"""),"2026/04/18")</f>
        <v>2026/04/18</v>
      </c>
      <c r="H507" s="6" t="str">
        <f aca="false">IFERROR(__xludf.dummyfunction("""COMPUTED_VALUE"""),"必要")</f>
        <v>必要</v>
      </c>
      <c r="I507" s="6" t="str">
        <f aca="false">IFERROR(__xludf.dummyfunction("""COMPUTED_VALUE"""),"女性")</f>
        <v>女性</v>
      </c>
      <c r="J507" s="6" t="str">
        <f aca="false">IFERROR(__xludf.dummyfunction("""COMPUTED_VALUE"""),"日本")</f>
        <v>日本</v>
      </c>
      <c r="K507" s="6" t="str">
        <f aca="false">IFERROR(__xludf.dummyfunction("""COMPUTED_VALUE"""),"8")</f>
        <v>8</v>
      </c>
      <c r="L507" s="6" t="str">
        <f aca="false">IFERROR(__xludf.dummyfunction("""COMPUTED_VALUE"""),"冷蔵庫(単身用)、洗濯機は後に購入予定")</f>
        <v>冷蔵庫(単身用)、洗濯機は後に購入予定</v>
      </c>
      <c r="M507" s="6" t="str">
        <f aca="false">IFERROR(__xludf.dummyfunction("""COMPUTED_VALUE"""),"机 (80・60・37)、棚(42・30・60)、棚(42・30・60)、ハンガーラック(85.・50・150)")</f>
        <v>机 (80・60・37)、棚(42・30・60)、棚(42・30・60)、ハンガーラック(85.・50・150)</v>
      </c>
      <c r="N507" s="6"/>
      <c r="O507" s="6" t="str">
        <f aca="false">IFERROR(__xludf.dummyfunction("""COMPUTED_VALUE"""),"必要")</f>
        <v>必要</v>
      </c>
      <c r="P507" s="6" t="str">
        <f aca="false">IFERROR(__xludf.dummyfunction("""COMPUTED_VALUE"""),"ダイハツミラココア")</f>
        <v>ダイハツミラココア</v>
      </c>
      <c r="Q507" s="6" t="str">
        <f aca="false">IFERROR(__xludf.dummyfunction("""COMPUTED_VALUE"""),"い10-41")</f>
        <v>い10-41</v>
      </c>
      <c r="R507" s="6" t="str">
        <f aca="false">IFERROR(__xludf.dummyfunction("""COMPUTED_VALUE"""),"ピンク")</f>
        <v>ピンク</v>
      </c>
      <c r="S507" s="6" t="str">
        <f aca="false">IFERROR(__xludf.dummyfunction("""COMPUTED_VALUE"""),"家具家電なし社宅")</f>
        <v>家具家電なし社宅</v>
      </c>
      <c r="T507" s="6" t="str">
        <f aca="false">IFERROR(__xludf.dummyfunction("""COMPUTED_VALUE"""),"利用する")</f>
        <v>利用する</v>
      </c>
      <c r="U507" s="6" t="str">
        <f aca="false">IFERROR(__xludf.dummyfunction("""COMPUTED_VALUE"""),"冷凍冷蔵庫80L、電子レンジ、全自動洗濯機")</f>
        <v>冷凍冷蔵庫80L、電子レンジ、全自動洗濯機</v>
      </c>
      <c r="V507" s="6" t="str">
        <f aca="false">IFERROR(__xludf.dummyfunction("""COMPUTED_VALUE"""),"自動車")</f>
        <v>自動車</v>
      </c>
      <c r="W507" s="6"/>
      <c r="X507" s="6" t="str">
        <f aca="false">IFERROR(__xludf.dummyfunction("""COMPUTED_VALUE"""),"実家")</f>
        <v>実家</v>
      </c>
      <c r="Y507" s="6"/>
      <c r="Z507" s="6" t="str">
        <f aca="false">IFERROR(__xludf.dummyfunction("""COMPUTED_VALUE"""),"希望しない")</f>
        <v>希望しない</v>
      </c>
      <c r="AA507" s="6" t="str">
        <f aca="false">IFERROR(__xludf.dummyfunction("""COMPUTED_VALUE"""),"単身")</f>
        <v>単身</v>
      </c>
      <c r="AB507" s="6"/>
      <c r="AC507" s="6"/>
      <c r="AD507" s="6"/>
      <c r="AE507" s="6" t="str">
        <f aca="false">IFERROR(__xludf.dummyfunction("""COMPUTED_VALUE"""),"確認しました。")</f>
        <v>確認しました。</v>
      </c>
      <c r="AF507" s="6" t="str">
        <f aca="false">IFERROR(__xludf.dummyfunction("""COMPUTED_VALUE"""),"社宅基準の内容について確認しました")</f>
        <v>社宅基準の内容について確認しました</v>
      </c>
      <c r="AG507" s="6" t="str">
        <f aca="false">IFERROR(__xludf.dummyfunction("""COMPUTED_VALUE"""),"入居のしおりの内容についてご確認しました")</f>
        <v>入居のしおりの内容についてご確認しました</v>
      </c>
      <c r="AH507" s="6" t="str">
        <f aca="false">IFERROR(__xludf.dummyfunction("""COMPUTED_VALUE"""),"確認しました")</f>
        <v>確認しました</v>
      </c>
      <c r="AI507" s="6"/>
      <c r="AJ507" s="6" t="str">
        <v/>
      </c>
      <c r="AK507" s="6" t="str">
        <v/>
      </c>
      <c r="AL507" s="6" t="str">
        <v/>
      </c>
      <c r="AM507" s="6" t="str">
        <v/>
      </c>
      <c r="AN507" s="6" t="n">
        <f aca="false">FALSE()</f>
        <v>0</v>
      </c>
    </row>
    <row r="508" customFormat="false" ht="52.5" hidden="false" customHeight="true" outlineLevel="0" collapsed="false">
      <c r="A508" s="6" t="str">
        <f aca="false">IFERROR(__xludf.dummyfunction("""COMPUTED_VALUE"""),"2026/04/03 17:55:14")</f>
        <v>2026/04/03 17:55:14</v>
      </c>
      <c r="B508" s="6"/>
      <c r="C508" s="6" t="str">
        <f aca="false">IFERROR(__xludf.dummyfunction("""COMPUTED_VALUE"""),"72189")</f>
        <v>72189</v>
      </c>
      <c r="D508" s="6"/>
      <c r="E508" s="6"/>
      <c r="F508" s="6"/>
      <c r="G508" s="6" t="str">
        <f aca="false">IFERROR(__xludf.dummyfunction("""COMPUTED_VALUE"""),"2026/04/29")</f>
        <v>2026/04/29</v>
      </c>
      <c r="H508" s="6" t="str">
        <f aca="false">IFERROR(__xludf.dummyfunction("""COMPUTED_VALUE"""),"必要")</f>
        <v>必要</v>
      </c>
      <c r="I508" s="6" t="str">
        <f aca="false">IFERROR(__xludf.dummyfunction("""COMPUTED_VALUE"""),"男性")</f>
        <v>男性</v>
      </c>
      <c r="J508" s="6" t="str">
        <f aca="false">IFERROR(__xludf.dummyfunction("""COMPUTED_VALUE"""),"日本")</f>
        <v>日本</v>
      </c>
      <c r="K508" s="6" t="str">
        <f aca="false">IFERROR(__xludf.dummyfunction("""COMPUTED_VALUE"""),"20")</f>
        <v>20</v>
      </c>
      <c r="L508" s="6" t="str">
        <f aca="false">IFERROR(__xludf.dummyfunction("""COMPUTED_VALUE"""),"冷蔵庫(2ドア),テレビ、洗濯機(50•60•85)")</f>
        <v>冷蔵庫(2ドア),テレビ、洗濯機(50•60•85)</v>
      </c>
      <c r="M508" s="6" t="str">
        <f aca="false">IFERROR(__xludf.dummyfunction("""COMPUTED_VALUE"""),"テレビ台")</f>
        <v>テレビ台</v>
      </c>
      <c r="N508" s="6" t="str">
        <f aca="false">IFERROR(__xludf.dummyfunction("""COMPUTED_VALUE"""),"自動車のタイヤ、衣装ケース6個")</f>
        <v>自動車のタイヤ、衣装ケース6個</v>
      </c>
      <c r="O508" s="6" t="str">
        <f aca="false">IFERROR(__xludf.dummyfunction("""COMPUTED_VALUE"""),"必要")</f>
        <v>必要</v>
      </c>
      <c r="P508" s="6" t="str">
        <f aca="false">IFERROR(__xludf.dummyfunction("""COMPUTED_VALUE"""),"ワゴンR")</f>
        <v>ワゴンR</v>
      </c>
      <c r="Q508" s="6" t="str">
        <f aca="false">IFERROR(__xludf.dummyfunction("""COMPUTED_VALUE"""),"ぬ15-25")</f>
        <v>ぬ15-25</v>
      </c>
      <c r="R508" s="6" t="str">
        <f aca="false">IFERROR(__xludf.dummyfunction("""COMPUTED_VALUE"""),"シルバー")</f>
        <v>シルバー</v>
      </c>
      <c r="S508" s="6" t="str">
        <f aca="false">IFERROR(__xludf.dummyfunction("""COMPUTED_VALUE"""),"家具家電なし社宅")</f>
        <v>家具家電なし社宅</v>
      </c>
      <c r="T508" s="6" t="str">
        <f aca="false">IFERROR(__xludf.dummyfunction("""COMPUTED_VALUE"""),"利用しない")</f>
        <v>利用しない</v>
      </c>
      <c r="U508" s="6"/>
      <c r="V508" s="6" t="str">
        <f aca="false">IFERROR(__xludf.dummyfunction("""COMPUTED_VALUE"""),"未定")</f>
        <v>未定</v>
      </c>
      <c r="W508" s="6"/>
      <c r="X508" s="6" t="str">
        <f aca="false">IFERROR(__xludf.dummyfunction("""COMPUTED_VALUE"""),"株式会社オープンアップネクストエンジニア様の社宅")</f>
        <v>株式会社オープンアップネクストエンジニア様の社宅</v>
      </c>
      <c r="Y508" s="6" t="str">
        <f aca="false">IFERROR(__xludf.dummyfunction("""COMPUTED_VALUE"""),"利用なし")</f>
        <v>利用なし</v>
      </c>
      <c r="Z508" s="6" t="str">
        <f aca="false">IFERROR(__xludf.dummyfunction("""COMPUTED_VALUE"""),"希望する")</f>
        <v>希望する</v>
      </c>
      <c r="AA508" s="6" t="str">
        <f aca="false">IFERROR(__xludf.dummyfunction("""COMPUTED_VALUE"""),"単身")</f>
        <v>単身</v>
      </c>
      <c r="AB508" s="6"/>
      <c r="AC508" s="6"/>
      <c r="AD508" s="6"/>
      <c r="AE508" s="6" t="str">
        <f aca="false">IFERROR(__xludf.dummyfunction("""COMPUTED_VALUE"""),"確認しました。")</f>
        <v>確認しました。</v>
      </c>
      <c r="AF508" s="6" t="str">
        <f aca="false">IFERROR(__xludf.dummyfunction("""COMPUTED_VALUE"""),"社宅基準の内容について確認しました")</f>
        <v>社宅基準の内容について確認しました</v>
      </c>
      <c r="AG508" s="6" t="str">
        <f aca="false">IFERROR(__xludf.dummyfunction("""COMPUTED_VALUE"""),"入居のしおりの内容についてご確認しました")</f>
        <v>入居のしおりの内容についてご確認しました</v>
      </c>
      <c r="AH508" s="6" t="str">
        <f aca="false">IFERROR(__xludf.dummyfunction("""COMPUTED_VALUE"""),"確認しました")</f>
        <v>確認しました</v>
      </c>
      <c r="AI508" s="6"/>
      <c r="AJ508" s="6" t="str">
        <v/>
      </c>
      <c r="AK508" s="6" t="str">
        <v/>
      </c>
      <c r="AL508" s="6" t="str">
        <v/>
      </c>
      <c r="AM508" s="6" t="str">
        <v/>
      </c>
      <c r="AN508" s="6" t="n">
        <f aca="false">FALSE()</f>
        <v>0</v>
      </c>
    </row>
    <row r="509" customFormat="false" ht="52.5" hidden="false" customHeight="true" outlineLevel="0" collapsed="false">
      <c r="A509" s="6" t="str">
        <f aca="false">IFERROR(__xludf.dummyfunction("""COMPUTED_VALUE"""),"2026/04/03 18:21:52")</f>
        <v>2026/04/03 18:21:52</v>
      </c>
      <c r="B509" s="6"/>
      <c r="C509" s="6" t="str">
        <f aca="false">IFERROR(__xludf.dummyfunction("""COMPUTED_VALUE"""),"72179")</f>
        <v>72179</v>
      </c>
      <c r="D509" s="6"/>
      <c r="E509" s="6"/>
      <c r="F509" s="6"/>
      <c r="G509" s="6" t="str">
        <f aca="false">IFERROR(__xludf.dummyfunction("""COMPUTED_VALUE"""),"2026/05/20")</f>
        <v>2026/05/20</v>
      </c>
      <c r="H509" s="6" t="str">
        <f aca="false">IFERROR(__xludf.dummyfunction("""COMPUTED_VALUE"""),"必要")</f>
        <v>必要</v>
      </c>
      <c r="I509" s="6" t="str">
        <f aca="false">IFERROR(__xludf.dummyfunction("""COMPUTED_VALUE"""),"男性")</f>
        <v>男性</v>
      </c>
      <c r="J509" s="6" t="str">
        <f aca="false">IFERROR(__xludf.dummyfunction("""COMPUTED_VALUE"""),"メキシコ")</f>
        <v>メキシコ</v>
      </c>
      <c r="K509" s="6" t="str">
        <f aca="false">IFERROR(__xludf.dummyfunction("""COMPUTED_VALUE"""),"15")</f>
        <v>15</v>
      </c>
      <c r="L509" s="6" t="str">
        <f aca="false">IFERROR(__xludf.dummyfunction("""COMPUTED_VALUE"""),"冷蔵庫（単身用）、洗濯機、乾燥機")</f>
        <v>冷蔵庫（単身用）、洗濯機、乾燥機</v>
      </c>
      <c r="M509" s="6" t="str">
        <f aca="false">IFERROR(__xludf.dummyfunction("""COMPUTED_VALUE"""),"机(120cm、60、70cm）、セミダブルベッド、3人掛けソファ。")</f>
        <v>机(120cm、60、70cm）、セミダブルベッド、3人掛けソファ。</v>
      </c>
      <c r="N509" s="6" t="str">
        <f aca="false">IFERROR(__xludf.dummyfunction("""COMPUTED_VALUE"""),"スーツケース２つ")</f>
        <v>スーツケース２つ</v>
      </c>
      <c r="O509" s="6" t="str">
        <f aca="false">IFERROR(__xludf.dummyfunction("""COMPUTED_VALUE"""),"不要")</f>
        <v>不要</v>
      </c>
      <c r="P509" s="6"/>
      <c r="Q509" s="6"/>
      <c r="R509" s="6"/>
      <c r="S509" s="6" t="str">
        <f aca="false">IFERROR(__xludf.dummyfunction("""COMPUTED_VALUE"""),"家具家電なし社宅")</f>
        <v>家具家電なし社宅</v>
      </c>
      <c r="T509" s="6" t="str">
        <f aca="false">IFERROR(__xludf.dummyfunction("""COMPUTED_VALUE"""),"利用しない")</f>
        <v>利用しない</v>
      </c>
      <c r="U509" s="6"/>
      <c r="V509" s="6" t="str">
        <f aca="false">IFERROR(__xludf.dummyfunction("""COMPUTED_VALUE"""),"電車, バス")</f>
        <v>電車, バス</v>
      </c>
      <c r="W509" s="6"/>
      <c r="X509" s="6" t="str">
        <f aca="false">IFERROR(__xludf.dummyfunction("""COMPUTED_VALUE"""),"ご自身で契約中の物件")</f>
        <v>ご自身で契約中の物件</v>
      </c>
      <c r="Y509" s="6"/>
      <c r="Z509" s="6" t="str">
        <f aca="false">IFERROR(__xludf.dummyfunction("""COMPUTED_VALUE"""),"希望する")</f>
        <v>希望する</v>
      </c>
      <c r="AA509" s="6" t="str">
        <f aca="false">IFERROR(__xludf.dummyfunction("""COMPUTED_VALUE"""),"単身")</f>
        <v>単身</v>
      </c>
      <c r="AB509" s="6"/>
      <c r="AC509" s="6"/>
      <c r="AD509" s="6"/>
      <c r="AE509" s="6" t="str">
        <f aca="false">IFERROR(__xludf.dummyfunction("""COMPUTED_VALUE"""),"確認しました。")</f>
        <v>確認しました。</v>
      </c>
      <c r="AF509" s="6" t="str">
        <f aca="false">IFERROR(__xludf.dummyfunction("""COMPUTED_VALUE"""),"社宅基準の内容について確認しました")</f>
        <v>社宅基準の内容について確認しました</v>
      </c>
      <c r="AG509" s="6" t="str">
        <f aca="false">IFERROR(__xludf.dummyfunction("""COMPUTED_VALUE"""),"入居のしおりの内容についてご確認しました")</f>
        <v>入居のしおりの内容についてご確認しました</v>
      </c>
      <c r="AH509" s="6" t="str">
        <f aca="false">IFERROR(__xludf.dummyfunction("""COMPUTED_VALUE"""),"確認しました")</f>
        <v>確認しました</v>
      </c>
      <c r="AI509" s="6"/>
      <c r="AJ509" s="6" t="str">
        <v/>
      </c>
      <c r="AK509" s="6" t="str">
        <v/>
      </c>
      <c r="AL509" s="6" t="str">
        <v/>
      </c>
      <c r="AM509" s="6" t="str">
        <v/>
      </c>
      <c r="AN509" s="6" t="n">
        <f aca="false">FALSE()</f>
        <v>0</v>
      </c>
    </row>
    <row r="510" customFormat="false" ht="52.5" hidden="false" customHeight="true" outlineLevel="0" collapsed="false">
      <c r="A510" s="6" t="str">
        <f aca="false">IFERROR(__xludf.dummyfunction("""COMPUTED_VALUE"""),"2026/04/03 19:29:11")</f>
        <v>2026/04/03 19:29:11</v>
      </c>
      <c r="B510" s="6"/>
      <c r="C510" s="6" t="str">
        <f aca="false">IFERROR(__xludf.dummyfunction("""COMPUTED_VALUE"""),"72168")</f>
        <v>72168</v>
      </c>
      <c r="D510" s="6"/>
      <c r="E510" s="6"/>
      <c r="F510" s="6"/>
      <c r="G510" s="6" t="str">
        <f aca="false">IFERROR(__xludf.dummyfunction("""COMPUTED_VALUE"""),"2026/04/13")</f>
        <v>2026/04/13</v>
      </c>
      <c r="H510" s="6" t="str">
        <f aca="false">IFERROR(__xludf.dummyfunction("""COMPUTED_VALUE"""),"必要")</f>
        <v>必要</v>
      </c>
      <c r="I510" s="6" t="str">
        <f aca="false">IFERROR(__xludf.dummyfunction("""COMPUTED_VALUE"""),"男性")</f>
        <v>男性</v>
      </c>
      <c r="J510" s="6" t="str">
        <f aca="false">IFERROR(__xludf.dummyfunction("""COMPUTED_VALUE"""),"日本")</f>
        <v>日本</v>
      </c>
      <c r="K510" s="6" t="str">
        <f aca="false">IFERROR(__xludf.dummyfunction("""COMPUTED_VALUE"""),"21")</f>
        <v>21</v>
      </c>
      <c r="L510" s="6" t="str">
        <f aca="false">IFERROR(__xludf.dummyfunction("""COMPUTED_VALUE"""),"冷蔵庫(単身用)、洗濯機（縦50㎝、横47㎝、高さ83㎝）、電子レンジ、オーブンレンジ、テレビ（高さ50㎝、横90㎝）")</f>
        <v>冷蔵庫(単身用)、洗濯機（縦50㎝、横47㎝、高さ83㎝）、電子レンジ、オーブンレンジ、テレビ（高さ50㎝、横90㎝）</v>
      </c>
      <c r="M510" s="6" t="str">
        <f aca="false">IFERROR(__xludf.dummyfunction("""COMPUTED_VALUE"""),"テーブル（縦58㎝、横78㎝、高さ40㎝）、テレビ台、組み立て式ベッド（シングル）")</f>
        <v>テーブル（縦58㎝、横78㎝、高さ40㎝）、テレビ台、組み立て式ベッド（シングル）</v>
      </c>
      <c r="N510" s="6"/>
      <c r="O510" s="6" t="str">
        <f aca="false">IFERROR(__xludf.dummyfunction("""COMPUTED_VALUE"""),"不要")</f>
        <v>不要</v>
      </c>
      <c r="P510" s="6"/>
      <c r="Q510" s="6"/>
      <c r="R510" s="6"/>
      <c r="S510" s="6" t="str">
        <f aca="false">IFERROR(__xludf.dummyfunction("""COMPUTED_VALUE"""),"家具家電なし社宅")</f>
        <v>家具家電なし社宅</v>
      </c>
      <c r="T510" s="6" t="str">
        <f aca="false">IFERROR(__xludf.dummyfunction("""COMPUTED_VALUE"""),"利用しない")</f>
        <v>利用しない</v>
      </c>
      <c r="U510" s="6"/>
      <c r="V510" s="6" t="str">
        <f aca="false">IFERROR(__xludf.dummyfunction("""COMPUTED_VALUE"""),"電車")</f>
        <v>電車</v>
      </c>
      <c r="W510" s="6"/>
      <c r="X510" s="6" t="str">
        <f aca="false">IFERROR(__xludf.dummyfunction("""COMPUTED_VALUE"""),"実家")</f>
        <v>実家</v>
      </c>
      <c r="Y510" s="6"/>
      <c r="Z510" s="6" t="str">
        <f aca="false">IFERROR(__xludf.dummyfunction("""COMPUTED_VALUE"""),"希望する")</f>
        <v>希望する</v>
      </c>
      <c r="AA510" s="6" t="str">
        <f aca="false">IFERROR(__xludf.dummyfunction("""COMPUTED_VALUE"""),"単身")</f>
        <v>単身</v>
      </c>
      <c r="AB510" s="6"/>
      <c r="AC510" s="6"/>
      <c r="AD510" s="6" t="str">
        <f aca="false">IFERROR(__xludf.dummyfunction("""COMPUTED_VALUE"""),"日当たりの良いところ、新しめの物件、場所はできたら品川")</f>
        <v>日当たりの良いところ、新しめの物件、場所はできたら品川</v>
      </c>
      <c r="AE510" s="6" t="str">
        <f aca="false">IFERROR(__xludf.dummyfunction("""COMPUTED_VALUE"""),"確認しました。")</f>
        <v>確認しました。</v>
      </c>
      <c r="AF510" s="6" t="str">
        <f aca="false">IFERROR(__xludf.dummyfunction("""COMPUTED_VALUE"""),"社宅基準の内容について確認しました")</f>
        <v>社宅基準の内容について確認しました</v>
      </c>
      <c r="AG510" s="6" t="str">
        <f aca="false">IFERROR(__xludf.dummyfunction("""COMPUTED_VALUE"""),"入居のしおりの内容についてご確認しました")</f>
        <v>入居のしおりの内容についてご確認しました</v>
      </c>
      <c r="AH510" s="6" t="str">
        <f aca="false">IFERROR(__xludf.dummyfunction("""COMPUTED_VALUE"""),"確認しました")</f>
        <v>確認しました</v>
      </c>
      <c r="AI510" s="6"/>
      <c r="AJ510" s="6" t="str">
        <v/>
      </c>
      <c r="AK510" s="6" t="str">
        <v/>
      </c>
      <c r="AL510" s="6" t="str">
        <v/>
      </c>
      <c r="AM510" s="6" t="str">
        <v/>
      </c>
      <c r="AN510" s="6" t="n">
        <f aca="false">FALSE()</f>
        <v>0</v>
      </c>
    </row>
    <row r="511" customFormat="false" ht="52.5" hidden="false" customHeight="true" outlineLevel="0" collapsed="false">
      <c r="A511" s="6" t="str">
        <f aca="false">IFERROR(__xludf.dummyfunction("""COMPUTED_VALUE"""),"2026/04/03 22:16:29")</f>
        <v>2026/04/03 22:16:29</v>
      </c>
      <c r="B511" s="6"/>
      <c r="C511" s="6" t="str">
        <f aca="false">IFERROR(__xludf.dummyfunction("""COMPUTED_VALUE"""),"72111")</f>
        <v>72111</v>
      </c>
      <c r="D511" s="6"/>
      <c r="E511" s="6"/>
      <c r="F511" s="6"/>
      <c r="G511" s="6" t="str">
        <f aca="false">IFERROR(__xludf.dummyfunction("""COMPUTED_VALUE"""),"2026/04/16")</f>
        <v>2026/04/16</v>
      </c>
      <c r="H511" s="6" t="str">
        <f aca="false">IFERROR(__xludf.dummyfunction("""COMPUTED_VALUE"""),"必要")</f>
        <v>必要</v>
      </c>
      <c r="I511" s="6" t="str">
        <f aca="false">IFERROR(__xludf.dummyfunction("""COMPUTED_VALUE"""),"男性")</f>
        <v>男性</v>
      </c>
      <c r="J511" s="6" t="str">
        <f aca="false">IFERROR(__xludf.dummyfunction("""COMPUTED_VALUE"""),"日本")</f>
        <v>日本</v>
      </c>
      <c r="K511" s="6" t="str">
        <f aca="false">IFERROR(__xludf.dummyfunction("""COMPUTED_VALUE"""),"5")</f>
        <v>5</v>
      </c>
      <c r="L511" s="6" t="str">
        <f aca="false">IFERROR(__xludf.dummyfunction("""COMPUTED_VALUE"""),"なし")</f>
        <v>なし</v>
      </c>
      <c r="M511" s="6" t="str">
        <f aca="false">IFERROR(__xludf.dummyfunction("""COMPUTED_VALUE"""),"セミダブルベッド、机(約1x0.7x0.7)")</f>
        <v>セミダブルベッド、机(約1x0.7x0.7)</v>
      </c>
      <c r="N511" s="6" t="str">
        <f aca="false">IFERROR(__xludf.dummyfunction("""COMPUTED_VALUE"""),"PC、自転車")</f>
        <v>PC、自転車</v>
      </c>
      <c r="O511" s="6" t="str">
        <f aca="false">IFERROR(__xludf.dummyfunction("""COMPUTED_VALUE"""),"必要")</f>
        <v>必要</v>
      </c>
      <c r="P511" s="6" t="str">
        <f aca="false">IFERROR(__xludf.dummyfunction("""COMPUTED_VALUE"""),"バイク　スズキ ブルバードC90")</f>
        <v>バイク　スズキ ブルバードC90</v>
      </c>
      <c r="Q511" s="6" t="str">
        <f aca="false">IFERROR(__xludf.dummyfunction("""COMPUTED_VALUE"""),"奈良　え　5774")</f>
        <v>奈良　え　5774</v>
      </c>
      <c r="R511" s="6" t="str">
        <f aca="false">IFERROR(__xludf.dummyfunction("""COMPUTED_VALUE"""),"黒")</f>
        <v>黒</v>
      </c>
      <c r="S511" s="6" t="str">
        <f aca="false">IFERROR(__xludf.dummyfunction("""COMPUTED_VALUE"""),"家具家電付き社宅")</f>
        <v>家具家電付き社宅</v>
      </c>
      <c r="T511" s="6" t="str">
        <f aca="false">IFERROR(__xludf.dummyfunction("""COMPUTED_VALUE"""),"利用する")</f>
        <v>利用する</v>
      </c>
      <c r="U511" s="6" t="str">
        <f aca="false">IFERROR(__xludf.dummyfunction("""COMPUTED_VALUE"""),"冷蔵庫、コンロ、電子レンジ")</f>
        <v>冷蔵庫、コンロ、電子レンジ</v>
      </c>
      <c r="V511" s="6" t="str">
        <f aca="false">IFERROR(__xludf.dummyfunction("""COMPUTED_VALUE"""),"徒歩, 自動車, 自転車, バイク")</f>
        <v>徒歩, 自動車, 自転車, バイク</v>
      </c>
      <c r="W511" s="6"/>
      <c r="X511" s="6" t="str">
        <f aca="false">IFERROR(__xludf.dummyfunction("""COMPUTED_VALUE"""),"実家")</f>
        <v>実家</v>
      </c>
      <c r="Y511" s="6"/>
      <c r="Z511" s="6" t="str">
        <f aca="false">IFERROR(__xludf.dummyfunction("""COMPUTED_VALUE"""),"希望する")</f>
        <v>希望する</v>
      </c>
      <c r="AA511" s="6" t="str">
        <f aca="false">IFERROR(__xludf.dummyfunction("""COMPUTED_VALUE"""),"単身")</f>
        <v>単身</v>
      </c>
      <c r="AB511" s="6"/>
      <c r="AC511" s="6"/>
      <c r="AD511" s="6"/>
      <c r="AE511" s="6" t="str">
        <f aca="false">IFERROR(__xludf.dummyfunction("""COMPUTED_VALUE"""),"確認しました。")</f>
        <v>確認しました。</v>
      </c>
      <c r="AF511" s="6" t="str">
        <f aca="false">IFERROR(__xludf.dummyfunction("""COMPUTED_VALUE"""),"社宅基準の内容について確認しました")</f>
        <v>社宅基準の内容について確認しました</v>
      </c>
      <c r="AG511" s="6" t="str">
        <f aca="false">IFERROR(__xludf.dummyfunction("""COMPUTED_VALUE"""),"入居のしおりの内容についてご確認しました")</f>
        <v>入居のしおりの内容についてご確認しました</v>
      </c>
      <c r="AH511" s="6" t="str">
        <f aca="false">IFERROR(__xludf.dummyfunction("""COMPUTED_VALUE"""),"確認しました")</f>
        <v>確認しました</v>
      </c>
      <c r="AI511" s="6"/>
      <c r="AJ511" s="6" t="str">
        <v/>
      </c>
      <c r="AK511" s="6" t="str">
        <v/>
      </c>
      <c r="AL511" s="6" t="str">
        <v/>
      </c>
      <c r="AM511" s="6" t="str">
        <v/>
      </c>
      <c r="AN511" s="6" t="n">
        <f aca="false">FALSE()</f>
        <v>0</v>
      </c>
    </row>
    <row r="512" customFormat="false" ht="52.5" hidden="false" customHeight="true" outlineLevel="0" collapsed="false">
      <c r="A512" s="6" t="str">
        <f aca="false">IFERROR(__xludf.dummyfunction("""COMPUTED_VALUE"""),"2026/04/04 10:06:18")</f>
        <v>2026/04/04 10:06:18</v>
      </c>
      <c r="B512" s="6"/>
      <c r="C512" s="6" t="str">
        <f aca="false">IFERROR(__xludf.dummyfunction("""COMPUTED_VALUE"""),"72149")</f>
        <v>72149</v>
      </c>
      <c r="D512" s="6"/>
      <c r="E512" s="6"/>
      <c r="F512" s="6"/>
      <c r="G512" s="6" t="str">
        <f aca="false">IFERROR(__xludf.dummyfunction("""COMPUTED_VALUE"""),"2026/04/25")</f>
        <v>2026/04/25</v>
      </c>
      <c r="H512" s="6" t="str">
        <f aca="false">IFERROR(__xludf.dummyfunction("""COMPUTED_VALUE"""),"必要")</f>
        <v>必要</v>
      </c>
      <c r="I512" s="6" t="str">
        <f aca="false">IFERROR(__xludf.dummyfunction("""COMPUTED_VALUE"""),"男性")</f>
        <v>男性</v>
      </c>
      <c r="J512" s="6" t="str">
        <f aca="false">IFERROR(__xludf.dummyfunction("""COMPUTED_VALUE"""),"日本")</f>
        <v>日本</v>
      </c>
      <c r="K512" s="6" t="str">
        <f aca="false">IFERROR(__xludf.dummyfunction("""COMPUTED_VALUE"""),"27")</f>
        <v>27</v>
      </c>
      <c r="L512" s="6" t="str">
        <f aca="false">IFERROR(__xludf.dummyfunction("""COMPUTED_VALUE"""),"冷蔵庫(2ドア、縦59横49高さ119) 電子レンジ(縦31.5横45高さ28)　洗濯機(縦51横51高さ81)")</f>
        <v>冷蔵庫(2ドア、縦59横49高さ119) 電子レンジ(縦31.5横45高さ28)　洗濯機(縦51横51高さ81)</v>
      </c>
      <c r="M512" s="6" t="str">
        <f aca="false">IFERROR(__xludf.dummyfunction("""COMPUTED_VALUE"""),"デスク(縦55.5横122高さ70) 衣類ケース×2(縦73横43.5高さ23) 食器棚(縦40横60高さ89) 鍵付き金庫(縦29.5横35高さ34.5) ")</f>
        <v>デスク(縦55.5横122高さ70) 衣類ケース×2(縦73横43.5高さ23) 食器棚(縦40横60高さ89) 鍵付き金庫(縦29.5横35高さ34.5) </v>
      </c>
      <c r="N512" s="6" t="str">
        <f aca="false">IFERROR(__xludf.dummyfunction("""COMPUTED_VALUE"""),"自転車、脚立、アイロン台、折りたたみ式小テーブル、小テーブル")</f>
        <v>自転車、脚立、アイロン台、折りたたみ式小テーブル、小テーブル</v>
      </c>
      <c r="O512" s="6" t="str">
        <f aca="false">IFERROR(__xludf.dummyfunction("""COMPUTED_VALUE"""),"不要")</f>
        <v>不要</v>
      </c>
      <c r="P512" s="6"/>
      <c r="Q512" s="6"/>
      <c r="R512" s="6"/>
      <c r="S512" s="6" t="str">
        <f aca="false">IFERROR(__xludf.dummyfunction("""COMPUTED_VALUE"""),"家具家電なし社宅")</f>
        <v>家具家電なし社宅</v>
      </c>
      <c r="T512" s="6" t="str">
        <f aca="false">IFERROR(__xludf.dummyfunction("""COMPUTED_VALUE"""),"利用しない")</f>
        <v>利用しない</v>
      </c>
      <c r="U512" s="6"/>
      <c r="V512" s="6" t="str">
        <f aca="false">IFERROR(__xludf.dummyfunction("""COMPUTED_VALUE"""),"徒歩, 自転車, 電車, バス")</f>
        <v>徒歩, 自転車, 電車, バス</v>
      </c>
      <c r="W512" s="6"/>
      <c r="X512" s="6" t="str">
        <f aca="false">IFERROR(__xludf.dummyfunction("""COMPUTED_VALUE"""),"ご自身で契約中の物件")</f>
        <v>ご自身で契約中の物件</v>
      </c>
      <c r="Y512" s="6"/>
      <c r="Z512" s="6" t="str">
        <f aca="false">IFERROR(__xludf.dummyfunction("""COMPUTED_VALUE"""),"希望する")</f>
        <v>希望する</v>
      </c>
      <c r="AA512" s="6" t="str">
        <f aca="false">IFERROR(__xludf.dummyfunction("""COMPUTED_VALUE"""),"単身")</f>
        <v>単身</v>
      </c>
      <c r="AB512" s="6"/>
      <c r="AC512" s="6"/>
      <c r="AD512" s="6"/>
      <c r="AE512" s="6" t="str">
        <f aca="false">IFERROR(__xludf.dummyfunction("""COMPUTED_VALUE"""),"確認しました。")</f>
        <v>確認しました。</v>
      </c>
      <c r="AF512" s="6" t="str">
        <f aca="false">IFERROR(__xludf.dummyfunction("""COMPUTED_VALUE"""),"社宅基準の内容について確認しました")</f>
        <v>社宅基準の内容について確認しました</v>
      </c>
      <c r="AG512" s="6" t="str">
        <f aca="false">IFERROR(__xludf.dummyfunction("""COMPUTED_VALUE"""),"入居のしおりの内容についてご確認しました")</f>
        <v>入居のしおりの内容についてご確認しました</v>
      </c>
      <c r="AH512" s="6" t="str">
        <f aca="false">IFERROR(__xludf.dummyfunction("""COMPUTED_VALUE"""),"確認しました")</f>
        <v>確認しました</v>
      </c>
      <c r="AI512" s="6"/>
      <c r="AJ512" s="6" t="str">
        <v/>
      </c>
      <c r="AK512" s="6" t="str">
        <v/>
      </c>
      <c r="AL512" s="6" t="str">
        <v/>
      </c>
      <c r="AM512" s="6" t="str">
        <v/>
      </c>
      <c r="AN512" s="6" t="n">
        <f aca="false">FALSE()</f>
        <v>0</v>
      </c>
    </row>
    <row r="513" customFormat="false" ht="52.5" hidden="false" customHeight="true" outlineLevel="0" collapsed="false">
      <c r="A513" s="6" t="str">
        <f aca="false">IFERROR(__xludf.dummyfunction("""COMPUTED_VALUE"""),"2026/04/04 11:37:18")</f>
        <v>2026/04/04 11:37:18</v>
      </c>
      <c r="B513" s="6"/>
      <c r="C513" s="6" t="str">
        <f aca="false">IFERROR(__xludf.dummyfunction("""COMPUTED_VALUE"""),"72151")</f>
        <v>72151</v>
      </c>
      <c r="D513" s="6"/>
      <c r="E513" s="6"/>
      <c r="F513" s="6"/>
      <c r="G513" s="6" t="str">
        <f aca="false">IFERROR(__xludf.dummyfunction("""COMPUTED_VALUE"""),"2026/06/26")</f>
        <v>2026/06/26</v>
      </c>
      <c r="H513" s="6" t="str">
        <f aca="false">IFERROR(__xludf.dummyfunction("""COMPUTED_VALUE"""),"必要")</f>
        <v>必要</v>
      </c>
      <c r="I513" s="6" t="str">
        <f aca="false">IFERROR(__xludf.dummyfunction("""COMPUTED_VALUE"""),"男性")</f>
        <v>男性</v>
      </c>
      <c r="J513" s="6" t="str">
        <f aca="false">IFERROR(__xludf.dummyfunction("""COMPUTED_VALUE"""),"日本")</f>
        <v>日本</v>
      </c>
      <c r="K513" s="6" t="str">
        <f aca="false">IFERROR(__xludf.dummyfunction("""COMPUTED_VALUE"""),"20")</f>
        <v>20</v>
      </c>
      <c r="L513" s="6" t="str">
        <f aca="false">IFERROR(__xludf.dummyfunction("""COMPUTED_VALUE"""),"冷蔵庫（家族用）電子レンジ")</f>
        <v>冷蔵庫（家族用）電子レンジ</v>
      </c>
      <c r="M513" s="6" t="str">
        <f aca="false">IFERROR(__xludf.dummyfunction("""COMPUTED_VALUE"""),"ベッド（シングル）、食器棚、昇降デスク")</f>
        <v>ベッド（シングル）、食器棚、昇降デスク</v>
      </c>
      <c r="N513" s="6" t="str">
        <f aca="false">IFERROR(__xludf.dummyfunction("""COMPUTED_VALUE"""),"原付")</f>
        <v>原付</v>
      </c>
      <c r="O513" s="6" t="str">
        <f aca="false">IFERROR(__xludf.dummyfunction("""COMPUTED_VALUE"""),"不要")</f>
        <v>不要</v>
      </c>
      <c r="P513" s="6"/>
      <c r="Q513" s="6"/>
      <c r="R513" s="6"/>
      <c r="S513" s="6" t="str">
        <f aca="false">IFERROR(__xludf.dummyfunction("""COMPUTED_VALUE"""),"家具家電なし社宅")</f>
        <v>家具家電なし社宅</v>
      </c>
      <c r="T513" s="6" t="str">
        <f aca="false">IFERROR(__xludf.dummyfunction("""COMPUTED_VALUE"""),"利用しない")</f>
        <v>利用しない</v>
      </c>
      <c r="U513" s="6"/>
      <c r="V513" s="6" t="str">
        <f aca="false">IFERROR(__xludf.dummyfunction("""COMPUTED_VALUE"""),"徒歩, 電車, 社用バス")</f>
        <v>徒歩, 電車, 社用バス</v>
      </c>
      <c r="W513" s="6"/>
      <c r="X513" s="6" t="str">
        <f aca="false">IFERROR(__xludf.dummyfunction("""COMPUTED_VALUE"""),"実家")</f>
        <v>実家</v>
      </c>
      <c r="Y513" s="6"/>
      <c r="Z513" s="6" t="str">
        <f aca="false">IFERROR(__xludf.dummyfunction("""COMPUTED_VALUE"""),"希望する")</f>
        <v>希望する</v>
      </c>
      <c r="AA513" s="6" t="str">
        <f aca="false">IFERROR(__xludf.dummyfunction("""COMPUTED_VALUE"""),"単身")</f>
        <v>単身</v>
      </c>
      <c r="AB513" s="6"/>
      <c r="AC513" s="6"/>
      <c r="AD513" s="6"/>
      <c r="AE513" s="6" t="str">
        <f aca="false">IFERROR(__xludf.dummyfunction("""COMPUTED_VALUE"""),"確認しました。")</f>
        <v>確認しました。</v>
      </c>
      <c r="AF513" s="6" t="str">
        <f aca="false">IFERROR(__xludf.dummyfunction("""COMPUTED_VALUE"""),"社宅基準の内容について確認しました")</f>
        <v>社宅基準の内容について確認しました</v>
      </c>
      <c r="AG513" s="6" t="str">
        <f aca="false">IFERROR(__xludf.dummyfunction("""COMPUTED_VALUE"""),"入居のしおりの内容についてご確認しました")</f>
        <v>入居のしおりの内容についてご確認しました</v>
      </c>
      <c r="AH513" s="6" t="str">
        <f aca="false">IFERROR(__xludf.dummyfunction("""COMPUTED_VALUE"""),"確認しました")</f>
        <v>確認しました</v>
      </c>
      <c r="AI513" s="6"/>
      <c r="AJ513" s="6" t="str">
        <v/>
      </c>
      <c r="AK513" s="6" t="str">
        <v/>
      </c>
      <c r="AL513" s="6" t="str">
        <v/>
      </c>
      <c r="AM513" s="6" t="str">
        <v/>
      </c>
      <c r="AN513" s="6" t="n">
        <f aca="false">FALSE()</f>
        <v>0</v>
      </c>
    </row>
    <row r="514" customFormat="false" ht="52.5" hidden="false" customHeight="true" outlineLevel="0" collapsed="false">
      <c r="A514" s="6" t="str">
        <f aca="false">IFERROR(__xludf.dummyfunction("""COMPUTED_VALUE"""),"2026/04/04 14:41:59")</f>
        <v>2026/04/04 14:41:59</v>
      </c>
      <c r="B514" s="6"/>
      <c r="C514" s="6" t="str">
        <f aca="false">IFERROR(__xludf.dummyfunction("""COMPUTED_VALUE"""),"72119")</f>
        <v>72119</v>
      </c>
      <c r="D514" s="6"/>
      <c r="E514" s="6"/>
      <c r="F514" s="6"/>
      <c r="G514" s="6" t="str">
        <f aca="false">IFERROR(__xludf.dummyfunction("""COMPUTED_VALUE"""),"2026/04/25")</f>
        <v>2026/04/25</v>
      </c>
      <c r="H514" s="6" t="str">
        <f aca="false">IFERROR(__xludf.dummyfunction("""COMPUTED_VALUE"""),"不要")</f>
        <v>不要</v>
      </c>
      <c r="I514" s="6" t="str">
        <f aca="false">IFERROR(__xludf.dummyfunction("""COMPUTED_VALUE"""),"男性")</f>
        <v>男性</v>
      </c>
      <c r="J514" s="6" t="str">
        <f aca="false">IFERROR(__xludf.dummyfunction("""COMPUTED_VALUE"""),"日本")</f>
        <v>日本</v>
      </c>
      <c r="K514" s="6"/>
      <c r="L514" s="6"/>
      <c r="M514" s="6"/>
      <c r="N514" s="6"/>
      <c r="O514" s="6" t="str">
        <f aca="false">IFERROR(__xludf.dummyfunction("""COMPUTED_VALUE"""),"不要")</f>
        <v>不要</v>
      </c>
      <c r="P514" s="6"/>
      <c r="Q514" s="6"/>
      <c r="R514" s="6"/>
      <c r="S514" s="6" t="str">
        <f aca="false">IFERROR(__xludf.dummyfunction("""COMPUTED_VALUE"""),"家具家電なし社宅")</f>
        <v>家具家電なし社宅</v>
      </c>
      <c r="T514" s="6" t="str">
        <f aca="false">IFERROR(__xludf.dummyfunction("""COMPUTED_VALUE"""),"利用しない")</f>
        <v>利用しない</v>
      </c>
      <c r="U514" s="6"/>
      <c r="V514" s="6" t="str">
        <f aca="false">IFERROR(__xludf.dummyfunction("""COMPUTED_VALUE"""),"電車, 最寄り駅まで徒歩10分以内、　町田に出やすい場所（長津田、中山等）")</f>
        <v>電車, 最寄り駅まで徒歩10分以内、　町田に出やすい場所（長津田、中山等）</v>
      </c>
      <c r="W514" s="6"/>
      <c r="X514" s="6" t="str">
        <f aca="false">IFERROR(__xludf.dummyfunction("""COMPUTED_VALUE"""),"株式会社オープンアップネクストエンジニア様の社宅")</f>
        <v>株式会社オープンアップネクストエンジニア様の社宅</v>
      </c>
      <c r="Y514" s="6" t="str">
        <f aca="false">IFERROR(__xludf.dummyfunction("""COMPUTED_VALUE"""),"レンタル品は 回収希望　洗濯機・冷蔵庫")</f>
        <v>レンタル品は 回収希望　洗濯機・冷蔵庫</v>
      </c>
      <c r="Z514" s="6" t="str">
        <f aca="false">IFERROR(__xludf.dummyfunction("""COMPUTED_VALUE"""),"希望しない")</f>
        <v>希望しない</v>
      </c>
      <c r="AA514" s="6" t="str">
        <f aca="false">IFERROR(__xludf.dummyfunction("""COMPUTED_VALUE"""),"家族")</f>
        <v>家族</v>
      </c>
      <c r="AB514" s="6" t="str">
        <f aca="false">IFERROR(__xludf.dummyfunction("""COMPUTED_VALUE"""),"氏名：堀　早也子
フリガナ：ホリ　サヤコ
生年月日：1986年11月11日
携帯番号：09084616599
続柄：配偶者")</f>
        <v>氏名：堀　早也子
フリガナ：ホリ　サヤコ
生年月日：1986年11月11日
携帯番号：09084616599
続柄：配偶者</v>
      </c>
      <c r="AC514" s="6"/>
      <c r="AD514" s="6"/>
      <c r="AE514" s="6" t="str">
        <f aca="false">IFERROR(__xludf.dummyfunction("""COMPUTED_VALUE"""),"確認しました。")</f>
        <v>確認しました。</v>
      </c>
      <c r="AF514" s="6" t="str">
        <f aca="false">IFERROR(__xludf.dummyfunction("""COMPUTED_VALUE"""),"社宅基準の内容について確認しました")</f>
        <v>社宅基準の内容について確認しました</v>
      </c>
      <c r="AG514" s="6" t="str">
        <f aca="false">IFERROR(__xludf.dummyfunction("""COMPUTED_VALUE"""),"入居のしおりの内容についてご確認しました")</f>
        <v>入居のしおりの内容についてご確認しました</v>
      </c>
      <c r="AH514" s="6" t="str">
        <f aca="false">IFERROR(__xludf.dummyfunction("""COMPUTED_VALUE"""),"確認しました")</f>
        <v>確認しました</v>
      </c>
      <c r="AI514" s="6"/>
      <c r="AJ514" s="6" t="str">
        <v/>
      </c>
      <c r="AK514" s="6" t="str">
        <v/>
      </c>
      <c r="AL514" s="6" t="str">
        <v/>
      </c>
      <c r="AM514" s="6" t="str">
        <v/>
      </c>
      <c r="AN514" s="6" t="n">
        <f aca="false">FALSE()</f>
        <v>0</v>
      </c>
    </row>
    <row r="515" customFormat="false" ht="52.5" hidden="false" customHeight="true" outlineLevel="0" collapsed="false">
      <c r="A515" s="6" t="str">
        <f aca="false">IFERROR(__xludf.dummyfunction("""COMPUTED_VALUE"""),"2026/04/05 14:26:58")</f>
        <v>2026/04/05 14:26:58</v>
      </c>
      <c r="B515" s="6"/>
      <c r="C515" s="6" t="str">
        <f aca="false">IFERROR(__xludf.dummyfunction("""COMPUTED_VALUE"""),"72128")</f>
        <v>72128</v>
      </c>
      <c r="D515" s="6"/>
      <c r="E515" s="6"/>
      <c r="F515" s="6"/>
      <c r="G515" s="6" t="str">
        <f aca="false">IFERROR(__xludf.dummyfunction("""COMPUTED_VALUE"""),"2026/04/24")</f>
        <v>2026/04/24</v>
      </c>
      <c r="H515" s="6" t="str">
        <f aca="false">IFERROR(__xludf.dummyfunction("""COMPUTED_VALUE"""),"必要")</f>
        <v>必要</v>
      </c>
      <c r="I515" s="6" t="str">
        <f aca="false">IFERROR(__xludf.dummyfunction("""COMPUTED_VALUE"""),"男性")</f>
        <v>男性</v>
      </c>
      <c r="J515" s="6" t="str">
        <f aca="false">IFERROR(__xludf.dummyfunction("""COMPUTED_VALUE"""),"日本")</f>
        <v>日本</v>
      </c>
      <c r="K515" s="6" t="str">
        <f aca="false">IFERROR(__xludf.dummyfunction("""COMPUTED_VALUE"""),"15")</f>
        <v>15</v>
      </c>
      <c r="L515" s="6" t="str">
        <f aca="false">IFERROR(__xludf.dummyfunction("""COMPUTED_VALUE"""),"炊飯器、掃除機")</f>
        <v>炊飯器、掃除機</v>
      </c>
      <c r="M515" s="6" t="str">
        <f aca="false">IFERROR(__xludf.dummyfunction("""COMPUTED_VALUE"""),"なし")</f>
        <v>なし</v>
      </c>
      <c r="N515" s="6"/>
      <c r="O515" s="6" t="str">
        <f aca="false">IFERROR(__xludf.dummyfunction("""COMPUTED_VALUE"""),"必要")</f>
        <v>必要</v>
      </c>
      <c r="P515" s="6" t="str">
        <f aca="false">IFERROR(__xludf.dummyfunction("""COMPUTED_VALUE"""),"ヴィッツ")</f>
        <v>ヴィッツ</v>
      </c>
      <c r="Q515" s="6" t="str">
        <f aca="false">IFERROR(__xludf.dummyfunction("""COMPUTED_VALUE"""),"み・201")</f>
        <v>み・201</v>
      </c>
      <c r="R515" s="6" t="str">
        <f aca="false">IFERROR(__xludf.dummyfunction("""COMPUTED_VALUE"""),"黒")</f>
        <v>黒</v>
      </c>
      <c r="S515" s="6" t="str">
        <f aca="false">IFERROR(__xludf.dummyfunction("""COMPUTED_VALUE"""),"家具家電付き社宅")</f>
        <v>家具家電付き社宅</v>
      </c>
      <c r="T515" s="6" t="str">
        <f aca="false">IFERROR(__xludf.dummyfunction("""COMPUTED_VALUE"""),"利用しない")</f>
        <v>利用しない</v>
      </c>
      <c r="U515" s="6"/>
      <c r="V515" s="6" t="str">
        <f aca="false">IFERROR(__xludf.dummyfunction("""COMPUTED_VALUE"""),"自動車")</f>
        <v>自動車</v>
      </c>
      <c r="W515" s="6"/>
      <c r="X515" s="6" t="str">
        <f aca="false">IFERROR(__xludf.dummyfunction("""COMPUTED_VALUE"""),"実家")</f>
        <v>実家</v>
      </c>
      <c r="Y515" s="6"/>
      <c r="Z515" s="6" t="str">
        <f aca="false">IFERROR(__xludf.dummyfunction("""COMPUTED_VALUE"""),"希望する")</f>
        <v>希望する</v>
      </c>
      <c r="AA515" s="6" t="str">
        <f aca="false">IFERROR(__xludf.dummyfunction("""COMPUTED_VALUE"""),"単身")</f>
        <v>単身</v>
      </c>
      <c r="AB515" s="6"/>
      <c r="AC515" s="6"/>
      <c r="AD515" s="6"/>
      <c r="AE515" s="6" t="str">
        <f aca="false">IFERROR(__xludf.dummyfunction("""COMPUTED_VALUE"""),"確認しました。")</f>
        <v>確認しました。</v>
      </c>
      <c r="AF515" s="6" t="str">
        <f aca="false">IFERROR(__xludf.dummyfunction("""COMPUTED_VALUE"""),"社宅基準の内容について確認しました")</f>
        <v>社宅基準の内容について確認しました</v>
      </c>
      <c r="AG515" s="6" t="str">
        <f aca="false">IFERROR(__xludf.dummyfunction("""COMPUTED_VALUE"""),"入居のしおりの内容についてご確認しました")</f>
        <v>入居のしおりの内容についてご確認しました</v>
      </c>
      <c r="AH515" s="6" t="str">
        <f aca="false">IFERROR(__xludf.dummyfunction("""COMPUTED_VALUE"""),"確認しました")</f>
        <v>確認しました</v>
      </c>
      <c r="AI515" s="6"/>
      <c r="AJ515" s="6" t="str">
        <v/>
      </c>
      <c r="AK515" s="6" t="str">
        <v/>
      </c>
      <c r="AL515" s="6" t="str">
        <v/>
      </c>
      <c r="AM515" s="6" t="str">
        <v/>
      </c>
      <c r="AN515" s="6" t="n">
        <f aca="false">FALSE()</f>
        <v>0</v>
      </c>
    </row>
    <row r="516" customFormat="false" ht="52.5" hidden="false" customHeight="true" outlineLevel="0" collapsed="false">
      <c r="A516" s="6" t="str">
        <f aca="false">IFERROR(__xludf.dummyfunction("""COMPUTED_VALUE"""),"2026/04/05 15:48:46")</f>
        <v>2026/04/05 15:48:46</v>
      </c>
      <c r="B516" s="6"/>
      <c r="C516" s="6" t="str">
        <f aca="false">IFERROR(__xludf.dummyfunction("""COMPUTED_VALUE"""),"72178")</f>
        <v>72178</v>
      </c>
      <c r="D516" s="6"/>
      <c r="E516" s="6"/>
      <c r="F516" s="6"/>
      <c r="G516" s="6" t="str">
        <f aca="false">IFERROR(__xludf.dummyfunction("""COMPUTED_VALUE"""),"2026/04/29")</f>
        <v>2026/04/29</v>
      </c>
      <c r="H516" s="6" t="str">
        <f aca="false">IFERROR(__xludf.dummyfunction("""COMPUTED_VALUE"""),"必要")</f>
        <v>必要</v>
      </c>
      <c r="I516" s="6" t="str">
        <f aca="false">IFERROR(__xludf.dummyfunction("""COMPUTED_VALUE"""),"男性")</f>
        <v>男性</v>
      </c>
      <c r="J516" s="6" t="str">
        <f aca="false">IFERROR(__xludf.dummyfunction("""COMPUTED_VALUE"""),"日本")</f>
        <v>日本</v>
      </c>
      <c r="K516" s="6" t="str">
        <f aca="false">IFERROR(__xludf.dummyfunction("""COMPUTED_VALUE"""),"20")</f>
        <v>20</v>
      </c>
      <c r="L516" s="6" t="str">
        <f aca="false">IFERROR(__xludf.dummyfunction("""COMPUTED_VALUE"""),"テレビ、電子レンジ、空気清浄機")</f>
        <v>テレビ、電子レンジ、空気清浄機</v>
      </c>
      <c r="M516" s="6" t="str">
        <f aca="false">IFERROR(__xludf.dummyfunction("""COMPUTED_VALUE"""),"衣装ケース3つ、テレビ棚")</f>
        <v>衣装ケース3つ、テレビ棚</v>
      </c>
      <c r="N516" s="6" t="str">
        <f aca="false">IFERROR(__xludf.dummyfunction("""COMPUTED_VALUE"""),"自転車、ダンベル、スケートボード")</f>
        <v>自転車、ダンベル、スケートボード</v>
      </c>
      <c r="O516" s="6" t="str">
        <f aca="false">IFERROR(__xludf.dummyfunction("""COMPUTED_VALUE"""),"不要")</f>
        <v>不要</v>
      </c>
      <c r="P516" s="6"/>
      <c r="Q516" s="6"/>
      <c r="R516" s="6"/>
      <c r="S516" s="6" t="str">
        <f aca="false">IFERROR(__xludf.dummyfunction("""COMPUTED_VALUE"""),"家具家電なし社宅")</f>
        <v>家具家電なし社宅</v>
      </c>
      <c r="T516" s="6" t="str">
        <f aca="false">IFERROR(__xludf.dummyfunction("""COMPUTED_VALUE"""),"利用しない")</f>
        <v>利用しない</v>
      </c>
      <c r="U516" s="6"/>
      <c r="V516" s="6" t="str">
        <f aca="false">IFERROR(__xludf.dummyfunction("""COMPUTED_VALUE"""),"電車")</f>
        <v>電車</v>
      </c>
      <c r="W516" s="6"/>
      <c r="X516" s="6" t="str">
        <f aca="false">IFERROR(__xludf.dummyfunction("""COMPUTED_VALUE"""),"実家")</f>
        <v>実家</v>
      </c>
      <c r="Y516" s="6"/>
      <c r="Z516" s="6" t="str">
        <f aca="false">IFERROR(__xludf.dummyfunction("""COMPUTED_VALUE"""),"希望しない")</f>
        <v>希望しない</v>
      </c>
      <c r="AA516" s="6" t="str">
        <f aca="false">IFERROR(__xludf.dummyfunction("""COMPUTED_VALUE"""),"単身")</f>
        <v>単身</v>
      </c>
      <c r="AB516" s="6"/>
      <c r="AC516" s="6"/>
      <c r="AD516" s="6" t="str">
        <f aca="false">IFERROR(__xludf.dummyfunction("""COMPUTED_VALUE"""),"いずれバイクか車購入予定のためバイク置き場または駐車場があるところ希望
水戸市希望
水戸駅徒歩10分
エアコン付き
洗濯機置き場が中
インターネット無料ならありがたい
洋室希望
洗面台独立
トイレウォシュレット付き")</f>
        <v>いずれバイクか車購入予定のためバイク置き場または駐車場があるところ希望
水戸市希望
水戸駅徒歩10分
エアコン付き
洗濯機置き場が中
インターネット無料ならありがたい
洋室希望
洗面台独立
トイレウォシュレット付き</v>
      </c>
      <c r="AE516" s="6" t="str">
        <f aca="false">IFERROR(__xludf.dummyfunction("""COMPUTED_VALUE"""),"確認しました。")</f>
        <v>確認しました。</v>
      </c>
      <c r="AF516" s="6" t="str">
        <f aca="false">IFERROR(__xludf.dummyfunction("""COMPUTED_VALUE"""),"社宅基準の内容について確認しました")</f>
        <v>社宅基準の内容について確認しました</v>
      </c>
      <c r="AG516" s="6" t="str">
        <f aca="false">IFERROR(__xludf.dummyfunction("""COMPUTED_VALUE"""),"入居のしおりの内容についてご確認しました")</f>
        <v>入居のしおりの内容についてご確認しました</v>
      </c>
      <c r="AH516" s="6" t="str">
        <f aca="false">IFERROR(__xludf.dummyfunction("""COMPUTED_VALUE"""),"確認しました")</f>
        <v>確認しました</v>
      </c>
      <c r="AI516" s="6"/>
      <c r="AJ516" s="6" t="str">
        <v/>
      </c>
      <c r="AK516" s="6" t="str">
        <v/>
      </c>
      <c r="AL516" s="6" t="str">
        <v/>
      </c>
      <c r="AM516" s="6" t="str">
        <v/>
      </c>
      <c r="AN516" s="6" t="n">
        <f aca="false">FALSE()</f>
        <v>0</v>
      </c>
    </row>
    <row r="517" customFormat="false" ht="52.5" hidden="false" customHeight="true" outlineLevel="0" collapsed="false">
      <c r="A517" s="6" t="str">
        <f aca="false">IFERROR(__xludf.dummyfunction("""COMPUTED_VALUE"""),"2026/04/05 17:09:14")</f>
        <v>2026/04/05 17:09:14</v>
      </c>
      <c r="B517" s="6"/>
      <c r="C517" s="6" t="str">
        <f aca="false">IFERROR(__xludf.dummyfunction("""COMPUTED_VALUE"""),"72122")</f>
        <v>72122</v>
      </c>
      <c r="D517" s="6"/>
      <c r="E517" s="6"/>
      <c r="F517" s="6"/>
      <c r="G517" s="6" t="str">
        <f aca="false">IFERROR(__xludf.dummyfunction("""COMPUTED_VALUE"""),"2026/04/13")</f>
        <v>2026/04/13</v>
      </c>
      <c r="H517" s="6" t="str">
        <f aca="false">IFERROR(__xludf.dummyfunction("""COMPUTED_VALUE"""),"必要")</f>
        <v>必要</v>
      </c>
      <c r="I517" s="6" t="str">
        <f aca="false">IFERROR(__xludf.dummyfunction("""COMPUTED_VALUE"""),"男性")</f>
        <v>男性</v>
      </c>
      <c r="J517" s="6" t="str">
        <f aca="false">IFERROR(__xludf.dummyfunction("""COMPUTED_VALUE"""),"日本")</f>
        <v>日本</v>
      </c>
      <c r="K517" s="6" t="str">
        <f aca="false">IFERROR(__xludf.dummyfunction("""COMPUTED_VALUE"""),"15")</f>
        <v>15</v>
      </c>
      <c r="L517" s="6" t="str">
        <f aca="false">IFERROR(__xludf.dummyfunction("""COMPUTED_VALUE"""),"冷蔵庫（単身用）、洗濯機、電子レンジ、炊飯器、カーテン、　まだ不明")</f>
        <v>冷蔵庫（単身用）、洗濯機、電子レンジ、炊飯器、カーテン、　まだ不明</v>
      </c>
      <c r="M517" s="6" t="str">
        <f aca="false">IFERROR(__xludf.dummyfunction("""COMPUTED_VALUE"""),"ベッド（シングル）")</f>
        <v>ベッド（シングル）</v>
      </c>
      <c r="N517" s="6" t="str">
        <f aca="false">IFERROR(__xludf.dummyfunction("""COMPUTED_VALUE"""),"自転車")</f>
        <v>自転車</v>
      </c>
      <c r="O517" s="6" t="str">
        <f aca="false">IFERROR(__xludf.dummyfunction("""COMPUTED_VALUE"""),"不要")</f>
        <v>不要</v>
      </c>
      <c r="P517" s="6"/>
      <c r="Q517" s="6"/>
      <c r="R517" s="6"/>
      <c r="S517" s="6" t="str">
        <f aca="false">IFERROR(__xludf.dummyfunction("""COMPUTED_VALUE"""),"家具家電なし社宅")</f>
        <v>家具家電なし社宅</v>
      </c>
      <c r="T517" s="6" t="str">
        <f aca="false">IFERROR(__xludf.dummyfunction("""COMPUTED_VALUE"""),"利用する")</f>
        <v>利用する</v>
      </c>
      <c r="U517" s="6" t="str">
        <f aca="false">IFERROR(__xludf.dummyfunction("""COMPUTED_VALUE"""),"ガスコンロ（安全装置2か所付）、エアコン、他はまだ未定")</f>
        <v>ガスコンロ（安全装置2か所付）、エアコン、他はまだ未定</v>
      </c>
      <c r="V517" s="6" t="str">
        <f aca="false">IFERROR(__xludf.dummyfunction("""COMPUTED_VALUE"""),"自転車, 電車, バス")</f>
        <v>自転車, 電車, バス</v>
      </c>
      <c r="W517" s="6"/>
      <c r="X517" s="6" t="str">
        <f aca="false">IFERROR(__xludf.dummyfunction("""COMPUTED_VALUE"""),"実家")</f>
        <v>実家</v>
      </c>
      <c r="Y517" s="6"/>
      <c r="Z517" s="6" t="str">
        <f aca="false">IFERROR(__xludf.dummyfunction("""COMPUTED_VALUE"""),"希望する")</f>
        <v>希望する</v>
      </c>
      <c r="AA517" s="6" t="str">
        <f aca="false">IFERROR(__xludf.dummyfunction("""COMPUTED_VALUE"""),"単身")</f>
        <v>単身</v>
      </c>
      <c r="AB517" s="6"/>
      <c r="AC517" s="6"/>
      <c r="AD517" s="6" t="str">
        <f aca="false">IFERROR(__xludf.dummyfunction("""COMPUTED_VALUE"""),"まだ色々と変更があると思います。")</f>
        <v>まだ色々と変更があると思います。</v>
      </c>
      <c r="AE517" s="6" t="str">
        <f aca="false">IFERROR(__xludf.dummyfunction("""COMPUTED_VALUE"""),"確認しました。")</f>
        <v>確認しました。</v>
      </c>
      <c r="AF517" s="6" t="str">
        <f aca="false">IFERROR(__xludf.dummyfunction("""COMPUTED_VALUE"""),"社宅基準の内容について確認しました")</f>
        <v>社宅基準の内容について確認しました</v>
      </c>
      <c r="AG517" s="6" t="str">
        <f aca="false">IFERROR(__xludf.dummyfunction("""COMPUTED_VALUE"""),"入居のしおりの内容についてご確認しました")</f>
        <v>入居のしおりの内容についてご確認しました</v>
      </c>
      <c r="AH517" s="6" t="str">
        <f aca="false">IFERROR(__xludf.dummyfunction("""COMPUTED_VALUE"""),"確認しました")</f>
        <v>確認しました</v>
      </c>
      <c r="AI517" s="6"/>
      <c r="AJ517" s="6" t="str">
        <v/>
      </c>
      <c r="AK517" s="6" t="str">
        <v/>
      </c>
      <c r="AL517" s="6" t="str">
        <v/>
      </c>
      <c r="AM517" s="6" t="str">
        <v/>
      </c>
      <c r="AN517" s="6" t="n">
        <f aca="false">FALSE()</f>
        <v>0</v>
      </c>
    </row>
    <row r="518" customFormat="false" ht="52.5" hidden="false" customHeight="true" outlineLevel="0" collapsed="false">
      <c r="A518" s="6" t="str">
        <f aca="false">IFERROR(__xludf.dummyfunction("""COMPUTED_VALUE"""),"2026/04/05 17:22:01")</f>
        <v>2026/04/05 17:22:01</v>
      </c>
      <c r="B518" s="6"/>
      <c r="C518" s="6" t="str">
        <f aca="false">IFERROR(__xludf.dummyfunction("""COMPUTED_VALUE"""),"72065")</f>
        <v>72065</v>
      </c>
      <c r="D518" s="6"/>
      <c r="E518" s="6"/>
      <c r="F518" s="6"/>
      <c r="G518" s="6" t="str">
        <f aca="false">IFERROR(__xludf.dummyfunction("""COMPUTED_VALUE"""),"2026/05/09")</f>
        <v>2026/05/09</v>
      </c>
      <c r="H518" s="6" t="str">
        <f aca="false">IFERROR(__xludf.dummyfunction("""COMPUTED_VALUE"""),"必要")</f>
        <v>必要</v>
      </c>
      <c r="I518" s="6" t="str">
        <f aca="false">IFERROR(__xludf.dummyfunction("""COMPUTED_VALUE"""),"女性")</f>
        <v>女性</v>
      </c>
      <c r="J518" s="6" t="str">
        <f aca="false">IFERROR(__xludf.dummyfunction("""COMPUTED_VALUE"""),"日本")</f>
        <v>日本</v>
      </c>
      <c r="K518" s="6" t="str">
        <f aca="false">IFERROR(__xludf.dummyfunction("""COMPUTED_VALUE"""),"15")</f>
        <v>15</v>
      </c>
      <c r="L518" s="6" t="str">
        <f aca="false">IFERROR(__xludf.dummyfunction("""COMPUTED_VALUE"""),"冷蔵庫(単身用)、洗濯機、電子レンジ、テレビ")</f>
        <v>冷蔵庫(単身用)、洗濯機、電子レンジ、テレビ</v>
      </c>
      <c r="M518" s="6" t="str">
        <f aca="false">IFERROR(__xludf.dummyfunction("""COMPUTED_VALUE"""),"2人掛けソファ、テレビ台、1人用テーブル、カラーボックス")</f>
        <v>2人掛けソファ、テレビ台、1人用テーブル、カラーボックス</v>
      </c>
      <c r="N518" s="6" t="str">
        <f aca="false">IFERROR(__xludf.dummyfunction("""COMPUTED_VALUE"""),"衣装ケース、キャスター付きワゴン")</f>
        <v>衣装ケース、キャスター付きワゴン</v>
      </c>
      <c r="O518" s="6" t="str">
        <f aca="false">IFERROR(__xludf.dummyfunction("""COMPUTED_VALUE"""),"必要")</f>
        <v>必要</v>
      </c>
      <c r="P518" s="6" t="str">
        <f aca="false">IFERROR(__xludf.dummyfunction("""COMPUTED_VALUE"""),"デリカミニ")</f>
        <v>デリカミニ</v>
      </c>
      <c r="Q518" s="6" t="str">
        <f aca="false">IFERROR(__xludf.dummyfunction("""COMPUTED_VALUE"""),"み 10-01")</f>
        <v>み 10-01</v>
      </c>
      <c r="R518" s="6" t="str">
        <f aca="false">IFERROR(__xludf.dummyfunction("""COMPUTED_VALUE"""),"水色")</f>
        <v>水色</v>
      </c>
      <c r="S518" s="6" t="str">
        <f aca="false">IFERROR(__xludf.dummyfunction("""COMPUTED_VALUE"""),"家具家電なし社宅")</f>
        <v>家具家電なし社宅</v>
      </c>
      <c r="T518" s="6" t="str">
        <f aca="false">IFERROR(__xludf.dummyfunction("""COMPUTED_VALUE"""),"利用しない")</f>
        <v>利用しない</v>
      </c>
      <c r="U518" s="6"/>
      <c r="V518" s="6" t="str">
        <f aca="false">IFERROR(__xludf.dummyfunction("""COMPUTED_VALUE"""),"自動車")</f>
        <v>自動車</v>
      </c>
      <c r="W518" s="6"/>
      <c r="X518" s="6" t="str">
        <f aca="false">IFERROR(__xludf.dummyfunction("""COMPUTED_VALUE"""),"株式会社オープンアップネクストエンジニア様の社宅")</f>
        <v>株式会社オープンアップネクストエンジニア様の社宅</v>
      </c>
      <c r="Y518" s="6" t="str">
        <f aca="false">IFERROR(__xludf.dummyfunction("""COMPUTED_VALUE"""),"利用なし")</f>
        <v>利用なし</v>
      </c>
      <c r="Z518" s="6" t="str">
        <f aca="false">IFERROR(__xludf.dummyfunction("""COMPUTED_VALUE"""),"希望する")</f>
        <v>希望する</v>
      </c>
      <c r="AA518" s="6" t="str">
        <f aca="false">IFERROR(__xludf.dummyfunction("""COMPUTED_VALUE"""),"単身")</f>
        <v>単身</v>
      </c>
      <c r="AB518" s="6"/>
      <c r="AC518" s="6"/>
      <c r="AD518" s="6" t="str">
        <f aca="false">IFERROR(__xludf.dummyfunction("""COMPUTED_VALUE"""),"バス・トイレ別、2階以上、エアコン付き、できれば浴室乾燥機あり")</f>
        <v>バス・トイレ別、2階以上、エアコン付き、できれば浴室乾燥機あり</v>
      </c>
      <c r="AE518" s="6" t="str">
        <f aca="false">IFERROR(__xludf.dummyfunction("""COMPUTED_VALUE"""),"確認しました。")</f>
        <v>確認しました。</v>
      </c>
      <c r="AF518" s="6" t="str">
        <f aca="false">IFERROR(__xludf.dummyfunction("""COMPUTED_VALUE"""),"社宅基準の内容について確認しました")</f>
        <v>社宅基準の内容について確認しました</v>
      </c>
      <c r="AG518" s="6" t="str">
        <f aca="false">IFERROR(__xludf.dummyfunction("""COMPUTED_VALUE"""),"入居のしおりの内容についてご確認しました")</f>
        <v>入居のしおりの内容についてご確認しました</v>
      </c>
      <c r="AH518" s="6" t="str">
        <f aca="false">IFERROR(__xludf.dummyfunction("""COMPUTED_VALUE"""),"確認しました")</f>
        <v>確認しました</v>
      </c>
      <c r="AI518" s="6"/>
      <c r="AJ518" s="6" t="str">
        <v/>
      </c>
      <c r="AK518" s="6" t="str">
        <v/>
      </c>
      <c r="AL518" s="6" t="str">
        <v/>
      </c>
      <c r="AM518" s="6" t="str">
        <v/>
      </c>
      <c r="AN518" s="6" t="n">
        <f aca="false">FALSE()</f>
        <v>0</v>
      </c>
    </row>
    <row r="519" customFormat="false" ht="52.5" hidden="false" customHeight="true" outlineLevel="0" collapsed="false">
      <c r="A519" s="6" t="str">
        <f aca="false">IFERROR(__xludf.dummyfunction("""COMPUTED_VALUE"""),"2026/04/05 23:35:27")</f>
        <v>2026/04/05 23:35:27</v>
      </c>
      <c r="B519" s="6"/>
      <c r="C519" s="6" t="str">
        <f aca="false">IFERROR(__xludf.dummyfunction("""COMPUTED_VALUE"""),"72161")</f>
        <v>72161</v>
      </c>
      <c r="D519" s="6"/>
      <c r="E519" s="6"/>
      <c r="F519" s="6"/>
      <c r="G519" s="6" t="str">
        <f aca="false">IFERROR(__xludf.dummyfunction("""COMPUTED_VALUE"""),"2026/05/01")</f>
        <v>2026/05/01</v>
      </c>
      <c r="H519" s="6" t="str">
        <f aca="false">IFERROR(__xludf.dummyfunction("""COMPUTED_VALUE"""),"必要")</f>
        <v>必要</v>
      </c>
      <c r="I519" s="6" t="str">
        <f aca="false">IFERROR(__xludf.dummyfunction("""COMPUTED_VALUE"""),"男性")</f>
        <v>男性</v>
      </c>
      <c r="J519" s="6" t="str">
        <f aca="false">IFERROR(__xludf.dummyfunction("""COMPUTED_VALUE"""),"日本")</f>
        <v>日本</v>
      </c>
      <c r="K519" s="6" t="str">
        <f aca="false">IFERROR(__xludf.dummyfunction("""COMPUTED_VALUE"""),"15")</f>
        <v>15</v>
      </c>
      <c r="L519" s="6" t="str">
        <f aca="false">IFERROR(__xludf.dummyfunction("""COMPUTED_VALUE"""),"トースター、冷風機、")</f>
        <v>トースター、冷風機、</v>
      </c>
      <c r="M519" s="6" t="str">
        <f aca="false">IFERROR(__xludf.dummyfunction("""COMPUTED_VALUE"""),"椅子、モニター")</f>
        <v>椅子、モニター</v>
      </c>
      <c r="N519" s="6" t="str">
        <f aca="false">IFERROR(__xludf.dummyfunction("""COMPUTED_VALUE"""),"デスクトップPCなど")</f>
        <v>デスクトップPCなど</v>
      </c>
      <c r="O519" s="6" t="str">
        <f aca="false">IFERROR(__xludf.dummyfunction("""COMPUTED_VALUE"""),"必要")</f>
        <v>必要</v>
      </c>
      <c r="P519" s="6" t="str">
        <f aca="false">IFERROR(__xludf.dummyfunction("""COMPUTED_VALUE"""),"スバル、ステラ")</f>
        <v>スバル、ステラ</v>
      </c>
      <c r="Q519" s="6" t="str">
        <f aca="false">IFERROR(__xludf.dummyfunction("""COMPUTED_VALUE"""),"う14-20")</f>
        <v>う14-20</v>
      </c>
      <c r="R519" s="6" t="str">
        <f aca="false">IFERROR(__xludf.dummyfunction("""COMPUTED_VALUE"""),"シルバー")</f>
        <v>シルバー</v>
      </c>
      <c r="S519" s="6" t="str">
        <f aca="false">IFERROR(__xludf.dummyfunction("""COMPUTED_VALUE"""),"家具家電なし社宅")</f>
        <v>家具家電なし社宅</v>
      </c>
      <c r="T519" s="6" t="str">
        <f aca="false">IFERROR(__xludf.dummyfunction("""COMPUTED_VALUE"""),"利用しない")</f>
        <v>利用しない</v>
      </c>
      <c r="U519" s="6"/>
      <c r="V519" s="6" t="str">
        <f aca="false">IFERROR(__xludf.dummyfunction("""COMPUTED_VALUE"""),"自動車")</f>
        <v>自動車</v>
      </c>
      <c r="W519" s="6"/>
      <c r="X519" s="6" t="str">
        <f aca="false">IFERROR(__xludf.dummyfunction("""COMPUTED_VALUE"""),"実家")</f>
        <v>実家</v>
      </c>
      <c r="Y519" s="6"/>
      <c r="Z519" s="6" t="str">
        <f aca="false">IFERROR(__xludf.dummyfunction("""COMPUTED_VALUE"""),"希望する")</f>
        <v>希望する</v>
      </c>
      <c r="AA519" s="6" t="str">
        <f aca="false">IFERROR(__xludf.dummyfunction("""COMPUTED_VALUE"""),"単身")</f>
        <v>単身</v>
      </c>
      <c r="AB519" s="6"/>
      <c r="AC519" s="6"/>
      <c r="AD519" s="6" t="str">
        <f aca="false">IFERROR(__xludf.dummyfunction("""COMPUTED_VALUE"""),"角部屋、上階、風呂トイレ別、風呂広め、日当たり良好")</f>
        <v>角部屋、上階、風呂トイレ別、風呂広め、日当たり良好</v>
      </c>
      <c r="AE519" s="6" t="str">
        <f aca="false">IFERROR(__xludf.dummyfunction("""COMPUTED_VALUE"""),"確認しました。")</f>
        <v>確認しました。</v>
      </c>
      <c r="AF519" s="6" t="str">
        <f aca="false">IFERROR(__xludf.dummyfunction("""COMPUTED_VALUE"""),"社宅基準の内容について確認しました")</f>
        <v>社宅基準の内容について確認しました</v>
      </c>
      <c r="AG519" s="6" t="str">
        <f aca="false">IFERROR(__xludf.dummyfunction("""COMPUTED_VALUE"""),"入居のしおりの内容についてご確認しました")</f>
        <v>入居のしおりの内容についてご確認しました</v>
      </c>
      <c r="AH519" s="6" t="str">
        <f aca="false">IFERROR(__xludf.dummyfunction("""COMPUTED_VALUE"""),"確認しました")</f>
        <v>確認しました</v>
      </c>
      <c r="AI519" s="6"/>
      <c r="AJ519" s="6" t="str">
        <v/>
      </c>
      <c r="AK519" s="6" t="str">
        <v/>
      </c>
      <c r="AL519" s="6" t="str">
        <v/>
      </c>
      <c r="AM519" s="6" t="str">
        <v/>
      </c>
      <c r="AN519" s="6" t="n">
        <f aca="false">FALSE()</f>
        <v>0</v>
      </c>
    </row>
    <row r="520" customFormat="false" ht="52.5" hidden="false" customHeight="true" outlineLevel="0" collapsed="false">
      <c r="A520" s="6" t="str">
        <f aca="false">IFERROR(__xludf.dummyfunction("""COMPUTED_VALUE"""),"2026/04/06 10:43:28")</f>
        <v>2026/04/06 10:43:28</v>
      </c>
      <c r="B520" s="6"/>
      <c r="C520" s="6" t="str">
        <f aca="false">IFERROR(__xludf.dummyfunction("""COMPUTED_VALUE"""),"72203")</f>
        <v>72203</v>
      </c>
      <c r="D520" s="6"/>
      <c r="E520" s="6"/>
      <c r="F520" s="6"/>
      <c r="G520" s="6" t="str">
        <f aca="false">IFERROR(__xludf.dummyfunction("""COMPUTED_VALUE"""),"2026/05/01")</f>
        <v>2026/05/01</v>
      </c>
      <c r="H520" s="6" t="str">
        <f aca="false">IFERROR(__xludf.dummyfunction("""COMPUTED_VALUE"""),"必要")</f>
        <v>必要</v>
      </c>
      <c r="I520" s="6" t="str">
        <f aca="false">IFERROR(__xludf.dummyfunction("""COMPUTED_VALUE"""),"男性")</f>
        <v>男性</v>
      </c>
      <c r="J520" s="6" t="str">
        <f aca="false">IFERROR(__xludf.dummyfunction("""COMPUTED_VALUE"""),"日本")</f>
        <v>日本</v>
      </c>
      <c r="K520" s="6" t="str">
        <f aca="false">IFERROR(__xludf.dummyfunction("""COMPUTED_VALUE"""),"4")</f>
        <v>4</v>
      </c>
      <c r="L520" s="6" t="str">
        <f aca="false">IFERROR(__xludf.dummyfunction("""COMPUTED_VALUE"""),"0")</f>
        <v>0</v>
      </c>
      <c r="M520" s="6" t="str">
        <f aca="false">IFERROR(__xludf.dummyfunction("""COMPUTED_VALUE"""),"机(横幅81cm・奥行き60cm・高さ38cm)、布団(シングル)")</f>
        <v>机(横幅81cm・奥行き60cm・高さ38cm)、布団(シングル)</v>
      </c>
      <c r="N520" s="6" t="str">
        <f aca="false">IFERROR(__xludf.dummyfunction("""COMPUTED_VALUE"""),"PC(横23cm・奥52cm・高さ46cm)、モニター(横53cm・奥13cm・高さ46cm)、扇風機(横26cm・奥27cm、高さ35cm)")</f>
        <v>PC(横23cm・奥52cm・高さ46cm)、モニター(横53cm・奥13cm・高さ46cm)、扇風機(横26cm・奥27cm、高さ35cm)</v>
      </c>
      <c r="O520" s="6" t="str">
        <f aca="false">IFERROR(__xludf.dummyfunction("""COMPUTED_VALUE"""),"不要")</f>
        <v>不要</v>
      </c>
      <c r="P520" s="6"/>
      <c r="Q520" s="6"/>
      <c r="R520" s="6"/>
      <c r="S520" s="6" t="str">
        <f aca="false">IFERROR(__xludf.dummyfunction("""COMPUTED_VALUE"""),"家具家電なし社宅")</f>
        <v>家具家電なし社宅</v>
      </c>
      <c r="T520" s="6" t="str">
        <f aca="false">IFERROR(__xludf.dummyfunction("""COMPUTED_VALUE"""),"利用する")</f>
        <v>利用する</v>
      </c>
      <c r="U520" s="6" t="str">
        <f aca="false">IFERROR(__xludf.dummyfunction("""COMPUTED_VALUE"""),"冷凍冷蔵庫(2ドア80リットル)、全自動洗濯機、ガスコンロ(2口)、電子レンジ、炊飯器、(販売)照明器具")</f>
        <v>冷凍冷蔵庫(2ドア80リットル)、全自動洗濯機、ガスコンロ(2口)、電子レンジ、炊飯器、(販売)照明器具</v>
      </c>
      <c r="V520" s="6" t="str">
        <f aca="false">IFERROR(__xludf.dummyfunction("""COMPUTED_VALUE"""),"徒歩, 電車")</f>
        <v>徒歩, 電車</v>
      </c>
      <c r="W520" s="6"/>
      <c r="X520" s="6" t="str">
        <f aca="false">IFERROR(__xludf.dummyfunction("""COMPUTED_VALUE"""),"実家")</f>
        <v>実家</v>
      </c>
      <c r="Y520" s="6"/>
      <c r="Z520" s="6" t="str">
        <f aca="false">IFERROR(__xludf.dummyfunction("""COMPUTED_VALUE"""),"希望する")</f>
        <v>希望する</v>
      </c>
      <c r="AA520" s="6" t="str">
        <f aca="false">IFERROR(__xludf.dummyfunction("""COMPUTED_VALUE"""),"単身")</f>
        <v>単身</v>
      </c>
      <c r="AB520" s="6"/>
      <c r="AC520" s="6"/>
      <c r="AD520" s="6" t="str">
        <f aca="false">IFERROR(__xludf.dummyfunction("""COMPUTED_VALUE"""),"ある程度の防音性がある物件を希望したいです。")</f>
        <v>ある程度の防音性がある物件を希望したいです。</v>
      </c>
      <c r="AE520" s="6" t="str">
        <f aca="false">IFERROR(__xludf.dummyfunction("""COMPUTED_VALUE"""),"確認しました。")</f>
        <v>確認しました。</v>
      </c>
      <c r="AF520" s="6" t="str">
        <f aca="false">IFERROR(__xludf.dummyfunction("""COMPUTED_VALUE"""),"社宅基準の内容について確認しました")</f>
        <v>社宅基準の内容について確認しました</v>
      </c>
      <c r="AG520" s="6" t="str">
        <f aca="false">IFERROR(__xludf.dummyfunction("""COMPUTED_VALUE"""),"入居のしおりの内容についてご確認しました")</f>
        <v>入居のしおりの内容についてご確認しました</v>
      </c>
      <c r="AH520" s="6" t="str">
        <f aca="false">IFERROR(__xludf.dummyfunction("""COMPUTED_VALUE"""),"確認しました")</f>
        <v>確認しました</v>
      </c>
      <c r="AI520" s="6"/>
      <c r="AJ520" s="6" t="str">
        <v/>
      </c>
      <c r="AK520" s="6" t="str">
        <v/>
      </c>
      <c r="AL520" s="6" t="str">
        <v/>
      </c>
      <c r="AM520" s="6" t="str">
        <v/>
      </c>
      <c r="AN520" s="6" t="n">
        <f aca="false">FALSE()</f>
        <v>0</v>
      </c>
    </row>
    <row r="521" customFormat="false" ht="52.5" hidden="false" customHeight="true" outlineLevel="0" collapsed="false">
      <c r="A521" s="6" t="str">
        <f aca="false">IFERROR(__xludf.dummyfunction("""COMPUTED_VALUE"""),"2026/04/06 13:26:04")</f>
        <v>2026/04/06 13:26:04</v>
      </c>
      <c r="B521" s="6"/>
      <c r="C521" s="6" t="str">
        <f aca="false">IFERROR(__xludf.dummyfunction("""COMPUTED_VALUE"""),"72205")</f>
        <v>72205</v>
      </c>
      <c r="D521" s="6"/>
      <c r="E521" s="6"/>
      <c r="F521" s="6"/>
      <c r="G521" s="6" t="str">
        <f aca="false">IFERROR(__xludf.dummyfunction("""COMPUTED_VALUE"""),"2026/04/17")</f>
        <v>2026/04/17</v>
      </c>
      <c r="H521" s="6" t="str">
        <f aca="false">IFERROR(__xludf.dummyfunction("""COMPUTED_VALUE"""),"必要")</f>
        <v>必要</v>
      </c>
      <c r="I521" s="6" t="str">
        <f aca="false">IFERROR(__xludf.dummyfunction("""COMPUTED_VALUE"""),"男性")</f>
        <v>男性</v>
      </c>
      <c r="J521" s="6" t="str">
        <f aca="false">IFERROR(__xludf.dummyfunction("""COMPUTED_VALUE"""),"日本")</f>
        <v>日本</v>
      </c>
      <c r="K521" s="6" t="str">
        <f aca="false">IFERROR(__xludf.dummyfunction("""COMPUTED_VALUE"""),"40")</f>
        <v>40</v>
      </c>
      <c r="L521" s="6" t="str">
        <f aca="false">IFERROR(__xludf.dummyfunction("""COMPUTED_VALUE"""),"冷蔵庫（単身用）、電気衣類乾燥機、食洗器、洗濯機")</f>
        <v>冷蔵庫（単身用）、電気衣類乾燥機、食洗器、洗濯機</v>
      </c>
      <c r="M521" s="6" t="str">
        <f aca="false">IFERROR(__xludf.dummyfunction("""COMPUTED_VALUE"""),"長机（120*70*60)２つ、ベッドシングル")</f>
        <v>長机（120*70*60)２つ、ベッドシングル</v>
      </c>
      <c r="N521" s="6" t="str">
        <f aca="false">IFERROR(__xludf.dummyfunction("""COMPUTED_VALUE"""),"自転車")</f>
        <v>自転車</v>
      </c>
      <c r="O521" s="6" t="str">
        <f aca="false">IFERROR(__xludf.dummyfunction("""COMPUTED_VALUE"""),"不要")</f>
        <v>不要</v>
      </c>
      <c r="P521" s="6"/>
      <c r="Q521" s="6"/>
      <c r="R521" s="6"/>
      <c r="S521" s="6" t="str">
        <f aca="false">IFERROR(__xludf.dummyfunction("""COMPUTED_VALUE"""),"家具家電なし社宅")</f>
        <v>家具家電なし社宅</v>
      </c>
      <c r="T521" s="6" t="str">
        <f aca="false">IFERROR(__xludf.dummyfunction("""COMPUTED_VALUE"""),"利用しない")</f>
        <v>利用しない</v>
      </c>
      <c r="U521" s="6"/>
      <c r="V521" s="6" t="str">
        <f aca="false">IFERROR(__xludf.dummyfunction("""COMPUTED_VALUE"""),"徒歩, 自転車, 電車, バス")</f>
        <v>徒歩, 自転車, 電車, バス</v>
      </c>
      <c r="W521" s="6"/>
      <c r="X521" s="6" t="str">
        <f aca="false">IFERROR(__xludf.dummyfunction("""COMPUTED_VALUE"""),"株式会社オープンアップネクストエンジニア様の社宅")</f>
        <v>株式会社オープンアップネクストエンジニア様の社宅</v>
      </c>
      <c r="Y521" s="6" t="str">
        <f aca="false">IFERROR(__xludf.dummyfunction("""COMPUTED_VALUE"""),"利用なし")</f>
        <v>利用なし</v>
      </c>
      <c r="Z521" s="6" t="str">
        <f aca="false">IFERROR(__xludf.dummyfunction("""COMPUTED_VALUE"""),"希望する")</f>
        <v>希望する</v>
      </c>
      <c r="AA521" s="6" t="str">
        <f aca="false">IFERROR(__xludf.dummyfunction("""COMPUTED_VALUE"""),"単身")</f>
        <v>単身</v>
      </c>
      <c r="AB521" s="6"/>
      <c r="AC521" s="6"/>
      <c r="AD521" s="6" t="str">
        <f aca="false">IFERROR(__xludf.dummyfunction("""COMPUTED_VALUE"""),"【他条件】
・バス・トイレ別
・光回線有
・トイレウォシュレット付き
・エアコン有
・角部屋
昭和真空（神奈川県相模原市中央区田名３０６２−１０）～上溝駅近辺
の中間付近に住居があればお願いしたい。
原則単身ワンルーム・１Ｋ となっているかと思うが、
現在（23帖）よりは広い部屋で探して欲しい。
")</f>
        <v>【他条件】
・バス・トイレ別
・光回線有
・トイレウォシュレット付き
・エアコン有
・角部屋
昭和真空（神奈川県相模原市中央区田名３０６２−１０）～上溝駅近辺
の中間付近に住居があればお願いしたい。
原則単身ワンルーム・１Ｋ となっているかと思うが、
現在（23帖）よりは広い部屋で探して欲しい。
</v>
      </c>
      <c r="AE521" s="6" t="str">
        <f aca="false">IFERROR(__xludf.dummyfunction("""COMPUTED_VALUE"""),"確認しました。")</f>
        <v>確認しました。</v>
      </c>
      <c r="AF521" s="6" t="str">
        <f aca="false">IFERROR(__xludf.dummyfunction("""COMPUTED_VALUE"""),"社宅基準の内容について確認しました")</f>
        <v>社宅基準の内容について確認しました</v>
      </c>
      <c r="AG521" s="6" t="str">
        <f aca="false">IFERROR(__xludf.dummyfunction("""COMPUTED_VALUE"""),"入居のしおりの内容についてご確認しました")</f>
        <v>入居のしおりの内容についてご確認しました</v>
      </c>
      <c r="AH521" s="6" t="str">
        <f aca="false">IFERROR(__xludf.dummyfunction("""COMPUTED_VALUE"""),"確認しました")</f>
        <v>確認しました</v>
      </c>
      <c r="AI521" s="6"/>
      <c r="AJ521" s="6" t="str">
        <v/>
      </c>
      <c r="AK521" s="6" t="str">
        <v/>
      </c>
      <c r="AL521" s="6" t="str">
        <v/>
      </c>
      <c r="AM521" s="6" t="str">
        <v/>
      </c>
      <c r="AN521" s="6" t="n">
        <f aca="false">FALSE()</f>
        <v>0</v>
      </c>
    </row>
    <row r="522" customFormat="false" ht="52.5" hidden="false" customHeight="true" outlineLevel="0" collapsed="false">
      <c r="A522" s="6" t="str">
        <f aca="false">IFERROR(__xludf.dummyfunction("""COMPUTED_VALUE"""),"2026/04/06 14:07:21")</f>
        <v>2026/04/06 14:07:21</v>
      </c>
      <c r="B522" s="6"/>
      <c r="C522" s="6" t="str">
        <f aca="false">IFERROR(__xludf.dummyfunction("""COMPUTED_VALUE"""),"72207")</f>
        <v>72207</v>
      </c>
      <c r="D522" s="6"/>
      <c r="E522" s="6"/>
      <c r="F522" s="6"/>
      <c r="G522" s="6" t="str">
        <f aca="false">IFERROR(__xludf.dummyfunction("""COMPUTED_VALUE"""),"2026/05/01")</f>
        <v>2026/05/01</v>
      </c>
      <c r="H522" s="6" t="str">
        <f aca="false">IFERROR(__xludf.dummyfunction("""COMPUTED_VALUE"""),"必要")</f>
        <v>必要</v>
      </c>
      <c r="I522" s="6" t="str">
        <f aca="false">IFERROR(__xludf.dummyfunction("""COMPUTED_VALUE"""),"男性")</f>
        <v>男性</v>
      </c>
      <c r="J522" s="6" t="str">
        <f aca="false">IFERROR(__xludf.dummyfunction("""COMPUTED_VALUE"""),"日本")</f>
        <v>日本</v>
      </c>
      <c r="K522" s="6" t="str">
        <f aca="false">IFERROR(__xludf.dummyfunction("""COMPUTED_VALUE"""),"10")</f>
        <v>10</v>
      </c>
      <c r="L522" s="6" t="str">
        <f aca="false">IFERROR(__xludf.dummyfunction("""COMPUTED_VALUE"""),"なし")</f>
        <v>なし</v>
      </c>
      <c r="M522" s="6" t="str">
        <f aca="false">IFERROR(__xludf.dummyfunction("""COMPUTED_VALUE"""),"L字型机155cm x 110cm x 70cm")</f>
        <v>L字型机155cm x 110cm x 70cm</v>
      </c>
      <c r="N522" s="6" t="str">
        <f aca="false">IFERROR(__xludf.dummyfunction("""COMPUTED_VALUE"""),"自転車")</f>
        <v>自転車</v>
      </c>
      <c r="O522" s="6" t="str">
        <f aca="false">IFERROR(__xludf.dummyfunction("""COMPUTED_VALUE"""),"必要")</f>
        <v>必要</v>
      </c>
      <c r="P522" s="6" t="str">
        <f aca="false">IFERROR(__xludf.dummyfunction("""COMPUTED_VALUE"""),"cx5")</f>
        <v>cx5</v>
      </c>
      <c r="Q522" s="6" t="str">
        <f aca="false">IFERROR(__xludf.dummyfunction("""COMPUTED_VALUE"""),"に808")</f>
        <v>に808</v>
      </c>
      <c r="R522" s="6" t="str">
        <f aca="false">IFERROR(__xludf.dummyfunction("""COMPUTED_VALUE"""),"赤")</f>
        <v>赤</v>
      </c>
      <c r="S522" s="6" t="str">
        <f aca="false">IFERROR(__xludf.dummyfunction("""COMPUTED_VALUE"""),"家具家電付き社宅")</f>
        <v>家具家電付き社宅</v>
      </c>
      <c r="T522" s="6" t="str">
        <f aca="false">IFERROR(__xludf.dummyfunction("""COMPUTED_VALUE"""),"利用しない")</f>
        <v>利用しない</v>
      </c>
      <c r="U522" s="6"/>
      <c r="V522" s="6" t="str">
        <f aca="false">IFERROR(__xludf.dummyfunction("""COMPUTED_VALUE"""),"特に問いません")</f>
        <v>特に問いません</v>
      </c>
      <c r="W522" s="6"/>
      <c r="X522" s="6" t="str">
        <f aca="false">IFERROR(__xludf.dummyfunction("""COMPUTED_VALUE"""),"実家")</f>
        <v>実家</v>
      </c>
      <c r="Y522" s="6"/>
      <c r="Z522" s="6" t="str">
        <f aca="false">IFERROR(__xludf.dummyfunction("""COMPUTED_VALUE"""),"希望しない")</f>
        <v>希望しない</v>
      </c>
      <c r="AA522" s="6" t="str">
        <f aca="false">IFERROR(__xludf.dummyfunction("""COMPUTED_VALUE"""),"単身")</f>
        <v>単身</v>
      </c>
      <c r="AB522" s="6"/>
      <c r="AC522" s="6"/>
      <c r="AD522" s="6"/>
      <c r="AE522" s="6" t="str">
        <f aca="false">IFERROR(__xludf.dummyfunction("""COMPUTED_VALUE"""),"確認しました。")</f>
        <v>確認しました。</v>
      </c>
      <c r="AF522" s="6" t="str">
        <f aca="false">IFERROR(__xludf.dummyfunction("""COMPUTED_VALUE"""),"社宅基準の内容について確認しました")</f>
        <v>社宅基準の内容について確認しました</v>
      </c>
      <c r="AG522" s="6" t="str">
        <f aca="false">IFERROR(__xludf.dummyfunction("""COMPUTED_VALUE"""),"入居のしおりの内容についてご確認しました")</f>
        <v>入居のしおりの内容についてご確認しました</v>
      </c>
      <c r="AH522" s="6" t="str">
        <f aca="false">IFERROR(__xludf.dummyfunction("""COMPUTED_VALUE"""),"確認しました")</f>
        <v>確認しました</v>
      </c>
      <c r="AI522" s="6"/>
      <c r="AJ522" s="6" t="str">
        <v/>
      </c>
      <c r="AK522" s="6" t="str">
        <v/>
      </c>
      <c r="AL522" s="6" t="str">
        <v/>
      </c>
      <c r="AM522" s="6" t="str">
        <v/>
      </c>
      <c r="AN522" s="6" t="n">
        <f aca="false">FALSE()</f>
        <v>0</v>
      </c>
    </row>
    <row r="523" customFormat="false" ht="52.5" hidden="false" customHeight="true" outlineLevel="0" collapsed="false">
      <c r="A523" s="6" t="str">
        <f aca="false">IFERROR(__xludf.dummyfunction("""COMPUTED_VALUE"""),"2026/04/06 19:01:29")</f>
        <v>2026/04/06 19:01:29</v>
      </c>
      <c r="B523" s="6"/>
      <c r="C523" s="6" t="str">
        <f aca="false">IFERROR(__xludf.dummyfunction("""COMPUTED_VALUE"""),"72207")</f>
        <v>72207</v>
      </c>
      <c r="D523" s="6"/>
      <c r="E523" s="6"/>
      <c r="F523" s="6"/>
      <c r="G523" s="6" t="str">
        <f aca="false">IFERROR(__xludf.dummyfunction("""COMPUTED_VALUE"""),"2026/05/04")</f>
        <v>2026/05/04</v>
      </c>
      <c r="H523" s="6" t="str">
        <f aca="false">IFERROR(__xludf.dummyfunction("""COMPUTED_VALUE"""),"必要")</f>
        <v>必要</v>
      </c>
      <c r="I523" s="6" t="str">
        <f aca="false">IFERROR(__xludf.dummyfunction("""COMPUTED_VALUE"""),"男性")</f>
        <v>男性</v>
      </c>
      <c r="J523" s="6" t="str">
        <f aca="false">IFERROR(__xludf.dummyfunction("""COMPUTED_VALUE"""),"日本")</f>
        <v>日本</v>
      </c>
      <c r="K523" s="6" t="str">
        <f aca="false">IFERROR(__xludf.dummyfunction("""COMPUTED_VALUE"""),"10")</f>
        <v>10</v>
      </c>
      <c r="L523" s="6" t="str">
        <f aca="false">IFERROR(__xludf.dummyfunction("""COMPUTED_VALUE"""),"なし")</f>
        <v>なし</v>
      </c>
      <c r="M523" s="6" t="str">
        <f aca="false">IFERROR(__xludf.dummyfunction("""COMPUTED_VALUE"""),"L字型机155cm x 110cm x 70cm")</f>
        <v>L字型机155cm x 110cm x 70cm</v>
      </c>
      <c r="N523" s="6" t="str">
        <f aca="false">IFERROR(__xludf.dummyfunction("""COMPUTED_VALUE"""),"自転車")</f>
        <v>自転車</v>
      </c>
      <c r="O523" s="6" t="str">
        <f aca="false">IFERROR(__xludf.dummyfunction("""COMPUTED_VALUE"""),"必要")</f>
        <v>必要</v>
      </c>
      <c r="P523" s="6" t="str">
        <f aca="false">IFERROR(__xludf.dummyfunction("""COMPUTED_VALUE"""),"cx-5")</f>
        <v>cx-5</v>
      </c>
      <c r="Q523" s="6" t="str">
        <f aca="false">IFERROR(__xludf.dummyfunction("""COMPUTED_VALUE"""),"に 8-08")</f>
        <v>に 8-08</v>
      </c>
      <c r="R523" s="6" t="str">
        <f aca="false">IFERROR(__xludf.dummyfunction("""COMPUTED_VALUE"""),"赤")</f>
        <v>赤</v>
      </c>
      <c r="S523" s="6" t="str">
        <f aca="false">IFERROR(__xludf.dummyfunction("""COMPUTED_VALUE"""),"家具家電付き社宅")</f>
        <v>家具家電付き社宅</v>
      </c>
      <c r="T523" s="6" t="str">
        <f aca="false">IFERROR(__xludf.dummyfunction("""COMPUTED_VALUE"""),"利用しない")</f>
        <v>利用しない</v>
      </c>
      <c r="U523" s="6"/>
      <c r="V523" s="6" t="str">
        <f aca="false">IFERROR(__xludf.dummyfunction("""COMPUTED_VALUE"""),"特に問いません")</f>
        <v>特に問いません</v>
      </c>
      <c r="W523" s="6"/>
      <c r="X523" s="6" t="str">
        <f aca="false">IFERROR(__xludf.dummyfunction("""COMPUTED_VALUE"""),"実家")</f>
        <v>実家</v>
      </c>
      <c r="Y523" s="6"/>
      <c r="Z523" s="6" t="str">
        <f aca="false">IFERROR(__xludf.dummyfunction("""COMPUTED_VALUE"""),"希望しない")</f>
        <v>希望しない</v>
      </c>
      <c r="AA523" s="6" t="str">
        <f aca="false">IFERROR(__xludf.dummyfunction("""COMPUTED_VALUE"""),"単身")</f>
        <v>単身</v>
      </c>
      <c r="AB523" s="6"/>
      <c r="AC523" s="6"/>
      <c r="AD523" s="6" t="str">
        <f aca="false">IFERROR(__xludf.dummyfunction("""COMPUTED_VALUE"""),"モニター3台が置ける机を持っていき、パソコンなどを設置する上、荷物が多いため、ある程度広めの物件だと助かります。")</f>
        <v>モニター3台が置ける机を持っていき、パソコンなどを設置する上、荷物が多いため、ある程度広めの物件だと助かります。</v>
      </c>
      <c r="AE523" s="6" t="str">
        <f aca="false">IFERROR(__xludf.dummyfunction("""COMPUTED_VALUE"""),"確認しました。")</f>
        <v>確認しました。</v>
      </c>
      <c r="AF523" s="6" t="str">
        <f aca="false">IFERROR(__xludf.dummyfunction("""COMPUTED_VALUE"""),"社宅基準の内容について確認しました")</f>
        <v>社宅基準の内容について確認しました</v>
      </c>
      <c r="AG523" s="6" t="str">
        <f aca="false">IFERROR(__xludf.dummyfunction("""COMPUTED_VALUE"""),"入居のしおりの内容についてご確認しました")</f>
        <v>入居のしおりの内容についてご確認しました</v>
      </c>
      <c r="AH523" s="6" t="str">
        <f aca="false">IFERROR(__xludf.dummyfunction("""COMPUTED_VALUE"""),"確認しました")</f>
        <v>確認しました</v>
      </c>
      <c r="AI523" s="6"/>
      <c r="AJ523" s="6" t="str">
        <v/>
      </c>
      <c r="AK523" s="6" t="str">
        <v/>
      </c>
      <c r="AL523" s="6" t="str">
        <v/>
      </c>
      <c r="AM523" s="6" t="str">
        <v/>
      </c>
      <c r="AN523" s="6" t="n">
        <f aca="false">FALSE()</f>
        <v>0</v>
      </c>
    </row>
    <row r="524" customFormat="false" ht="52.5" hidden="false" customHeight="true" outlineLevel="0" collapsed="false">
      <c r="A524" s="6" t="str">
        <f aca="false">IFERROR(__xludf.dummyfunction("""COMPUTED_VALUE"""),"2026/04/06 19:27:57")</f>
        <v>2026/04/06 19:27:57</v>
      </c>
      <c r="B524" s="6"/>
      <c r="C524" s="6" t="str">
        <f aca="false">IFERROR(__xludf.dummyfunction("""COMPUTED_VALUE"""),"72225")</f>
        <v>72225</v>
      </c>
      <c r="D524" s="6"/>
      <c r="E524" s="6"/>
      <c r="F524" s="6"/>
      <c r="G524" s="6" t="str">
        <f aca="false">IFERROR(__xludf.dummyfunction("""COMPUTED_VALUE"""),"2026/04/16")</f>
        <v>2026/04/16</v>
      </c>
      <c r="H524" s="6" t="str">
        <f aca="false">IFERROR(__xludf.dummyfunction("""COMPUTED_VALUE"""),"必要")</f>
        <v>必要</v>
      </c>
      <c r="I524" s="6" t="str">
        <f aca="false">IFERROR(__xludf.dummyfunction("""COMPUTED_VALUE"""),"男性")</f>
        <v>男性</v>
      </c>
      <c r="J524" s="6" t="str">
        <f aca="false">IFERROR(__xludf.dummyfunction("""COMPUTED_VALUE"""),"日本")</f>
        <v>日本</v>
      </c>
      <c r="K524" s="6" t="str">
        <f aca="false">IFERROR(__xludf.dummyfunction("""COMPUTED_VALUE"""),"5")</f>
        <v>5</v>
      </c>
      <c r="L524" s="6" t="str">
        <f aca="false">IFERROR(__xludf.dummyfunction("""COMPUTED_VALUE"""),"42TV PC プリンター")</f>
        <v>42TV PC プリンター</v>
      </c>
      <c r="M524" s="6" t="str">
        <f aca="false">IFERROR(__xludf.dummyfunction("""COMPUTED_VALUE"""),"掛け・敷き布団一式")</f>
        <v>掛け・敷き布団一式</v>
      </c>
      <c r="N524" s="6"/>
      <c r="O524" s="6" t="str">
        <f aca="false">IFERROR(__xludf.dummyfunction("""COMPUTED_VALUE"""),"必要")</f>
        <v>必要</v>
      </c>
      <c r="P524" s="6" t="str">
        <f aca="false">IFERROR(__xludf.dummyfunction("""COMPUTED_VALUE"""),"BMW 320d")</f>
        <v>BMW 320d</v>
      </c>
      <c r="Q524" s="6" t="str">
        <f aca="false">IFERROR(__xludf.dummyfunction("""COMPUTED_VALUE"""),"ふ13-78")</f>
        <v>ふ13-78</v>
      </c>
      <c r="R524" s="6" t="str">
        <f aca="false">IFERROR(__xludf.dummyfunction("""COMPUTED_VALUE"""),"白")</f>
        <v>白</v>
      </c>
      <c r="S524" s="6" t="str">
        <f aca="false">IFERROR(__xludf.dummyfunction("""COMPUTED_VALUE"""),"家具家電付き社宅")</f>
        <v>家具家電付き社宅</v>
      </c>
      <c r="T524" s="6" t="str">
        <f aca="false">IFERROR(__xludf.dummyfunction("""COMPUTED_VALUE"""),"利用しない")</f>
        <v>利用しない</v>
      </c>
      <c r="U524" s="6"/>
      <c r="V524" s="6" t="str">
        <f aca="false">IFERROR(__xludf.dummyfunction("""COMPUTED_VALUE"""),"自転車, 電車")</f>
        <v>自転車, 電車</v>
      </c>
      <c r="W524" s="6"/>
      <c r="X524" s="6" t="str">
        <f aca="false">IFERROR(__xludf.dummyfunction("""COMPUTED_VALUE"""),"株式会社オープンアップネクストエンジニア様の社宅")</f>
        <v>株式会社オープンアップネクストエンジニア様の社宅</v>
      </c>
      <c r="Y524" s="6" t="str">
        <f aca="false">IFERROR(__xludf.dummyfunction("""COMPUTED_VALUE"""),"利用なし")</f>
        <v>利用なし</v>
      </c>
      <c r="Z524" s="6" t="str">
        <f aca="false">IFERROR(__xludf.dummyfunction("""COMPUTED_VALUE"""),"希望する")</f>
        <v>希望する</v>
      </c>
      <c r="AA524" s="6" t="str">
        <f aca="false">IFERROR(__xludf.dummyfunction("""COMPUTED_VALUE"""),"単身")</f>
        <v>単身</v>
      </c>
      <c r="AB524" s="6"/>
      <c r="AC524" s="6"/>
      <c r="AD524" s="6" t="str">
        <f aca="false">IFERROR(__xludf.dummyfunction("""COMPUTED_VALUE"""),"駐車場は欲しい。物件にない場合は近所に月極があると助かります。
電車通勤になる場合、乗り換えは出来るだけないようにしたいです。
横浜駅から東京方面の物件でお願いいたします。")</f>
        <v>駐車場は欲しい。物件にない場合は近所に月極があると助かります。
電車通勤になる場合、乗り換えは出来るだけないようにしたいです。
横浜駅から東京方面の物件でお願いいたします。</v>
      </c>
      <c r="AE524" s="6" t="str">
        <f aca="false">IFERROR(__xludf.dummyfunction("""COMPUTED_VALUE"""),"確認しました。")</f>
        <v>確認しました。</v>
      </c>
      <c r="AF524" s="6" t="str">
        <f aca="false">IFERROR(__xludf.dummyfunction("""COMPUTED_VALUE"""),"社宅基準の内容について確認しました")</f>
        <v>社宅基準の内容について確認しました</v>
      </c>
      <c r="AG524" s="6" t="str">
        <f aca="false">IFERROR(__xludf.dummyfunction("""COMPUTED_VALUE"""),"入居のしおりの内容についてご確認しました")</f>
        <v>入居のしおりの内容についてご確認しました</v>
      </c>
      <c r="AH524" s="6" t="str">
        <f aca="false">IFERROR(__xludf.dummyfunction("""COMPUTED_VALUE"""),"確認しました")</f>
        <v>確認しました</v>
      </c>
      <c r="AI524" s="6"/>
      <c r="AJ524" s="6" t="str">
        <v/>
      </c>
      <c r="AK524" s="6" t="str">
        <v/>
      </c>
      <c r="AL524" s="6" t="str">
        <v/>
      </c>
      <c r="AM524" s="6" t="str">
        <v/>
      </c>
      <c r="AN524" s="6" t="n">
        <f aca="false">FALSE()</f>
        <v>0</v>
      </c>
    </row>
    <row r="525" customFormat="false" ht="52.5" hidden="false" customHeight="true" outlineLevel="0" collapsed="false">
      <c r="A525" s="6" t="str">
        <f aca="false">IFERROR(__xludf.dummyfunction("""COMPUTED_VALUE"""),"2026/04/06 21:09:52")</f>
        <v>2026/04/06 21:09:52</v>
      </c>
      <c r="B525" s="6"/>
      <c r="C525" s="6" t="str">
        <f aca="false">IFERROR(__xludf.dummyfunction("""COMPUTED_VALUE"""),"72231")</f>
        <v>72231</v>
      </c>
      <c r="D525" s="6"/>
      <c r="E525" s="6"/>
      <c r="F525" s="6"/>
      <c r="G525" s="6" t="str">
        <f aca="false">IFERROR(__xludf.dummyfunction("""COMPUTED_VALUE"""),"2026/04/12")</f>
        <v>2026/04/12</v>
      </c>
      <c r="H525" s="6" t="str">
        <f aca="false">IFERROR(__xludf.dummyfunction("""COMPUTED_VALUE"""),"必要")</f>
        <v>必要</v>
      </c>
      <c r="I525" s="6" t="str">
        <f aca="false">IFERROR(__xludf.dummyfunction("""COMPUTED_VALUE"""),"男性")</f>
        <v>男性</v>
      </c>
      <c r="J525" s="6" t="str">
        <f aca="false">IFERROR(__xludf.dummyfunction("""COMPUTED_VALUE"""),"日本")</f>
        <v>日本</v>
      </c>
      <c r="K525" s="6" t="str">
        <f aca="false">IFERROR(__xludf.dummyfunction("""COMPUTED_VALUE"""),"5")</f>
        <v>5</v>
      </c>
      <c r="L525" s="6" t="str">
        <f aca="false">IFERROR(__xludf.dummyfunction("""COMPUTED_VALUE"""),"空気清浄機(38*20*60cm)")</f>
        <v>空気清浄機(38*20*60cm)</v>
      </c>
      <c r="M525" s="6" t="str">
        <f aca="false">IFERROR(__xludf.dummyfunction("""COMPUTED_VALUE"""),"机(天板120*60*3cm、足２本70*43*5cm)、すのこベッド(三つ折り70*50*17)、マットレス(収納時30*30*39cm)、チェスト(41*33*高さ85cm)、椅子(54*46.5*高さ82cm)")</f>
        <v>机(天板120*60*3cm、足２本70*43*5cm)、すのこベッド(三つ折り70*50*17)、マットレス(収納時30*30*39cm)、チェスト(41*33*高さ85cm)、椅子(54*46.5*高さ82cm)</v>
      </c>
      <c r="N525" s="6" t="str">
        <f aca="false">IFERROR(__xludf.dummyfunction("""COMPUTED_VALUE"""),"自転車")</f>
        <v>自転車</v>
      </c>
      <c r="O525" s="6" t="str">
        <f aca="false">IFERROR(__xludf.dummyfunction("""COMPUTED_VALUE"""),"不要")</f>
        <v>不要</v>
      </c>
      <c r="P525" s="6"/>
      <c r="Q525" s="6"/>
      <c r="R525" s="6"/>
      <c r="S525" s="6" t="str">
        <f aca="false">IFERROR(__xludf.dummyfunction("""COMPUTED_VALUE"""),"家具家電なし社宅")</f>
        <v>家具家電なし社宅</v>
      </c>
      <c r="T525" s="6" t="str">
        <f aca="false">IFERROR(__xludf.dummyfunction("""COMPUTED_VALUE"""),"利用する")</f>
        <v>利用する</v>
      </c>
      <c r="U525" s="6" t="str">
        <f aca="false">IFERROR(__xludf.dummyfunction("""COMPUTED_VALUE"""),"全自動洗濯機")</f>
        <v>全自動洗濯機</v>
      </c>
      <c r="V525" s="6" t="str">
        <f aca="false">IFERROR(__xludf.dummyfunction("""COMPUTED_VALUE"""),"社用バス")</f>
        <v>社用バス</v>
      </c>
      <c r="W525" s="6"/>
      <c r="X525" s="6" t="str">
        <f aca="false">IFERROR(__xludf.dummyfunction("""COMPUTED_VALUE"""),"実家")</f>
        <v>実家</v>
      </c>
      <c r="Y525" s="6"/>
      <c r="Z525" s="6" t="str">
        <f aca="false">IFERROR(__xludf.dummyfunction("""COMPUTED_VALUE"""),"希望しない")</f>
        <v>希望しない</v>
      </c>
      <c r="AA525" s="6" t="str">
        <f aca="false">IFERROR(__xludf.dummyfunction("""COMPUTED_VALUE"""),"単身")</f>
        <v>単身</v>
      </c>
      <c r="AB525" s="6"/>
      <c r="AC525" s="6"/>
      <c r="AD525" s="6"/>
      <c r="AE525" s="6" t="str">
        <f aca="false">IFERROR(__xludf.dummyfunction("""COMPUTED_VALUE"""),"確認しました。")</f>
        <v>確認しました。</v>
      </c>
      <c r="AF525" s="6" t="str">
        <f aca="false">IFERROR(__xludf.dummyfunction("""COMPUTED_VALUE"""),"社宅基準の内容について確認しました")</f>
        <v>社宅基準の内容について確認しました</v>
      </c>
      <c r="AG525" s="6" t="str">
        <f aca="false">IFERROR(__xludf.dummyfunction("""COMPUTED_VALUE"""),"入居のしおりの内容についてご確認しました")</f>
        <v>入居のしおりの内容についてご確認しました</v>
      </c>
      <c r="AH525" s="6" t="str">
        <f aca="false">IFERROR(__xludf.dummyfunction("""COMPUTED_VALUE"""),"確認しました")</f>
        <v>確認しました</v>
      </c>
      <c r="AI525" s="6"/>
      <c r="AJ525" s="6" t="str">
        <v/>
      </c>
      <c r="AK525" s="6" t="str">
        <v/>
      </c>
      <c r="AL525" s="6" t="str">
        <v/>
      </c>
      <c r="AM525" s="6" t="str">
        <v/>
      </c>
      <c r="AN525" s="6" t="n">
        <f aca="false">FALSE()</f>
        <v>0</v>
      </c>
    </row>
    <row r="526" customFormat="false" ht="52.5" hidden="false" customHeight="true" outlineLevel="0" collapsed="false">
      <c r="A526" s="6" t="str">
        <f aca="false">IFERROR(__xludf.dummyfunction("""COMPUTED_VALUE"""),"2026/04/07 13:24:39")</f>
        <v>2026/04/07 13:24:39</v>
      </c>
      <c r="B526" s="6"/>
      <c r="C526" s="6" t="str">
        <f aca="false">IFERROR(__xludf.dummyfunction("""COMPUTED_VALUE"""),"72160")</f>
        <v>72160</v>
      </c>
      <c r="D526" s="6"/>
      <c r="E526" s="6"/>
      <c r="F526" s="6"/>
      <c r="G526" s="6" t="str">
        <f aca="false">IFERROR(__xludf.dummyfunction("""COMPUTED_VALUE"""),"2026/04/29")</f>
        <v>2026/04/29</v>
      </c>
      <c r="H526" s="6" t="str">
        <f aca="false">IFERROR(__xludf.dummyfunction("""COMPUTED_VALUE"""),"必要")</f>
        <v>必要</v>
      </c>
      <c r="I526" s="6" t="str">
        <f aca="false">IFERROR(__xludf.dummyfunction("""COMPUTED_VALUE"""),"男性")</f>
        <v>男性</v>
      </c>
      <c r="J526" s="6" t="str">
        <f aca="false">IFERROR(__xludf.dummyfunction("""COMPUTED_VALUE"""),"日本")</f>
        <v>日本</v>
      </c>
      <c r="K526" s="6" t="str">
        <f aca="false">IFERROR(__xludf.dummyfunction("""COMPUTED_VALUE"""),"10")</f>
        <v>10</v>
      </c>
      <c r="L526" s="6" t="str">
        <f aca="false">IFERROR(__xludf.dummyfunction("""COMPUTED_VALUE"""),"ウォーターサーバー")</f>
        <v>ウォーターサーバー</v>
      </c>
      <c r="M526" s="6" t="str">
        <f aca="false">IFERROR(__xludf.dummyfunction("""COMPUTED_VALUE"""),"特に無し")</f>
        <v>特に無し</v>
      </c>
      <c r="N526" s="6" t="str">
        <f aca="false">IFERROR(__xludf.dummyfunction("""COMPUTED_VALUE"""),"自転車")</f>
        <v>自転車</v>
      </c>
      <c r="O526" s="6" t="str">
        <f aca="false">IFERROR(__xludf.dummyfunction("""COMPUTED_VALUE"""),"不要")</f>
        <v>不要</v>
      </c>
      <c r="P526" s="6"/>
      <c r="Q526" s="6"/>
      <c r="R526" s="6"/>
      <c r="S526" s="6" t="str">
        <f aca="false">IFERROR(__xludf.dummyfunction("""COMPUTED_VALUE"""),"家具家電なし社宅")</f>
        <v>家具家電なし社宅</v>
      </c>
      <c r="T526" s="6" t="str">
        <f aca="false">IFERROR(__xludf.dummyfunction("""COMPUTED_VALUE"""),"利用しない")</f>
        <v>利用しない</v>
      </c>
      <c r="U526" s="6"/>
      <c r="V526" s="6" t="str">
        <f aca="false">IFERROR(__xludf.dummyfunction("""COMPUTED_VALUE"""),"電車")</f>
        <v>電車</v>
      </c>
      <c r="W526" s="6"/>
      <c r="X526" s="6" t="str">
        <f aca="false">IFERROR(__xludf.dummyfunction("""COMPUTED_VALUE"""),"株式会社オープンアップネクストエンジニア様の社宅")</f>
        <v>株式会社オープンアップネクストエンジニア様の社宅</v>
      </c>
      <c r="Y526" s="6" t="str">
        <f aca="false">IFERROR(__xludf.dummyfunction("""COMPUTED_VALUE"""),"利用なし")</f>
        <v>利用なし</v>
      </c>
      <c r="Z526" s="6" t="str">
        <f aca="false">IFERROR(__xludf.dummyfunction("""COMPUTED_VALUE"""),"希望する")</f>
        <v>希望する</v>
      </c>
      <c r="AA526" s="6" t="str">
        <f aca="false">IFERROR(__xludf.dummyfunction("""COMPUTED_VALUE"""),"単身")</f>
        <v>単身</v>
      </c>
      <c r="AB526" s="6"/>
      <c r="AC526" s="6"/>
      <c r="AD526" s="6" t="str">
        <f aca="false">IFERROR(__xludf.dummyfunction("""COMPUTED_VALUE"""),"実家に帰る場合もあるので社宅の最寄り駅が我孫子になるようにお願いします。
駅からの距離も可能であれば自転車または徒歩で15分以内でいただけると幸いです。")</f>
        <v>実家に帰る場合もあるので社宅の最寄り駅が我孫子になるようにお願いします。
駅からの距離も可能であれば自転車または徒歩で15分以内でいただけると幸いです。</v>
      </c>
      <c r="AE526" s="6" t="str">
        <f aca="false">IFERROR(__xludf.dummyfunction("""COMPUTED_VALUE"""),"確認しました。")</f>
        <v>確認しました。</v>
      </c>
      <c r="AF526" s="6" t="str">
        <f aca="false">IFERROR(__xludf.dummyfunction("""COMPUTED_VALUE"""),"社宅基準の内容について確認しました")</f>
        <v>社宅基準の内容について確認しました</v>
      </c>
      <c r="AG526" s="6" t="str">
        <f aca="false">IFERROR(__xludf.dummyfunction("""COMPUTED_VALUE"""),"入居のしおりの内容についてご確認しました")</f>
        <v>入居のしおりの内容についてご確認しました</v>
      </c>
      <c r="AH526" s="6" t="str">
        <f aca="false">IFERROR(__xludf.dummyfunction("""COMPUTED_VALUE"""),"確認しました")</f>
        <v>確認しました</v>
      </c>
      <c r="AI526" s="6"/>
      <c r="AJ526" s="6" t="str">
        <v/>
      </c>
      <c r="AK526" s="6" t="str">
        <v/>
      </c>
      <c r="AL526" s="6" t="str">
        <v/>
      </c>
      <c r="AM526" s="6" t="str">
        <v/>
      </c>
      <c r="AN526" s="6" t="n">
        <f aca="false">FALSE()</f>
        <v>0</v>
      </c>
    </row>
    <row r="527" customFormat="false" ht="52.5" hidden="false" customHeight="true" outlineLevel="0" collapsed="false">
      <c r="A527" s="6" t="str">
        <f aca="false">IFERROR(__xludf.dummyfunction("""COMPUTED_VALUE"""),"2026/04/07 14:33:45")</f>
        <v>2026/04/07 14:33:45</v>
      </c>
      <c r="B527" s="6"/>
      <c r="C527" s="6" t="str">
        <f aca="false">IFERROR(__xludf.dummyfunction("""COMPUTED_VALUE"""),"72193")</f>
        <v>72193</v>
      </c>
      <c r="D527" s="6"/>
      <c r="E527" s="6"/>
      <c r="F527" s="6"/>
      <c r="G527" s="6" t="str">
        <f aca="false">IFERROR(__xludf.dummyfunction("""COMPUTED_VALUE"""),"2026/05/01")</f>
        <v>2026/05/01</v>
      </c>
      <c r="H527" s="6" t="str">
        <f aca="false">IFERROR(__xludf.dummyfunction("""COMPUTED_VALUE"""),"必要")</f>
        <v>必要</v>
      </c>
      <c r="I527" s="6" t="str">
        <f aca="false">IFERROR(__xludf.dummyfunction("""COMPUTED_VALUE"""),"男性")</f>
        <v>男性</v>
      </c>
      <c r="J527" s="6" t="str">
        <f aca="false">IFERROR(__xludf.dummyfunction("""COMPUTED_VALUE"""),"日本")</f>
        <v>日本</v>
      </c>
      <c r="K527" s="6" t="str">
        <f aca="false">IFERROR(__xludf.dummyfunction("""COMPUTED_VALUE"""),"15")</f>
        <v>15</v>
      </c>
      <c r="L527" s="6" t="str">
        <f aca="false">IFERROR(__xludf.dummyfunction("""COMPUTED_VALUE"""),"炊飯器、オーブントースター、扇風機、空気清浄機、パソコン")</f>
        <v>炊飯器、オーブントースター、扇風機、空気清浄機、パソコン</v>
      </c>
      <c r="M527" s="6" t="str">
        <f aca="false">IFERROR(__xludf.dummyfunction("""COMPUTED_VALUE"""),"机(74cm・74cm・40cm)")</f>
        <v>机(74cm・74cm・40cm)</v>
      </c>
      <c r="N527" s="6"/>
      <c r="O527" s="6" t="str">
        <f aca="false">IFERROR(__xludf.dummyfunction("""COMPUTED_VALUE"""),"不要")</f>
        <v>不要</v>
      </c>
      <c r="P527" s="6"/>
      <c r="Q527" s="6"/>
      <c r="R527" s="6"/>
      <c r="S527" s="6" t="str">
        <f aca="false">IFERROR(__xludf.dummyfunction("""COMPUTED_VALUE"""),"家具家電なし社宅")</f>
        <v>家具家電なし社宅</v>
      </c>
      <c r="T527" s="6" t="str">
        <f aca="false">IFERROR(__xludf.dummyfunction("""COMPUTED_VALUE"""),"利用する")</f>
        <v>利用する</v>
      </c>
      <c r="U527" s="6" t="str">
        <f aca="false">IFERROR(__xludf.dummyfunction("""COMPUTED_VALUE"""),"冷凍冷蔵庫(2ドア・80L)、ガスコンロ(2口)、照明器具、エアコン、電子レンジ")</f>
        <v>冷凍冷蔵庫(2ドア・80L)、ガスコンロ(2口)、照明器具、エアコン、電子レンジ</v>
      </c>
      <c r="V527" s="6" t="str">
        <f aca="false">IFERROR(__xludf.dummyfunction("""COMPUTED_VALUE"""),"徒歩")</f>
        <v>徒歩</v>
      </c>
      <c r="W527" s="6"/>
      <c r="X527" s="6" t="str">
        <f aca="false">IFERROR(__xludf.dummyfunction("""COMPUTED_VALUE"""),"ご自身で契約中の物件")</f>
        <v>ご自身で契約中の物件</v>
      </c>
      <c r="Y527" s="6"/>
      <c r="Z527" s="6" t="str">
        <f aca="false">IFERROR(__xludf.dummyfunction("""COMPUTED_VALUE"""),"希望する")</f>
        <v>希望する</v>
      </c>
      <c r="AA527" s="6" t="str">
        <f aca="false">IFERROR(__xludf.dummyfunction("""COMPUTED_VALUE"""),"単身")</f>
        <v>単身</v>
      </c>
      <c r="AB527" s="6"/>
      <c r="AC527" s="6"/>
      <c r="AD527" s="6"/>
      <c r="AE527" s="6" t="str">
        <f aca="false">IFERROR(__xludf.dummyfunction("""COMPUTED_VALUE"""),"確認しました。")</f>
        <v>確認しました。</v>
      </c>
      <c r="AF527" s="6" t="str">
        <f aca="false">IFERROR(__xludf.dummyfunction("""COMPUTED_VALUE"""),"社宅基準の内容について確認しました")</f>
        <v>社宅基準の内容について確認しました</v>
      </c>
      <c r="AG527" s="6" t="str">
        <f aca="false">IFERROR(__xludf.dummyfunction("""COMPUTED_VALUE"""),"入居のしおりの内容についてご確認しました")</f>
        <v>入居のしおりの内容についてご確認しました</v>
      </c>
      <c r="AH527" s="6" t="str">
        <f aca="false">IFERROR(__xludf.dummyfunction("""COMPUTED_VALUE"""),"確認しました")</f>
        <v>確認しました</v>
      </c>
      <c r="AI527" s="6"/>
      <c r="AJ527" s="6" t="str">
        <v/>
      </c>
      <c r="AK527" s="6" t="str">
        <v/>
      </c>
      <c r="AL527" s="6" t="str">
        <v/>
      </c>
      <c r="AM527" s="6" t="str">
        <v/>
      </c>
      <c r="AN527" s="6" t="n">
        <f aca="false">FALSE()</f>
        <v>0</v>
      </c>
    </row>
    <row r="528" customFormat="false" ht="52.5" hidden="false" customHeight="true" outlineLevel="0" collapsed="false">
      <c r="A528" s="6" t="str">
        <f aca="false">IFERROR(__xludf.dummyfunction("""COMPUTED_VALUE"""),"2026/04/07 15:39:09")</f>
        <v>2026/04/07 15:39:09</v>
      </c>
      <c r="B528" s="6"/>
      <c r="C528" s="6" t="str">
        <f aca="false">IFERROR(__xludf.dummyfunction("""COMPUTED_VALUE"""),"72156")</f>
        <v>72156</v>
      </c>
      <c r="D528" s="6"/>
      <c r="E528" s="6"/>
      <c r="F528" s="6"/>
      <c r="G528" s="6" t="str">
        <f aca="false">IFERROR(__xludf.dummyfunction("""COMPUTED_VALUE"""),"2026/04/30")</f>
        <v>2026/04/30</v>
      </c>
      <c r="H528" s="6" t="str">
        <f aca="false">IFERROR(__xludf.dummyfunction("""COMPUTED_VALUE"""),"必要")</f>
        <v>必要</v>
      </c>
      <c r="I528" s="6" t="str">
        <f aca="false">IFERROR(__xludf.dummyfunction("""COMPUTED_VALUE"""),"男性")</f>
        <v>男性</v>
      </c>
      <c r="J528" s="6" t="str">
        <f aca="false">IFERROR(__xludf.dummyfunction("""COMPUTED_VALUE"""),"日本")</f>
        <v>日本</v>
      </c>
      <c r="K528" s="6" t="str">
        <f aca="false">IFERROR(__xludf.dummyfunction("""COMPUTED_VALUE"""),"5")</f>
        <v>5</v>
      </c>
      <c r="L528" s="6" t="str">
        <f aca="false">IFERROR(__xludf.dummyfunction("""COMPUTED_VALUE"""),"冷蔵庫(単身用)、電子レンジ、洗濯機")</f>
        <v>冷蔵庫(単身用)、電子レンジ、洗濯機</v>
      </c>
      <c r="M528" s="6" t="str">
        <f aca="false">IFERROR(__xludf.dummyfunction("""COMPUTED_VALUE"""),"ソファ(2人掛け)")</f>
        <v>ソファ(2人掛け)</v>
      </c>
      <c r="N528" s="6" t="str">
        <f aca="false">IFERROR(__xludf.dummyfunction("""COMPUTED_VALUE"""),"自転車")</f>
        <v>自転車</v>
      </c>
      <c r="O528" s="6" t="str">
        <f aca="false">IFERROR(__xludf.dummyfunction("""COMPUTED_VALUE"""),"不要")</f>
        <v>不要</v>
      </c>
      <c r="P528" s="6"/>
      <c r="Q528" s="6"/>
      <c r="R528" s="6"/>
      <c r="S528" s="6" t="str">
        <f aca="false">IFERROR(__xludf.dummyfunction("""COMPUTED_VALUE"""),"家具家電付き社宅")</f>
        <v>家具家電付き社宅</v>
      </c>
      <c r="T528" s="6" t="str">
        <f aca="false">IFERROR(__xludf.dummyfunction("""COMPUTED_VALUE"""),"利用しない")</f>
        <v>利用しない</v>
      </c>
      <c r="U528" s="6"/>
      <c r="V528" s="6" t="str">
        <f aca="false">IFERROR(__xludf.dummyfunction("""COMPUTED_VALUE"""),"電車")</f>
        <v>電車</v>
      </c>
      <c r="W528" s="6"/>
      <c r="X528" s="6" t="str">
        <f aca="false">IFERROR(__xludf.dummyfunction("""COMPUTED_VALUE"""),"実家")</f>
        <v>実家</v>
      </c>
      <c r="Y528" s="6"/>
      <c r="Z528" s="6" t="str">
        <f aca="false">IFERROR(__xludf.dummyfunction("""COMPUTED_VALUE"""),"希望する")</f>
        <v>希望する</v>
      </c>
      <c r="AA528" s="6" t="str">
        <f aca="false">IFERROR(__xludf.dummyfunction("""COMPUTED_VALUE"""),"単身")</f>
        <v>単身</v>
      </c>
      <c r="AB528" s="6"/>
      <c r="AC528" s="6"/>
      <c r="AD528" s="6"/>
      <c r="AE528" s="6" t="str">
        <f aca="false">IFERROR(__xludf.dummyfunction("""COMPUTED_VALUE"""),"確認しました。")</f>
        <v>確認しました。</v>
      </c>
      <c r="AF528" s="6" t="str">
        <f aca="false">IFERROR(__xludf.dummyfunction("""COMPUTED_VALUE"""),"社宅基準の内容について確認しました")</f>
        <v>社宅基準の内容について確認しました</v>
      </c>
      <c r="AG528" s="6" t="str">
        <f aca="false">IFERROR(__xludf.dummyfunction("""COMPUTED_VALUE"""),"入居のしおりの内容についてご確認しました")</f>
        <v>入居のしおりの内容についてご確認しました</v>
      </c>
      <c r="AH528" s="6" t="str">
        <f aca="false">IFERROR(__xludf.dummyfunction("""COMPUTED_VALUE"""),"確認しました")</f>
        <v>確認しました</v>
      </c>
      <c r="AI528" s="6"/>
      <c r="AJ528" s="6" t="str">
        <v/>
      </c>
      <c r="AK528" s="6" t="str">
        <v/>
      </c>
      <c r="AL528" s="6" t="str">
        <v/>
      </c>
      <c r="AM528" s="6" t="str">
        <v/>
      </c>
      <c r="AN528" s="6" t="n">
        <f aca="false">FALSE()</f>
        <v>0</v>
      </c>
    </row>
    <row r="529" customFormat="false" ht="52.5" hidden="false" customHeight="true" outlineLevel="0" collapsed="false">
      <c r="A529" s="6" t="str">
        <f aca="false">IFERROR(__xludf.dummyfunction("""COMPUTED_VALUE"""),"2026/04/07 17:35:20")</f>
        <v>2026/04/07 17:35:20</v>
      </c>
      <c r="B529" s="6"/>
      <c r="C529" s="6" t="str">
        <f aca="false">IFERROR(__xludf.dummyfunction("""COMPUTED_VALUE"""),"72266")</f>
        <v>72266</v>
      </c>
      <c r="D529" s="6"/>
      <c r="E529" s="6"/>
      <c r="F529" s="6"/>
      <c r="G529" s="6" t="str">
        <f aca="false">IFERROR(__xludf.dummyfunction("""COMPUTED_VALUE"""),"2026/04/27")</f>
        <v>2026/04/27</v>
      </c>
      <c r="H529" s="6" t="str">
        <f aca="false">IFERROR(__xludf.dummyfunction("""COMPUTED_VALUE"""),"必要")</f>
        <v>必要</v>
      </c>
      <c r="I529" s="6" t="str">
        <f aca="false">IFERROR(__xludf.dummyfunction("""COMPUTED_VALUE"""),"男性")</f>
        <v>男性</v>
      </c>
      <c r="J529" s="6" t="str">
        <f aca="false">IFERROR(__xludf.dummyfunction("""COMPUTED_VALUE"""),"日本")</f>
        <v>日本</v>
      </c>
      <c r="K529" s="6" t="str">
        <f aca="false">IFERROR(__xludf.dummyfunction("""COMPUTED_VALUE"""),"10")</f>
        <v>10</v>
      </c>
      <c r="L529" s="6" t="str">
        <f aca="false">IFERROR(__xludf.dummyfunction("""COMPUTED_VALUE"""),"冷蔵庫 洗濯機 電子レンジ 空気清浄機 デスクトップPC")</f>
        <v>冷蔵庫 洗濯機 電子レンジ 空気清浄機 デスクトップPC</v>
      </c>
      <c r="M529" s="6" t="str">
        <f aca="false">IFERROR(__xludf.dummyfunction("""COMPUTED_VALUE"""),"机（180cm・ 60cm・70cm）折り畳み机（20cm・60cm・70cm）")</f>
        <v>机（180cm・ 60cm・70cm）折り畳み机（20cm・60cm・70cm）</v>
      </c>
      <c r="N529" s="6" t="str">
        <f aca="false">IFERROR(__xludf.dummyfunction("""COMPUTED_VALUE"""),"折り畳み自転車")</f>
        <v>折り畳み自転車</v>
      </c>
      <c r="O529" s="6" t="str">
        <f aca="false">IFERROR(__xludf.dummyfunction("""COMPUTED_VALUE"""),"不要")</f>
        <v>不要</v>
      </c>
      <c r="P529" s="6"/>
      <c r="Q529" s="6"/>
      <c r="R529" s="6"/>
      <c r="S529" s="6" t="str">
        <f aca="false">IFERROR(__xludf.dummyfunction("""COMPUTED_VALUE"""),"家具家電なし社宅")</f>
        <v>家具家電なし社宅</v>
      </c>
      <c r="T529" s="6" t="str">
        <f aca="false">IFERROR(__xludf.dummyfunction("""COMPUTED_VALUE"""),"利用しない")</f>
        <v>利用しない</v>
      </c>
      <c r="U529" s="6"/>
      <c r="V529" s="6" t="str">
        <f aca="false">IFERROR(__xludf.dummyfunction("""COMPUTED_VALUE"""),"自動車, バス")</f>
        <v>自動車, バス</v>
      </c>
      <c r="W529" s="6"/>
      <c r="X529" s="6" t="str">
        <f aca="false">IFERROR(__xludf.dummyfunction("""COMPUTED_VALUE"""),"ご自身で契約中の物件")</f>
        <v>ご自身で契約中の物件</v>
      </c>
      <c r="Y529" s="6"/>
      <c r="Z529" s="6" t="str">
        <f aca="false">IFERROR(__xludf.dummyfunction("""COMPUTED_VALUE"""),"希望する")</f>
        <v>希望する</v>
      </c>
      <c r="AA529" s="6" t="str">
        <f aca="false">IFERROR(__xludf.dummyfunction("""COMPUTED_VALUE"""),"単身")</f>
        <v>単身</v>
      </c>
      <c r="AB529" s="6"/>
      <c r="AC529" s="6"/>
      <c r="AD529" s="6" t="str">
        <f aca="false">IFERROR(__xludf.dummyfunction("""COMPUTED_VALUE"""),"単身ですが、借りる物件は1LDKか1DKにできないでしょうか。")</f>
        <v>単身ですが、借りる物件は1LDKか1DKにできないでしょうか。</v>
      </c>
      <c r="AE529" s="6" t="str">
        <f aca="false">IFERROR(__xludf.dummyfunction("""COMPUTED_VALUE"""),"確認しました。")</f>
        <v>確認しました。</v>
      </c>
      <c r="AF529" s="6" t="str">
        <f aca="false">IFERROR(__xludf.dummyfunction("""COMPUTED_VALUE"""),"社宅基準の内容について確認しました")</f>
        <v>社宅基準の内容について確認しました</v>
      </c>
      <c r="AG529" s="6" t="str">
        <f aca="false">IFERROR(__xludf.dummyfunction("""COMPUTED_VALUE"""),"入居のしおりの内容についてご確認しました")</f>
        <v>入居のしおりの内容についてご確認しました</v>
      </c>
      <c r="AH529" s="6" t="str">
        <f aca="false">IFERROR(__xludf.dummyfunction("""COMPUTED_VALUE"""),"確認しました")</f>
        <v>確認しました</v>
      </c>
      <c r="AI529" s="6"/>
      <c r="AJ529" s="6" t="str">
        <v/>
      </c>
      <c r="AK529" s="6" t="str">
        <v/>
      </c>
      <c r="AL529" s="6" t="str">
        <v/>
      </c>
      <c r="AM529" s="6" t="str">
        <v/>
      </c>
      <c r="AN529" s="6" t="n">
        <f aca="false">FALSE()</f>
        <v>0</v>
      </c>
    </row>
    <row r="530" customFormat="false" ht="52.5" hidden="false" customHeight="true" outlineLevel="0" collapsed="false">
      <c r="A530" s="6" t="str">
        <f aca="false">IFERROR(__xludf.dummyfunction("""COMPUTED_VALUE"""),"2026/04/07 18:52:26")</f>
        <v>2026/04/07 18:52:26</v>
      </c>
      <c r="B530" s="6"/>
      <c r="C530" s="6" t="str">
        <f aca="false">IFERROR(__xludf.dummyfunction("""COMPUTED_VALUE"""),"72250")</f>
        <v>72250</v>
      </c>
      <c r="D530" s="6"/>
      <c r="E530" s="6"/>
      <c r="F530" s="6"/>
      <c r="G530" s="6" t="str">
        <f aca="false">IFERROR(__xludf.dummyfunction("""COMPUTED_VALUE"""),"2026/05/07")</f>
        <v>2026/05/07</v>
      </c>
      <c r="H530" s="6" t="str">
        <f aca="false">IFERROR(__xludf.dummyfunction("""COMPUTED_VALUE"""),"必要")</f>
        <v>必要</v>
      </c>
      <c r="I530" s="6" t="str">
        <f aca="false">IFERROR(__xludf.dummyfunction("""COMPUTED_VALUE"""),"男性")</f>
        <v>男性</v>
      </c>
      <c r="J530" s="6" t="str">
        <f aca="false">IFERROR(__xludf.dummyfunction("""COMPUTED_VALUE"""),"ベトナム")</f>
        <v>ベトナム</v>
      </c>
      <c r="K530" s="6" t="str">
        <f aca="false">IFERROR(__xludf.dummyfunction("""COMPUTED_VALUE"""),"3")</f>
        <v>3</v>
      </c>
      <c r="L530" s="6" t="str">
        <f aca="false">IFERROR(__xludf.dummyfunction("""COMPUTED_VALUE"""),"冷蔵庫(単身1ドア) 、電子レンジ、洗濯機(120L)、ファン")</f>
        <v>冷蔵庫(単身1ドア) 、電子レンジ、洗濯機(120L)、ファン</v>
      </c>
      <c r="M530" s="6" t="str">
        <f aca="false">IFERROR(__xludf.dummyfunction("""COMPUTED_VALUE"""),"机(1M×1M); 椅子(小)")</f>
        <v>机(1M×1M); 椅子(小)</v>
      </c>
      <c r="N530" s="6"/>
      <c r="O530" s="6" t="str">
        <f aca="false">IFERROR(__xludf.dummyfunction("""COMPUTED_VALUE"""),"不要")</f>
        <v>不要</v>
      </c>
      <c r="P530" s="6"/>
      <c r="Q530" s="6"/>
      <c r="R530" s="6"/>
      <c r="S530" s="6" t="str">
        <f aca="false">IFERROR(__xludf.dummyfunction("""COMPUTED_VALUE"""),"家具家電なし社宅")</f>
        <v>家具家電なし社宅</v>
      </c>
      <c r="T530" s="6" t="str">
        <f aca="false">IFERROR(__xludf.dummyfunction("""COMPUTED_VALUE"""),"利用しない")</f>
        <v>利用しない</v>
      </c>
      <c r="U530" s="6"/>
      <c r="V530" s="6" t="str">
        <f aca="false">IFERROR(__xludf.dummyfunction("""COMPUTED_VALUE"""),"徒歩, 電車, バス")</f>
        <v>徒歩, 電車, バス</v>
      </c>
      <c r="W530" s="6"/>
      <c r="X530" s="6" t="str">
        <f aca="false">IFERROR(__xludf.dummyfunction("""COMPUTED_VALUE"""),"株式会社オープンアップネクストエンジニア様の社宅")</f>
        <v>株式会社オープンアップネクストエンジニア様の社宅</v>
      </c>
      <c r="Y530" s="6" t="str">
        <f aca="false">IFERROR(__xludf.dummyfunction("""COMPUTED_VALUE"""),"利用なし")</f>
        <v>利用なし</v>
      </c>
      <c r="Z530" s="6" t="str">
        <f aca="false">IFERROR(__xludf.dummyfunction("""COMPUTED_VALUE"""),"希望する")</f>
        <v>希望する</v>
      </c>
      <c r="AA530" s="6" t="str">
        <f aca="false">IFERROR(__xludf.dummyfunction("""COMPUTED_VALUE"""),"単身")</f>
        <v>単身</v>
      </c>
      <c r="AB530" s="6"/>
      <c r="AC530" s="6"/>
      <c r="AD530" s="6"/>
      <c r="AE530" s="6" t="str">
        <f aca="false">IFERROR(__xludf.dummyfunction("""COMPUTED_VALUE"""),"確認しました。")</f>
        <v>確認しました。</v>
      </c>
      <c r="AF530" s="6" t="str">
        <f aca="false">IFERROR(__xludf.dummyfunction("""COMPUTED_VALUE"""),"社宅基準の内容について確認しました")</f>
        <v>社宅基準の内容について確認しました</v>
      </c>
      <c r="AG530" s="6" t="str">
        <f aca="false">IFERROR(__xludf.dummyfunction("""COMPUTED_VALUE"""),"入居のしおりの内容についてご確認しました")</f>
        <v>入居のしおりの内容についてご確認しました</v>
      </c>
      <c r="AH530" s="6" t="str">
        <f aca="false">IFERROR(__xludf.dummyfunction("""COMPUTED_VALUE"""),"確認しました")</f>
        <v>確認しました</v>
      </c>
      <c r="AI530" s="6"/>
      <c r="AJ530" s="6" t="str">
        <v/>
      </c>
      <c r="AK530" s="6" t="str">
        <v/>
      </c>
      <c r="AL530" s="6" t="str">
        <v/>
      </c>
      <c r="AM530" s="6" t="str">
        <v/>
      </c>
      <c r="AN530" s="6" t="n">
        <f aca="false">FALSE()</f>
        <v>0</v>
      </c>
    </row>
    <row r="531" customFormat="false" ht="52.5" hidden="false" customHeight="true" outlineLevel="0" collapsed="false">
      <c r="A531" s="6" t="str">
        <f aca="false">IFERROR(__xludf.dummyfunction("""COMPUTED_VALUE"""),"2026/04/07 22:22:41")</f>
        <v>2026/04/07 22:22:41</v>
      </c>
      <c r="B531" s="6"/>
      <c r="C531" s="6" t="str">
        <f aca="false">IFERROR(__xludf.dummyfunction("""COMPUTED_VALUE"""),"72244")</f>
        <v>72244</v>
      </c>
      <c r="D531" s="6"/>
      <c r="E531" s="6"/>
      <c r="F531" s="6"/>
      <c r="G531" s="6" t="str">
        <f aca="false">IFERROR(__xludf.dummyfunction("""COMPUTED_VALUE"""),"2026/04/12")</f>
        <v>2026/04/12</v>
      </c>
      <c r="H531" s="6" t="str">
        <f aca="false">IFERROR(__xludf.dummyfunction("""COMPUTED_VALUE"""),"必要")</f>
        <v>必要</v>
      </c>
      <c r="I531" s="6" t="str">
        <f aca="false">IFERROR(__xludf.dummyfunction("""COMPUTED_VALUE"""),"男性")</f>
        <v>男性</v>
      </c>
      <c r="J531" s="6" t="str">
        <f aca="false">IFERROR(__xludf.dummyfunction("""COMPUTED_VALUE"""),"日本")</f>
        <v>日本</v>
      </c>
      <c r="K531" s="6" t="str">
        <f aca="false">IFERROR(__xludf.dummyfunction("""COMPUTED_VALUE"""),"40")</f>
        <v>40</v>
      </c>
      <c r="L531" s="6" t="str">
        <f aca="false">IFERROR(__xludf.dummyfunction("""COMPUTED_VALUE"""),"ゲーミングモニター２３．８ｃｍ　炊飯ジャー　トースター　電動給湯ポット　扇風機（サーキュレーター）")</f>
        <v>ゲーミングモニター２３．８ｃｍ　炊飯ジャー　トースター　電動給湯ポット　扇風機（サーキュレーター）</v>
      </c>
      <c r="M531" s="6" t="str">
        <f aca="false">IFERROR(__xludf.dummyfunction("""COMPUTED_VALUE"""),"ゲーミングデスク　机幅１４６cm　奥行１２０cm　高さ７４ｃｍ　レンジボード　幅６０ｃｍ　奥行４０ｃｍ　高さ１８１ｃｍ")</f>
        <v>ゲーミングデスク　机幅１４６cm　奥行１２０cm　高さ７４ｃｍ　レンジボード　幅６０ｃｍ　奥行４０ｃｍ　高さ１８１ｃｍ</v>
      </c>
      <c r="N531" s="6" t="str">
        <f aca="false">IFERROR(__xludf.dummyfunction("""COMPUTED_VALUE"""),"（精密機器）パソコンハードディスクあり　専用のパソコンボックスをお願いします　テレビモニター　キーボード　マウス　　マイク　　食器類　　　　　布団袋三枚")</f>
        <v>（精密機器）パソコンハードディスクあり　専用のパソコンボックスをお願いします　テレビモニター　キーボード　マウス　　マイク　　食器類　　　　　布団袋三枚</v>
      </c>
      <c r="O531" s="6" t="str">
        <f aca="false">IFERROR(__xludf.dummyfunction("""COMPUTED_VALUE"""),"不要")</f>
        <v>不要</v>
      </c>
      <c r="P531" s="6"/>
      <c r="Q531" s="6"/>
      <c r="R531" s="6"/>
      <c r="S531" s="6" t="str">
        <f aca="false">IFERROR(__xludf.dummyfunction("""COMPUTED_VALUE"""),"家具家電付き社宅")</f>
        <v>家具家電付き社宅</v>
      </c>
      <c r="T531" s="6" t="str">
        <f aca="false">IFERROR(__xludf.dummyfunction("""COMPUTED_VALUE"""),"利用しない")</f>
        <v>利用しない</v>
      </c>
      <c r="U531" s="6"/>
      <c r="V531" s="6" t="str">
        <f aca="false">IFERROR(__xludf.dummyfunction("""COMPUTED_VALUE"""),"徒歩")</f>
        <v>徒歩</v>
      </c>
      <c r="W531" s="6"/>
      <c r="X531" s="6" t="str">
        <f aca="false">IFERROR(__xludf.dummyfunction("""COMPUTED_VALUE"""),"実家")</f>
        <v>実家</v>
      </c>
      <c r="Y531" s="6"/>
      <c r="Z531" s="6" t="str">
        <f aca="false">IFERROR(__xludf.dummyfunction("""COMPUTED_VALUE"""),"希望する")</f>
        <v>希望する</v>
      </c>
      <c r="AA531" s="6" t="str">
        <f aca="false">IFERROR(__xludf.dummyfunction("""COMPUTED_VALUE"""),"単身")</f>
        <v>単身</v>
      </c>
      <c r="AB531" s="6"/>
      <c r="AC531" s="6"/>
      <c r="AD531" s="6"/>
      <c r="AE531" s="6" t="str">
        <f aca="false">IFERROR(__xludf.dummyfunction("""COMPUTED_VALUE"""),"確認しました。")</f>
        <v>確認しました。</v>
      </c>
      <c r="AF531" s="6" t="str">
        <f aca="false">IFERROR(__xludf.dummyfunction("""COMPUTED_VALUE"""),"社宅基準の内容について確認しました")</f>
        <v>社宅基準の内容について確認しました</v>
      </c>
      <c r="AG531" s="6" t="str">
        <f aca="false">IFERROR(__xludf.dummyfunction("""COMPUTED_VALUE"""),"入居のしおりの内容についてご確認しました")</f>
        <v>入居のしおりの内容についてご確認しました</v>
      </c>
      <c r="AH531" s="6" t="str">
        <f aca="false">IFERROR(__xludf.dummyfunction("""COMPUTED_VALUE"""),"確認しました")</f>
        <v>確認しました</v>
      </c>
      <c r="AI531" s="6"/>
      <c r="AJ531" s="6" t="str">
        <v/>
      </c>
      <c r="AK531" s="6" t="str">
        <v/>
      </c>
      <c r="AL531" s="6" t="str">
        <v/>
      </c>
      <c r="AM531" s="6" t="str">
        <v/>
      </c>
      <c r="AN531" s="6" t="n">
        <f aca="false">FALSE()</f>
        <v>0</v>
      </c>
    </row>
    <row r="532" customFormat="false" ht="52.5" hidden="false" customHeight="true" outlineLevel="0" collapsed="false">
      <c r="A532" s="6" t="str">
        <f aca="false">IFERROR(__xludf.dummyfunction("""COMPUTED_VALUE"""),"2026/04/08 10:49:32")</f>
        <v>2026/04/08 10:49:32</v>
      </c>
      <c r="B532" s="6"/>
      <c r="C532" s="6" t="str">
        <f aca="false">IFERROR(__xludf.dummyfunction("""COMPUTED_VALUE"""),"72283")</f>
        <v>72283</v>
      </c>
      <c r="D532" s="6"/>
      <c r="E532" s="6"/>
      <c r="F532" s="6"/>
      <c r="G532" s="6" t="str">
        <f aca="false">IFERROR(__xludf.dummyfunction("""COMPUTED_VALUE"""),"2026/04/17")</f>
        <v>2026/04/17</v>
      </c>
      <c r="H532" s="6" t="str">
        <f aca="false">IFERROR(__xludf.dummyfunction("""COMPUTED_VALUE"""),"必要")</f>
        <v>必要</v>
      </c>
      <c r="I532" s="6" t="str">
        <f aca="false">IFERROR(__xludf.dummyfunction("""COMPUTED_VALUE"""),"男性")</f>
        <v>男性</v>
      </c>
      <c r="J532" s="6" t="str">
        <f aca="false">IFERROR(__xludf.dummyfunction("""COMPUTED_VALUE"""),"日本")</f>
        <v>日本</v>
      </c>
      <c r="K532" s="6" t="str">
        <f aca="false">IFERROR(__xludf.dummyfunction("""COMPUTED_VALUE"""),"12")</f>
        <v>12</v>
      </c>
      <c r="L532" s="6" t="str">
        <f aca="false">IFERROR(__xludf.dummyfunction("""COMPUTED_VALUE"""),"無し")</f>
        <v>無し</v>
      </c>
      <c r="M532" s="6" t="str">
        <f aca="false">IFERROR(__xludf.dummyfunction("""COMPUTED_VALUE"""),"無し")</f>
        <v>無し</v>
      </c>
      <c r="N532" s="6" t="str">
        <f aca="false">IFERROR(__xludf.dummyfunction("""COMPUTED_VALUE"""),"無し")</f>
        <v>無し</v>
      </c>
      <c r="O532" s="6" t="str">
        <f aca="false">IFERROR(__xludf.dummyfunction("""COMPUTED_VALUE"""),"不要")</f>
        <v>不要</v>
      </c>
      <c r="P532" s="6"/>
      <c r="Q532" s="6"/>
      <c r="R532" s="6"/>
      <c r="S532" s="6" t="str">
        <f aca="false">IFERROR(__xludf.dummyfunction("""COMPUTED_VALUE"""),"家具家電付き社宅")</f>
        <v>家具家電付き社宅</v>
      </c>
      <c r="T532" s="6" t="str">
        <f aca="false">IFERROR(__xludf.dummyfunction("""COMPUTED_VALUE"""),"利用しない")</f>
        <v>利用しない</v>
      </c>
      <c r="U532" s="6"/>
      <c r="V532" s="6" t="str">
        <f aca="false">IFERROR(__xludf.dummyfunction("""COMPUTED_VALUE"""),"徒歩, 電車")</f>
        <v>徒歩, 電車</v>
      </c>
      <c r="W532" s="6"/>
      <c r="X532" s="6" t="str">
        <f aca="false">IFERROR(__xludf.dummyfunction("""COMPUTED_VALUE"""),"株式会社オープンアップネクストエンジニア様の社宅")</f>
        <v>株式会社オープンアップネクストエンジニア様の社宅</v>
      </c>
      <c r="Y532" s="6" t="str">
        <f aca="false">IFERROR(__xludf.dummyfunction("""COMPUTED_VALUE"""),"利用なし")</f>
        <v>利用なし</v>
      </c>
      <c r="Z532" s="6" t="str">
        <f aca="false">IFERROR(__xludf.dummyfunction("""COMPUTED_VALUE"""),"希望する")</f>
        <v>希望する</v>
      </c>
      <c r="AA532" s="6" t="str">
        <f aca="false">IFERROR(__xludf.dummyfunction("""COMPUTED_VALUE"""),"単身")</f>
        <v>単身</v>
      </c>
      <c r="AB532" s="6"/>
      <c r="AC532" s="6"/>
      <c r="AD532" s="6"/>
      <c r="AE532" s="6" t="str">
        <f aca="false">IFERROR(__xludf.dummyfunction("""COMPUTED_VALUE"""),"確認しました。")</f>
        <v>確認しました。</v>
      </c>
      <c r="AF532" s="6" t="str">
        <f aca="false">IFERROR(__xludf.dummyfunction("""COMPUTED_VALUE"""),"社宅基準の内容について確認しました")</f>
        <v>社宅基準の内容について確認しました</v>
      </c>
      <c r="AG532" s="6" t="str">
        <f aca="false">IFERROR(__xludf.dummyfunction("""COMPUTED_VALUE"""),"入居のしおりの内容についてご確認しました")</f>
        <v>入居のしおりの内容についてご確認しました</v>
      </c>
      <c r="AH532" s="6" t="str">
        <f aca="false">IFERROR(__xludf.dummyfunction("""COMPUTED_VALUE"""),"確認しました")</f>
        <v>確認しました</v>
      </c>
      <c r="AI532" s="6"/>
      <c r="AJ532" s="6" t="str">
        <v/>
      </c>
      <c r="AK532" s="6" t="str">
        <v/>
      </c>
      <c r="AL532" s="6" t="str">
        <v/>
      </c>
      <c r="AM532" s="6" t="str">
        <v/>
      </c>
      <c r="AN532" s="6" t="n">
        <f aca="false">FALSE()</f>
        <v>0</v>
      </c>
    </row>
    <row r="533" customFormat="false" ht="52.5" hidden="false" customHeight="true" outlineLevel="0" collapsed="false">
      <c r="A533" s="6" t="str">
        <f aca="false">IFERROR(__xludf.dummyfunction("""COMPUTED_VALUE"""),"2026/04/08 10:58:44")</f>
        <v>2026/04/08 10:58:44</v>
      </c>
      <c r="B533" s="6"/>
      <c r="C533" s="6" t="str">
        <f aca="false">IFERROR(__xludf.dummyfunction("""COMPUTED_VALUE"""),"72294")</f>
        <v>72294</v>
      </c>
      <c r="D533" s="6"/>
      <c r="E533" s="6"/>
      <c r="F533" s="6"/>
      <c r="G533" s="6" t="str">
        <f aca="false">IFERROR(__xludf.dummyfunction("""COMPUTED_VALUE"""),"2026/04/19")</f>
        <v>2026/04/19</v>
      </c>
      <c r="H533" s="6" t="str">
        <f aca="false">IFERROR(__xludf.dummyfunction("""COMPUTED_VALUE"""),"必要")</f>
        <v>必要</v>
      </c>
      <c r="I533" s="6" t="str">
        <f aca="false">IFERROR(__xludf.dummyfunction("""COMPUTED_VALUE"""),"男性")</f>
        <v>男性</v>
      </c>
      <c r="J533" s="6" t="str">
        <f aca="false">IFERROR(__xludf.dummyfunction("""COMPUTED_VALUE"""),"日本")</f>
        <v>日本</v>
      </c>
      <c r="K533" s="6" t="str">
        <f aca="false">IFERROR(__xludf.dummyfunction("""COMPUTED_VALUE"""),"15")</f>
        <v>15</v>
      </c>
      <c r="L533" s="6" t="str">
        <f aca="false">IFERROR(__xludf.dummyfunction("""COMPUTED_VALUE"""),"電子レンジ、炊飯器、ポット、テレビ")</f>
        <v>電子レンジ、炊飯器、ポット、テレビ</v>
      </c>
      <c r="M533" s="6" t="str">
        <f aca="false">IFERROR(__xludf.dummyfunction("""COMPUTED_VALUE"""),"ソファ（2人）")</f>
        <v>ソファ（2人）</v>
      </c>
      <c r="N533" s="6"/>
      <c r="O533" s="6" t="str">
        <f aca="false">IFERROR(__xludf.dummyfunction("""COMPUTED_VALUE"""),"必要")</f>
        <v>必要</v>
      </c>
      <c r="P533" s="6" t="str">
        <f aca="false">IFERROR(__xludf.dummyfunction("""COMPUTED_VALUE"""),"クラウン")</f>
        <v>クラウン</v>
      </c>
      <c r="Q533" s="6" t="str">
        <f aca="false">IFERROR(__xludf.dummyfunction("""COMPUTED_VALUE"""),"み72-76")</f>
        <v>み72-76</v>
      </c>
      <c r="R533" s="6" t="str">
        <f aca="false">IFERROR(__xludf.dummyfunction("""COMPUTED_VALUE"""),"パール系ホワイト")</f>
        <v>パール系ホワイト</v>
      </c>
      <c r="S533" s="6" t="str">
        <f aca="false">IFERROR(__xludf.dummyfunction("""COMPUTED_VALUE"""),"家具家電なし社宅")</f>
        <v>家具家電なし社宅</v>
      </c>
      <c r="T533" s="6" t="str">
        <f aca="false">IFERROR(__xludf.dummyfunction("""COMPUTED_VALUE"""),"利用しない")</f>
        <v>利用しない</v>
      </c>
      <c r="U533" s="6"/>
      <c r="V533" s="6" t="str">
        <f aca="false">IFERROR(__xludf.dummyfunction("""COMPUTED_VALUE"""),"自動車, バス")</f>
        <v>自動車, バス</v>
      </c>
      <c r="W533" s="6"/>
      <c r="X533" s="6" t="str">
        <f aca="false">IFERROR(__xludf.dummyfunction("""COMPUTED_VALUE"""),"実家")</f>
        <v>実家</v>
      </c>
      <c r="Y533" s="6"/>
      <c r="Z533" s="6" t="str">
        <f aca="false">IFERROR(__xludf.dummyfunction("""COMPUTED_VALUE"""),"希望する")</f>
        <v>希望する</v>
      </c>
      <c r="AA533" s="6" t="str">
        <f aca="false">IFERROR(__xludf.dummyfunction("""COMPUTED_VALUE"""),"単身")</f>
        <v>単身</v>
      </c>
      <c r="AB533" s="6"/>
      <c r="AC533" s="6"/>
      <c r="AD533" s="6"/>
      <c r="AE533" s="6" t="str">
        <f aca="false">IFERROR(__xludf.dummyfunction("""COMPUTED_VALUE"""),"確認しました。")</f>
        <v>確認しました。</v>
      </c>
      <c r="AF533" s="6" t="str">
        <f aca="false">IFERROR(__xludf.dummyfunction("""COMPUTED_VALUE"""),"社宅基準の内容について確認しました")</f>
        <v>社宅基準の内容について確認しました</v>
      </c>
      <c r="AG533" s="6" t="str">
        <f aca="false">IFERROR(__xludf.dummyfunction("""COMPUTED_VALUE"""),"入居のしおりの内容についてご確認しました")</f>
        <v>入居のしおりの内容についてご確認しました</v>
      </c>
      <c r="AH533" s="6" t="str">
        <f aca="false">IFERROR(__xludf.dummyfunction("""COMPUTED_VALUE"""),"確認しました")</f>
        <v>確認しました</v>
      </c>
      <c r="AI533" s="6"/>
      <c r="AJ533" s="6" t="str">
        <v/>
      </c>
      <c r="AK533" s="6" t="str">
        <v/>
      </c>
      <c r="AL533" s="6" t="str">
        <v/>
      </c>
      <c r="AM533" s="6" t="str">
        <v/>
      </c>
      <c r="AN533" s="6" t="n">
        <f aca="false">FALSE()</f>
        <v>0</v>
      </c>
    </row>
    <row r="534" customFormat="false" ht="52.5" hidden="false" customHeight="true" outlineLevel="0" collapsed="false">
      <c r="A534" s="6" t="str">
        <f aca="false">IFERROR(__xludf.dummyfunction("""COMPUTED_VALUE"""),"2026/04/08 11:03:06")</f>
        <v>2026/04/08 11:03:06</v>
      </c>
      <c r="B534" s="6"/>
      <c r="C534" s="6" t="str">
        <f aca="false">IFERROR(__xludf.dummyfunction("""COMPUTED_VALUE"""),"72282")</f>
        <v>72282</v>
      </c>
      <c r="D534" s="6"/>
      <c r="E534" s="6"/>
      <c r="F534" s="6"/>
      <c r="G534" s="6" t="str">
        <f aca="false">IFERROR(__xludf.dummyfunction("""COMPUTED_VALUE"""),"2026/04/16")</f>
        <v>2026/04/16</v>
      </c>
      <c r="H534" s="6" t="str">
        <f aca="false">IFERROR(__xludf.dummyfunction("""COMPUTED_VALUE"""),"必要")</f>
        <v>必要</v>
      </c>
      <c r="I534" s="6" t="str">
        <f aca="false">IFERROR(__xludf.dummyfunction("""COMPUTED_VALUE"""),"男性")</f>
        <v>男性</v>
      </c>
      <c r="J534" s="6" t="str">
        <f aca="false">IFERROR(__xludf.dummyfunction("""COMPUTED_VALUE"""),"日本")</f>
        <v>日本</v>
      </c>
      <c r="K534" s="6" t="str">
        <f aca="false">IFERROR(__xludf.dummyfunction("""COMPUTED_VALUE"""),"10")</f>
        <v>10</v>
      </c>
      <c r="L534" s="6" t="str">
        <f aca="false">IFERROR(__xludf.dummyfunction("""COMPUTED_VALUE"""),"冷蔵庫(単身用)、洗濯機、エアコン(室外機込み)、電子レンジ、トースター、コンロ、空気清浄機、ディスプレイ、ノートPC")</f>
        <v>冷蔵庫(単身用)、洗濯機、エアコン(室外機込み)、電子レンジ、トースター、コンロ、空気清浄機、ディスプレイ、ノートPC</v>
      </c>
      <c r="M534" s="6" t="str">
        <f aca="false">IFERROR(__xludf.dummyfunction("""COMPUTED_VALUE"""),"タンス①(横120cm×奥行40cm×高さ90cm)、タンス②(横80cm×奥行30cm×高さ80cm) 
小型ラック×2、イス、布団、ゴミ箱×4")</f>
        <v>タンス①(横120cm×奥行40cm×高さ90cm)、タンス②(横80cm×奥行30cm×高さ80cm) 
小型ラック×2、イス、布団、ゴミ箱×4</v>
      </c>
      <c r="N534" s="6" t="str">
        <f aca="false">IFERROR(__xludf.dummyfunction("""COMPUTED_VALUE"""),"自転車、原付(不可の場合は自身の移動に使用)")</f>
        <v>自転車、原付(不可の場合は自身の移動に使用)</v>
      </c>
      <c r="O534" s="6" t="str">
        <f aca="false">IFERROR(__xludf.dummyfunction("""COMPUTED_VALUE"""),"不要")</f>
        <v>不要</v>
      </c>
      <c r="P534" s="6"/>
      <c r="Q534" s="6"/>
      <c r="R534" s="6"/>
      <c r="S534" s="6" t="str">
        <f aca="false">IFERROR(__xludf.dummyfunction("""COMPUTED_VALUE"""),"家具家電なし社宅")</f>
        <v>家具家電なし社宅</v>
      </c>
      <c r="T534" s="6" t="str">
        <f aca="false">IFERROR(__xludf.dummyfunction("""COMPUTED_VALUE"""),"利用しない")</f>
        <v>利用しない</v>
      </c>
      <c r="U534" s="6"/>
      <c r="V534" s="6" t="str">
        <f aca="false">IFERROR(__xludf.dummyfunction("""COMPUTED_VALUE"""),"原付(原動機付き自転車)")</f>
        <v>原付(原動機付き自転車)</v>
      </c>
      <c r="W534" s="6"/>
      <c r="X534" s="6" t="str">
        <f aca="false">IFERROR(__xludf.dummyfunction("""COMPUTED_VALUE"""),"株式会社オープンアップネクストエンジニア様の社宅")</f>
        <v>株式会社オープンアップネクストエンジニア様の社宅</v>
      </c>
      <c r="Y534" s="6" t="str">
        <f aca="false">IFERROR(__xludf.dummyfunction("""COMPUTED_VALUE"""),"利用なし")</f>
        <v>利用なし</v>
      </c>
      <c r="Z534" s="6" t="str">
        <f aca="false">IFERROR(__xludf.dummyfunction("""COMPUTED_VALUE"""),"希望する")</f>
        <v>希望する</v>
      </c>
      <c r="AA534" s="6" t="str">
        <f aca="false">IFERROR(__xludf.dummyfunction("""COMPUTED_VALUE"""),"単身")</f>
        <v>単身</v>
      </c>
      <c r="AB534" s="6"/>
      <c r="AC534" s="6"/>
      <c r="AD534" s="6"/>
      <c r="AE534" s="6" t="str">
        <f aca="false">IFERROR(__xludf.dummyfunction("""COMPUTED_VALUE"""),"確認しました。")</f>
        <v>確認しました。</v>
      </c>
      <c r="AF534" s="6" t="str">
        <f aca="false">IFERROR(__xludf.dummyfunction("""COMPUTED_VALUE"""),"社宅基準の内容について確認しました")</f>
        <v>社宅基準の内容について確認しました</v>
      </c>
      <c r="AG534" s="6" t="str">
        <f aca="false">IFERROR(__xludf.dummyfunction("""COMPUTED_VALUE"""),"入居のしおりの内容についてご確認しました")</f>
        <v>入居のしおりの内容についてご確認しました</v>
      </c>
      <c r="AH534" s="6" t="str">
        <f aca="false">IFERROR(__xludf.dummyfunction("""COMPUTED_VALUE"""),"確認しました")</f>
        <v>確認しました</v>
      </c>
      <c r="AI534" s="6"/>
      <c r="AJ534" s="6" t="str">
        <v/>
      </c>
      <c r="AK534" s="6" t="str">
        <v/>
      </c>
      <c r="AL534" s="6" t="str">
        <v/>
      </c>
      <c r="AM534" s="6" t="str">
        <v/>
      </c>
      <c r="AN534" s="6" t="n">
        <f aca="false">FALSE()</f>
        <v>0</v>
      </c>
    </row>
    <row r="535" customFormat="false" ht="52.5" hidden="false" customHeight="true" outlineLevel="0" collapsed="false">
      <c r="A535" s="6" t="str">
        <f aca="false">IFERROR(__xludf.dummyfunction("""COMPUTED_VALUE"""),"2026/04/08 15:04:52")</f>
        <v>2026/04/08 15:04:52</v>
      </c>
      <c r="B535" s="6"/>
      <c r="C535" s="6" t="str">
        <f aca="false">IFERROR(__xludf.dummyfunction("""COMPUTED_VALUE"""),"72303")</f>
        <v>72303</v>
      </c>
      <c r="D535" s="6"/>
      <c r="E535" s="6"/>
      <c r="F535" s="6"/>
      <c r="G535" s="6" t="str">
        <f aca="false">IFERROR(__xludf.dummyfunction("""COMPUTED_VALUE"""),"2026/05/05")</f>
        <v>2026/05/05</v>
      </c>
      <c r="H535" s="6" t="str">
        <f aca="false">IFERROR(__xludf.dummyfunction("""COMPUTED_VALUE"""),"必要")</f>
        <v>必要</v>
      </c>
      <c r="I535" s="6" t="str">
        <f aca="false">IFERROR(__xludf.dummyfunction("""COMPUTED_VALUE"""),"男性")</f>
        <v>男性</v>
      </c>
      <c r="J535" s="6" t="str">
        <f aca="false">IFERROR(__xludf.dummyfunction("""COMPUTED_VALUE"""),"日本")</f>
        <v>日本</v>
      </c>
      <c r="K535" s="6" t="str">
        <f aca="false">IFERROR(__xludf.dummyfunction("""COMPUTED_VALUE"""),"25")</f>
        <v>25</v>
      </c>
      <c r="L535" s="6" t="str">
        <f aca="false">IFERROR(__xludf.dummyfunction("""COMPUTED_VALUE"""),"テレビ、洗濯機、冷蔵庫単身用、オーディオ、掃除機、電子レンジ、電気ポット")</f>
        <v>テレビ、洗濯機、冷蔵庫単身用、オーディオ、掃除機、電子レンジ、電気ポット</v>
      </c>
      <c r="M535" s="6" t="str">
        <f aca="false">IFERROR(__xludf.dummyfunction("""COMPUTED_VALUE"""),"折り畳みベッドシングル、オフィスチェア、ローテーブル、pcデスク、tv台、スチールラック7台（分解可能）")</f>
        <v>折り畳みベッドシングル、オフィスチェア、ローテーブル、pcデスク、tv台、スチールラック7台（分解可能）</v>
      </c>
      <c r="N535" s="6"/>
      <c r="O535" s="6" t="str">
        <f aca="false">IFERROR(__xludf.dummyfunction("""COMPUTED_VALUE"""),"必要")</f>
        <v>必要</v>
      </c>
      <c r="P535" s="6" t="str">
        <f aca="false">IFERROR(__xludf.dummyfunction("""COMPUTED_VALUE"""),"マツダ3")</f>
        <v>マツダ3</v>
      </c>
      <c r="Q535" s="6" t="str">
        <f aca="false">IFERROR(__xludf.dummyfunction("""COMPUTED_VALUE"""),"と・1-25")</f>
        <v>と・1-25</v>
      </c>
      <c r="R535" s="6" t="str">
        <f aca="false">IFERROR(__xludf.dummyfunction("""COMPUTED_VALUE"""),"グレー")</f>
        <v>グレー</v>
      </c>
      <c r="S535" s="6" t="str">
        <f aca="false">IFERROR(__xludf.dummyfunction("""COMPUTED_VALUE"""),"家具家電なし社宅")</f>
        <v>家具家電なし社宅</v>
      </c>
      <c r="T535" s="6" t="str">
        <f aca="false">IFERROR(__xludf.dummyfunction("""COMPUTED_VALUE"""),"利用しない")</f>
        <v>利用しない</v>
      </c>
      <c r="U535" s="6"/>
      <c r="V535" s="6" t="str">
        <f aca="false">IFERROR(__xludf.dummyfunction("""COMPUTED_VALUE"""),"自動車")</f>
        <v>自動車</v>
      </c>
      <c r="W535" s="6"/>
      <c r="X535" s="6" t="str">
        <f aca="false">IFERROR(__xludf.dummyfunction("""COMPUTED_VALUE"""),"株式会社オープンアップネクストエンジニア様の社宅")</f>
        <v>株式会社オープンアップネクストエンジニア様の社宅</v>
      </c>
      <c r="Y535" s="6" t="str">
        <f aca="false">IFERROR(__xludf.dummyfunction("""COMPUTED_VALUE"""),"利用なし")</f>
        <v>利用なし</v>
      </c>
      <c r="Z535" s="6" t="str">
        <f aca="false">IFERROR(__xludf.dummyfunction("""COMPUTED_VALUE"""),"希望しない")</f>
        <v>希望しない</v>
      </c>
      <c r="AA535" s="6" t="str">
        <f aca="false">IFERROR(__xludf.dummyfunction("""COMPUTED_VALUE"""),"単身")</f>
        <v>単身</v>
      </c>
      <c r="AB535" s="6"/>
      <c r="AC535" s="6"/>
      <c r="AD535" s="6"/>
      <c r="AE535" s="6" t="str">
        <f aca="false">IFERROR(__xludf.dummyfunction("""COMPUTED_VALUE"""),"確認しました。")</f>
        <v>確認しました。</v>
      </c>
      <c r="AF535" s="6" t="str">
        <f aca="false">IFERROR(__xludf.dummyfunction("""COMPUTED_VALUE"""),"社宅基準の内容について確認しました")</f>
        <v>社宅基準の内容について確認しました</v>
      </c>
      <c r="AG535" s="6" t="str">
        <f aca="false">IFERROR(__xludf.dummyfunction("""COMPUTED_VALUE"""),"入居のしおりの内容についてご確認しました")</f>
        <v>入居のしおりの内容についてご確認しました</v>
      </c>
      <c r="AH535" s="6" t="str">
        <f aca="false">IFERROR(__xludf.dummyfunction("""COMPUTED_VALUE"""),"確認しました")</f>
        <v>確認しました</v>
      </c>
      <c r="AI535" s="6"/>
      <c r="AJ535" s="6" t="str">
        <v/>
      </c>
      <c r="AK535" s="6" t="str">
        <v/>
      </c>
      <c r="AL535" s="6" t="str">
        <v/>
      </c>
      <c r="AM535" s="6" t="str">
        <v/>
      </c>
      <c r="AN535" s="6" t="n">
        <f aca="false">FALSE()</f>
        <v>0</v>
      </c>
    </row>
    <row r="536" customFormat="false" ht="52.5" hidden="false" customHeight="true" outlineLevel="0" collapsed="false">
      <c r="A536" s="6" t="str">
        <f aca="false">IFERROR(__xludf.dummyfunction("""COMPUTED_VALUE"""),"2026/04/08 17:00:24")</f>
        <v>2026/04/08 17:00:24</v>
      </c>
      <c r="B536" s="6"/>
      <c r="C536" s="6" t="str">
        <f aca="false">IFERROR(__xludf.dummyfunction("""COMPUTED_VALUE"""),"72288")</f>
        <v>72288</v>
      </c>
      <c r="D536" s="6"/>
      <c r="E536" s="6"/>
      <c r="F536" s="6"/>
      <c r="G536" s="6" t="str">
        <f aca="false">IFERROR(__xludf.dummyfunction("""COMPUTED_VALUE"""),"2026/04/17")</f>
        <v>2026/04/17</v>
      </c>
      <c r="H536" s="6" t="str">
        <f aca="false">IFERROR(__xludf.dummyfunction("""COMPUTED_VALUE"""),"必要")</f>
        <v>必要</v>
      </c>
      <c r="I536" s="6" t="str">
        <f aca="false">IFERROR(__xludf.dummyfunction("""COMPUTED_VALUE"""),"男性")</f>
        <v>男性</v>
      </c>
      <c r="J536" s="6" t="str">
        <f aca="false">IFERROR(__xludf.dummyfunction("""COMPUTED_VALUE"""),"日本")</f>
        <v>日本</v>
      </c>
      <c r="K536" s="6" t="str">
        <f aca="false">IFERROR(__xludf.dummyfunction("""COMPUTED_VALUE"""),"15")</f>
        <v>15</v>
      </c>
      <c r="L536" s="6" t="str">
        <f aca="false">IFERROR(__xludf.dummyfunction("""COMPUTED_VALUE"""),"該当なし")</f>
        <v>該当なし</v>
      </c>
      <c r="M536" s="6" t="str">
        <f aca="false">IFERROR(__xludf.dummyfunction("""COMPUTED_VALUE"""),"机1 (120cm x 60cm, 足取り外し可)  
机2 (140cm x 60cm, 足取り外し可)  
ベッド(セミダブル)  
pc (梱包あり,周辺機種あり)
ラック x1
収納棚 x2")</f>
        <v>机1 (120cm x 60cm, 足取り外し可)  
机2 (140cm x 60cm, 足取り外し可)  
ベッド(セミダブル)  
pc (梱包あり,周辺機種あり)
ラック x1
収納棚 x2</v>
      </c>
      <c r="N536" s="6" t="str">
        <f aca="false">IFERROR(__xludf.dummyfunction("""COMPUTED_VALUE"""),"自転車")</f>
        <v>自転車</v>
      </c>
      <c r="O536" s="6" t="str">
        <f aca="false">IFERROR(__xludf.dummyfunction("""COMPUTED_VALUE"""),"不要")</f>
        <v>不要</v>
      </c>
      <c r="P536" s="6"/>
      <c r="Q536" s="6"/>
      <c r="R536" s="6"/>
      <c r="S536" s="6" t="str">
        <f aca="false">IFERROR(__xludf.dummyfunction("""COMPUTED_VALUE"""),"家具家電なし社宅")</f>
        <v>家具家電なし社宅</v>
      </c>
      <c r="T536" s="6" t="str">
        <f aca="false">IFERROR(__xludf.dummyfunction("""COMPUTED_VALUE"""),"利用しない")</f>
        <v>利用しない</v>
      </c>
      <c r="U536" s="6"/>
      <c r="V536" s="6" t="str">
        <f aca="false">IFERROR(__xludf.dummyfunction("""COMPUTED_VALUE"""),"徒歩, 自転車")</f>
        <v>徒歩, 自転車</v>
      </c>
      <c r="W536" s="6"/>
      <c r="X536" s="6" t="str">
        <f aca="false">IFERROR(__xludf.dummyfunction("""COMPUTED_VALUE"""),"実家")</f>
        <v>実家</v>
      </c>
      <c r="Y536" s="6"/>
      <c r="Z536" s="6" t="str">
        <f aca="false">IFERROR(__xludf.dummyfunction("""COMPUTED_VALUE"""),"希望しない")</f>
        <v>希望しない</v>
      </c>
      <c r="AA536" s="6" t="str">
        <f aca="false">IFERROR(__xludf.dummyfunction("""COMPUTED_VALUE"""),"単身")</f>
        <v>単身</v>
      </c>
      <c r="AB536" s="6"/>
      <c r="AC536" s="6"/>
      <c r="AD536" s="6" t="str">
        <f aca="false">IFERROR(__xludf.dummyfunction("""COMPUTED_VALUE"""),"物件の提案の相談")</f>
        <v>物件の提案の相談</v>
      </c>
      <c r="AE536" s="6" t="str">
        <f aca="false">IFERROR(__xludf.dummyfunction("""COMPUTED_VALUE"""),"確認しました。")</f>
        <v>確認しました。</v>
      </c>
      <c r="AF536" s="6" t="str">
        <f aca="false">IFERROR(__xludf.dummyfunction("""COMPUTED_VALUE"""),"社宅基準の内容について確認しました")</f>
        <v>社宅基準の内容について確認しました</v>
      </c>
      <c r="AG536" s="6" t="str">
        <f aca="false">IFERROR(__xludf.dummyfunction("""COMPUTED_VALUE"""),"入居のしおりの内容についてご確認しました")</f>
        <v>入居のしおりの内容についてご確認しました</v>
      </c>
      <c r="AH536" s="6" t="str">
        <f aca="false">IFERROR(__xludf.dummyfunction("""COMPUTED_VALUE"""),"確認しました")</f>
        <v>確認しました</v>
      </c>
      <c r="AI536" s="6"/>
      <c r="AJ536" s="6" t="str">
        <v/>
      </c>
      <c r="AK536" s="6" t="str">
        <v/>
      </c>
      <c r="AL536" s="6" t="str">
        <v/>
      </c>
      <c r="AM536" s="6" t="str">
        <v/>
      </c>
      <c r="AN536" s="6" t="n">
        <f aca="false">FALSE()</f>
        <v>0</v>
      </c>
    </row>
    <row r="537" customFormat="false" ht="52.5" hidden="false" customHeight="true" outlineLevel="0" collapsed="false">
      <c r="A537" s="6" t="str">
        <f aca="false">IFERROR(__xludf.dummyfunction("""COMPUTED_VALUE"""),"2026/04/08 20:33:14")</f>
        <v>2026/04/08 20:33:14</v>
      </c>
      <c r="B537" s="6"/>
      <c r="C537" s="6" t="str">
        <f aca="false">IFERROR(__xludf.dummyfunction("""COMPUTED_VALUE"""),"72254")</f>
        <v>72254</v>
      </c>
      <c r="D537" s="6"/>
      <c r="E537" s="6"/>
      <c r="F537" s="6"/>
      <c r="G537" s="6" t="str">
        <f aca="false">IFERROR(__xludf.dummyfunction("""COMPUTED_VALUE"""),"2026/05/04")</f>
        <v>2026/05/04</v>
      </c>
      <c r="H537" s="6" t="str">
        <f aca="false">IFERROR(__xludf.dummyfunction("""COMPUTED_VALUE"""),"必要")</f>
        <v>必要</v>
      </c>
      <c r="I537" s="6" t="str">
        <f aca="false">IFERROR(__xludf.dummyfunction("""COMPUTED_VALUE"""),"男性")</f>
        <v>男性</v>
      </c>
      <c r="J537" s="6" t="str">
        <f aca="false">IFERROR(__xludf.dummyfunction("""COMPUTED_VALUE"""),"日本")</f>
        <v>日本</v>
      </c>
      <c r="K537" s="6" t="str">
        <f aca="false">IFERROR(__xludf.dummyfunction("""COMPUTED_VALUE"""),"15")</f>
        <v>15</v>
      </c>
      <c r="L537" s="6" t="str">
        <f aca="false">IFERROR(__xludf.dummyfunction("""COMPUTED_VALUE"""),"テレビ、掃除機、レコーダー、スピーカー、扇風機、デスクトップPC、PS5、pPS4")</f>
        <v>テレビ、掃除機、レコーダー、スピーカー、扇風機、デスクトップPC、PS5、pPS4</v>
      </c>
      <c r="M537" s="6" t="str">
        <f aca="false">IFERROR(__xludf.dummyfunction("""COMPUTED_VALUE"""),"テーブル　900×600(折りたたみ)
　棚　850×280×550
　掃除機
　座椅子　2つ
　テレビ台　120×40×40")</f>
        <v>テーブル　900×600(折りたたみ)
　棚　850×280×550
　掃除機
　座椅子　2つ
　テレビ台　120×40×40</v>
      </c>
      <c r="N537" s="6" t="str">
        <f aca="false">IFERROR(__xludf.dummyfunction("""COMPUTED_VALUE"""),"・その他
　キャリーケース 600×400×400")</f>
        <v>・その他
　キャリーケース 600×400×400</v>
      </c>
      <c r="O537" s="6" t="str">
        <f aca="false">IFERROR(__xludf.dummyfunction("""COMPUTED_VALUE"""),"必要")</f>
        <v>必要</v>
      </c>
      <c r="P537" s="6" t="str">
        <f aca="false">IFERROR(__xludf.dummyfunction("""COMPUTED_VALUE"""),"プリウス")</f>
        <v>プリウス</v>
      </c>
      <c r="Q537" s="6" t="str">
        <f aca="false">IFERROR(__xludf.dummyfunction("""COMPUTED_VALUE"""),"る86-58")</f>
        <v>る86-58</v>
      </c>
      <c r="R537" s="6" t="str">
        <f aca="false">IFERROR(__xludf.dummyfunction("""COMPUTED_VALUE"""),"銀")</f>
        <v>銀</v>
      </c>
      <c r="S537" s="6" t="str">
        <f aca="false">IFERROR(__xludf.dummyfunction("""COMPUTED_VALUE"""),"家具家電なし社宅")</f>
        <v>家具家電なし社宅</v>
      </c>
      <c r="T537" s="6" t="str">
        <f aca="false">IFERROR(__xludf.dummyfunction("""COMPUTED_VALUE"""),"利用しない")</f>
        <v>利用しない</v>
      </c>
      <c r="U537" s="6"/>
      <c r="V537" s="6" t="str">
        <f aca="false">IFERROR(__xludf.dummyfunction("""COMPUTED_VALUE"""),"自動車")</f>
        <v>自動車</v>
      </c>
      <c r="W537" s="6"/>
      <c r="X537" s="6" t="str">
        <f aca="false">IFERROR(__xludf.dummyfunction("""COMPUTED_VALUE"""),"株式会社オープンアップネクストエンジニア様の社宅")</f>
        <v>株式会社オープンアップネクストエンジニア様の社宅</v>
      </c>
      <c r="Y537" s="6" t="str">
        <f aca="false">IFERROR(__xludf.dummyfunction("""COMPUTED_VALUE"""),"現在レンタル中です。
全て返却したいです。
ガスレンジ
電子レンジ
冷蔵庫
洗濯機")</f>
        <v>現在レンタル中です。
全て返却したいです。
ガスレンジ
電子レンジ
冷蔵庫
洗濯機</v>
      </c>
      <c r="Z537" s="6" t="str">
        <f aca="false">IFERROR(__xludf.dummyfunction("""COMPUTED_VALUE"""),"希望する")</f>
        <v>希望する</v>
      </c>
      <c r="AA537" s="6" t="str">
        <f aca="false">IFERROR(__xludf.dummyfunction("""COMPUTED_VALUE"""),"単身")</f>
        <v>単身</v>
      </c>
      <c r="AB537" s="6"/>
      <c r="AC537" s="6"/>
      <c r="AD537" s="6"/>
      <c r="AE537" s="6" t="str">
        <f aca="false">IFERROR(__xludf.dummyfunction("""COMPUTED_VALUE"""),"確認しました。")</f>
        <v>確認しました。</v>
      </c>
      <c r="AF537" s="6" t="str">
        <f aca="false">IFERROR(__xludf.dummyfunction("""COMPUTED_VALUE"""),"社宅基準の内容について確認しました")</f>
        <v>社宅基準の内容について確認しました</v>
      </c>
      <c r="AG537" s="6" t="str">
        <f aca="false">IFERROR(__xludf.dummyfunction("""COMPUTED_VALUE"""),"入居のしおりの内容についてご確認しました")</f>
        <v>入居のしおりの内容についてご確認しました</v>
      </c>
      <c r="AH537" s="6" t="str">
        <f aca="false">IFERROR(__xludf.dummyfunction("""COMPUTED_VALUE"""),"確認しました")</f>
        <v>確認しました</v>
      </c>
      <c r="AI537" s="6"/>
      <c r="AJ537" s="6" t="str">
        <v/>
      </c>
      <c r="AK537" s="6" t="str">
        <v/>
      </c>
      <c r="AL537" s="6" t="str">
        <v/>
      </c>
      <c r="AM537" s="6" t="str">
        <v/>
      </c>
      <c r="AN537" s="6" t="n">
        <f aca="false">FALSE()</f>
        <v>0</v>
      </c>
    </row>
    <row r="538" customFormat="false" ht="52.5" hidden="false" customHeight="true" outlineLevel="0" collapsed="false">
      <c r="A538" s="6" t="str">
        <f aca="false">IFERROR(__xludf.dummyfunction("""COMPUTED_VALUE"""),"2026/04/08 22:13:10")</f>
        <v>2026/04/08 22:13:10</v>
      </c>
      <c r="B538" s="6"/>
      <c r="C538" s="6" t="str">
        <f aca="false">IFERROR(__xludf.dummyfunction("""COMPUTED_VALUE"""),"72281")</f>
        <v>72281</v>
      </c>
      <c r="D538" s="6"/>
      <c r="E538" s="6"/>
      <c r="F538" s="6"/>
      <c r="G538" s="6" t="str">
        <f aca="false">IFERROR(__xludf.dummyfunction("""COMPUTED_VALUE"""),"2026/04/25")</f>
        <v>2026/04/25</v>
      </c>
      <c r="H538" s="6" t="str">
        <f aca="false">IFERROR(__xludf.dummyfunction("""COMPUTED_VALUE"""),"必要")</f>
        <v>必要</v>
      </c>
      <c r="I538" s="6" t="str">
        <f aca="false">IFERROR(__xludf.dummyfunction("""COMPUTED_VALUE"""),"女性")</f>
        <v>女性</v>
      </c>
      <c r="J538" s="6" t="str">
        <f aca="false">IFERROR(__xludf.dummyfunction("""COMPUTED_VALUE"""),"日本")</f>
        <v>日本</v>
      </c>
      <c r="K538" s="6" t="str">
        <f aca="false">IFERROR(__xludf.dummyfunction("""COMPUTED_VALUE"""),"90")</f>
        <v>90</v>
      </c>
      <c r="L538" s="6" t="str">
        <f aca="false">IFERROR(__xludf.dummyfunction("""COMPUTED_VALUE"""),"冷蔵庫(家族用)、洗濯機、テレビ50型×1、パソコン、電子レンジ×1、トースター、ポット、サーキュレーター、加湿器、掃除機")</f>
        <v>冷蔵庫(家族用)、洗濯機、テレビ50型×1、パソコン、電子レンジ×1、トースター、ポット、サーキュレーター、加湿器、掃除機</v>
      </c>
      <c r="M538" s="6" t="str">
        <f aca="false">IFERROR(__xludf.dummyfunction("""COMPUTED_VALUE"""),"ベット(ワイドダブル)、ソファ(3人掛け)、食器棚(横幅940・奥行440・高さ1830)、ラック(横幅670・奥行310・高さ1530)、壁掛けのテレビ台(横幅700・奥行470・高さ2040)、本棚(横幅60・奥行300・高さ1810)、デスク(横幅1200・奥行550・高さ720)、テーブル×3、敷布団、椅子2脚、ハンガーラック、タンス(横幅530・奥行400・高さ1000)、パーテーション(横幅660・奥行30・高さ1970)、チェア(横幅700・奥行670・高さ1150)")</f>
        <v>ベット(ワイドダブル)、ソファ(3人掛け)、食器棚(横幅940・奥行440・高さ1830)、ラック(横幅670・奥行310・高さ1530)、壁掛けのテレビ台(横幅700・奥行470・高さ2040)、本棚(横幅60・奥行300・高さ1810)、デスク(横幅1200・奥行550・高さ720)、テーブル×3、敷布団、椅子2脚、ハンガーラック、タンス(横幅530・奥行400・高さ1000)、パーテーション(横幅660・奥行30・高さ1970)、チェア(横幅700・奥行670・高さ1150)</v>
      </c>
      <c r="N538" s="6" t="str">
        <f aca="false">IFERROR(__xludf.dummyfunction("""COMPUTED_VALUE"""),"自転車")</f>
        <v>自転車</v>
      </c>
      <c r="O538" s="6" t="str">
        <f aca="false">IFERROR(__xludf.dummyfunction("""COMPUTED_VALUE"""),"必要")</f>
        <v>必要</v>
      </c>
      <c r="P538" s="6" t="str">
        <f aca="false">IFERROR(__xludf.dummyfunction("""COMPUTED_VALUE"""),"日産、ノート")</f>
        <v>日産、ノート</v>
      </c>
      <c r="Q538" s="6" t="str">
        <f aca="false">IFERROR(__xludf.dummyfunction("""COMPUTED_VALUE"""),"ゆ21-22")</f>
        <v>ゆ21-22</v>
      </c>
      <c r="R538" s="6" t="str">
        <f aca="false">IFERROR(__xludf.dummyfunction("""COMPUTED_VALUE"""),"シルバー")</f>
        <v>シルバー</v>
      </c>
      <c r="S538" s="6" t="str">
        <f aca="false">IFERROR(__xludf.dummyfunction("""COMPUTED_VALUE"""),"家具家電なし社宅")</f>
        <v>家具家電なし社宅</v>
      </c>
      <c r="T538" s="6" t="str">
        <f aca="false">IFERROR(__xludf.dummyfunction("""COMPUTED_VALUE"""),"利用しない")</f>
        <v>利用しない</v>
      </c>
      <c r="U538" s="6"/>
      <c r="V538" s="6" t="str">
        <f aca="false">IFERROR(__xludf.dummyfunction("""COMPUTED_VALUE"""),"電車")</f>
        <v>電車</v>
      </c>
      <c r="W538" s="6"/>
      <c r="X538" s="6" t="str">
        <f aca="false">IFERROR(__xludf.dummyfunction("""COMPUTED_VALUE"""),"ご自身で契約中の物件")</f>
        <v>ご自身で契約中の物件</v>
      </c>
      <c r="Y538" s="6"/>
      <c r="Z538" s="6" t="str">
        <f aca="false">IFERROR(__xludf.dummyfunction("""COMPUTED_VALUE"""),"希望する")</f>
        <v>希望する</v>
      </c>
      <c r="AA538" s="6" t="str">
        <f aca="false">IFERROR(__xludf.dummyfunction("""COMPUTED_VALUE"""),"家族")</f>
        <v>家族</v>
      </c>
      <c r="AB538" s="6" t="str">
        <f aca="false">IFERROR(__xludf.dummyfunction("""COMPUTED_VALUE"""),"氏名：清田亜希
フリガナ：キヨタアキ
生年月日：1998/10/11
携帯番号：080-5326-1348
続柄：本人
氏名：中西利樹
フリガナ：ナカニシリキ
生年月日：1998/1/17
携帯番号：080-9426-5786
続柄：夫")</f>
        <v>氏名：清田亜希
フリガナ：キヨタアキ
生年月日：1998/10/11
携帯番号：080-5326-1348
続柄：本人
氏名：中西利樹
フリガナ：ナカニシリキ
生年月日：1998/1/17
携帯番号：080-9426-5786
続柄：夫</v>
      </c>
      <c r="AC538" s="6"/>
      <c r="AD538" s="6" t="str">
        <f aca="false">IFERROR(__xludf.dummyfunction("""COMPUTED_VALUE"""),"こちらでも物件探してみたのですが、下記の物件は社宅として借りれますでしょうか。
・メゾンルミネ 大阪府高槻市京口町
・高槻センチュリーマンション 大阪府高槻市千代田町
・グレーヒル香露園 大阪府摂津市香露園
・エステート 大阪府摂津市庄屋2丁目
・旭エルフ 大阪府茨木市総持寺1丁目
〇物件の条件
・阪急とJRが徒歩10分以内
・トイレ、お風呂別
・鉄筋
・3階以上の物件はエレベーター有り
・2LDK以上
・エアコン無くても可")</f>
        <v>こちらでも物件探してみたのですが、下記の物件は社宅として借りれますでしょうか。
・メゾンルミネ 大阪府高槻市京口町
・高槻センチュリーマンション 大阪府高槻市千代田町
・グレーヒル香露園 大阪府摂津市香露園
・エステート 大阪府摂津市庄屋2丁目
・旭エルフ 大阪府茨木市総持寺1丁目
〇物件の条件
・阪急とJRが徒歩10分以内
・トイレ、お風呂別
・鉄筋
・3階以上の物件はエレベーター有り
・2LDK以上
・エアコン無くても可</v>
      </c>
      <c r="AE538" s="6" t="str">
        <f aca="false">IFERROR(__xludf.dummyfunction("""COMPUTED_VALUE"""),"確認しました。")</f>
        <v>確認しました。</v>
      </c>
      <c r="AF538" s="6" t="str">
        <f aca="false">IFERROR(__xludf.dummyfunction("""COMPUTED_VALUE"""),"社宅基準の内容について確認しました")</f>
        <v>社宅基準の内容について確認しました</v>
      </c>
      <c r="AG538" s="6" t="str">
        <f aca="false">IFERROR(__xludf.dummyfunction("""COMPUTED_VALUE"""),"入居のしおりの内容についてご確認しました")</f>
        <v>入居のしおりの内容についてご確認しました</v>
      </c>
      <c r="AH538" s="6" t="str">
        <f aca="false">IFERROR(__xludf.dummyfunction("""COMPUTED_VALUE"""),"確認しました")</f>
        <v>確認しました</v>
      </c>
      <c r="AI538" s="6"/>
      <c r="AJ538" s="6" t="str">
        <v/>
      </c>
      <c r="AK538" s="6" t="str">
        <v/>
      </c>
      <c r="AL538" s="6" t="str">
        <v/>
      </c>
      <c r="AM538" s="6" t="str">
        <v/>
      </c>
      <c r="AN538" s="6" t="n">
        <f aca="false">FALSE()</f>
        <v>0</v>
      </c>
    </row>
    <row r="539" customFormat="false" ht="52.5" hidden="false" customHeight="true" outlineLevel="0" collapsed="false">
      <c r="A539" s="6" t="str">
        <f aca="false">IFERROR(__xludf.dummyfunction("""COMPUTED_VALUE"""),"2026/04/09 12:35:37")</f>
        <v>2026/04/09 12:35:37</v>
      </c>
      <c r="B539" s="6"/>
      <c r="C539" s="6" t="str">
        <f aca="false">IFERROR(__xludf.dummyfunction("""COMPUTED_VALUE"""),"72223")</f>
        <v>72223</v>
      </c>
      <c r="D539" s="6"/>
      <c r="E539" s="6"/>
      <c r="F539" s="6"/>
      <c r="G539" s="6" t="str">
        <f aca="false">IFERROR(__xludf.dummyfunction("""COMPUTED_VALUE"""),"2026/04/20")</f>
        <v>2026/04/20</v>
      </c>
      <c r="H539" s="6" t="str">
        <f aca="false">IFERROR(__xludf.dummyfunction("""COMPUTED_VALUE"""),"必要")</f>
        <v>必要</v>
      </c>
      <c r="I539" s="6" t="str">
        <f aca="false">IFERROR(__xludf.dummyfunction("""COMPUTED_VALUE"""),"男性")</f>
        <v>男性</v>
      </c>
      <c r="J539" s="6" t="str">
        <f aca="false">IFERROR(__xludf.dummyfunction("""COMPUTED_VALUE"""),"日本")</f>
        <v>日本</v>
      </c>
      <c r="K539" s="6" t="str">
        <f aca="false">IFERROR(__xludf.dummyfunction("""COMPUTED_VALUE"""),"40")</f>
        <v>40</v>
      </c>
      <c r="L539" s="6" t="str">
        <f aca="false">IFERROR(__xludf.dummyfunction("""COMPUTED_VALUE"""),"電子レンジ、")</f>
        <v>電子レンジ、</v>
      </c>
      <c r="M539" s="6" t="str">
        <f aca="false">IFERROR(__xludf.dummyfunction("""COMPUTED_VALUE"""),"寝具(シングル　マットレス)")</f>
        <v>寝具(シングル　マットレス)</v>
      </c>
      <c r="N539" s="6" t="str">
        <f aca="false">IFERROR(__xludf.dummyfunction("""COMPUTED_VALUE"""),"ロードバイク")</f>
        <v>ロードバイク</v>
      </c>
      <c r="O539" s="6" t="str">
        <f aca="false">IFERROR(__xludf.dummyfunction("""COMPUTED_VALUE"""),"不要")</f>
        <v>不要</v>
      </c>
      <c r="P539" s="6"/>
      <c r="Q539" s="6"/>
      <c r="R539" s="6"/>
      <c r="S539" s="6" t="str">
        <f aca="false">IFERROR(__xludf.dummyfunction("""COMPUTED_VALUE"""),"家具家電付き社宅")</f>
        <v>家具家電付き社宅</v>
      </c>
      <c r="T539" s="6" t="str">
        <f aca="false">IFERROR(__xludf.dummyfunction("""COMPUTED_VALUE"""),"利用する")</f>
        <v>利用する</v>
      </c>
      <c r="U539" s="6" t="str">
        <f aca="false">IFERROR(__xludf.dummyfunction("""COMPUTED_VALUE"""),"冷蔵庫80l、洗濯機4.2kg
上記家具が既に備付けの場合は希望しない")</f>
        <v>冷蔵庫80l、洗濯機4.2kg
上記家具が既に備付けの場合は希望しない</v>
      </c>
      <c r="V539" s="6" t="str">
        <f aca="false">IFERROR(__xludf.dummyfunction("""COMPUTED_VALUE"""),"自動車, 社用バス")</f>
        <v>自動車, 社用バス</v>
      </c>
      <c r="W539" s="6"/>
      <c r="X539" s="6" t="str">
        <f aca="false">IFERROR(__xludf.dummyfunction("""COMPUTED_VALUE"""),"ご自身で契約中の物件")</f>
        <v>ご自身で契約中の物件</v>
      </c>
      <c r="Y539" s="6"/>
      <c r="Z539" s="6" t="str">
        <f aca="false">IFERROR(__xludf.dummyfunction("""COMPUTED_VALUE"""),"希望する")</f>
        <v>希望する</v>
      </c>
      <c r="AA539" s="6" t="str">
        <f aca="false">IFERROR(__xludf.dummyfunction("""COMPUTED_VALUE"""),"単身")</f>
        <v>単身</v>
      </c>
      <c r="AB539" s="6"/>
      <c r="AC539" s="6"/>
      <c r="AD539" s="6"/>
      <c r="AE539" s="6" t="str">
        <f aca="false">IFERROR(__xludf.dummyfunction("""COMPUTED_VALUE"""),"確認しました。")</f>
        <v>確認しました。</v>
      </c>
      <c r="AF539" s="6" t="str">
        <f aca="false">IFERROR(__xludf.dummyfunction("""COMPUTED_VALUE"""),"社宅基準の内容について確認しました")</f>
        <v>社宅基準の内容について確認しました</v>
      </c>
      <c r="AG539" s="6" t="str">
        <f aca="false">IFERROR(__xludf.dummyfunction("""COMPUTED_VALUE"""),"入居のしおりの内容についてご確認しました")</f>
        <v>入居のしおりの内容についてご確認しました</v>
      </c>
      <c r="AH539" s="6" t="str">
        <f aca="false">IFERROR(__xludf.dummyfunction("""COMPUTED_VALUE"""),"確認しました")</f>
        <v>確認しました</v>
      </c>
      <c r="AI539" s="6"/>
      <c r="AJ539" s="6" t="str">
        <v/>
      </c>
      <c r="AK539" s="6" t="str">
        <v/>
      </c>
      <c r="AL539" s="6" t="str">
        <v/>
      </c>
      <c r="AM539" s="6" t="str">
        <v/>
      </c>
      <c r="AN539" s="6" t="n">
        <f aca="false">FALSE()</f>
        <v>0</v>
      </c>
    </row>
    <row r="540" customFormat="false" ht="52.5" hidden="false" customHeight="true" outlineLevel="0" collapsed="false">
      <c r="A540" s="6" t="str">
        <f aca="false">IFERROR(__xludf.dummyfunction("""COMPUTED_VALUE"""),"2026/04/09 12:58:03")</f>
        <v>2026/04/09 12:58:03</v>
      </c>
      <c r="B540" s="6"/>
      <c r="C540" s="6" t="str">
        <f aca="false">IFERROR(__xludf.dummyfunction("""COMPUTED_VALUE"""),"72300")</f>
        <v>72300</v>
      </c>
      <c r="D540" s="6"/>
      <c r="E540" s="6"/>
      <c r="F540" s="6"/>
      <c r="G540" s="6" t="str">
        <f aca="false">IFERROR(__xludf.dummyfunction("""COMPUTED_VALUE"""),"2026/04/27")</f>
        <v>2026/04/27</v>
      </c>
      <c r="H540" s="6" t="str">
        <f aca="false">IFERROR(__xludf.dummyfunction("""COMPUTED_VALUE"""),"必要")</f>
        <v>必要</v>
      </c>
      <c r="I540" s="6" t="str">
        <f aca="false">IFERROR(__xludf.dummyfunction("""COMPUTED_VALUE"""),"男性")</f>
        <v>男性</v>
      </c>
      <c r="J540" s="6" t="str">
        <f aca="false">IFERROR(__xludf.dummyfunction("""COMPUTED_VALUE"""),"日本")</f>
        <v>日本</v>
      </c>
      <c r="K540" s="6" t="str">
        <f aca="false">IFERROR(__xludf.dummyfunction("""COMPUTED_VALUE"""),"6")</f>
        <v>6</v>
      </c>
      <c r="L540" s="6" t="str">
        <f aca="false">IFERROR(__xludf.dummyfunction("""COMPUTED_VALUE"""),"ゲーミングPC、モニター2枚")</f>
        <v>ゲーミングPC、モニター2枚</v>
      </c>
      <c r="M540" s="6" t="str">
        <f aca="false">IFERROR(__xludf.dummyfunction("""COMPUTED_VALUE"""),"マットレス、掛け布団2枚、除湿シート、抱き枕")</f>
        <v>マットレス、掛け布団2枚、除湿シート、抱き枕</v>
      </c>
      <c r="N540" s="6"/>
      <c r="O540" s="6" t="str">
        <f aca="false">IFERROR(__xludf.dummyfunction("""COMPUTED_VALUE"""),"不要")</f>
        <v>不要</v>
      </c>
      <c r="P540" s="6"/>
      <c r="Q540" s="6"/>
      <c r="R540" s="6"/>
      <c r="S540" s="6" t="str">
        <f aca="false">IFERROR(__xludf.dummyfunction("""COMPUTED_VALUE"""),"家具家電なし社宅")</f>
        <v>家具家電なし社宅</v>
      </c>
      <c r="T540" s="6" t="str">
        <f aca="false">IFERROR(__xludf.dummyfunction("""COMPUTED_VALUE"""),"利用しない")</f>
        <v>利用しない</v>
      </c>
      <c r="U540" s="6"/>
      <c r="V540" s="6" t="str">
        <f aca="false">IFERROR(__xludf.dummyfunction("""COMPUTED_VALUE"""),"徒歩, 電車, バス")</f>
        <v>徒歩, 電車, バス</v>
      </c>
      <c r="W540" s="6"/>
      <c r="X540" s="6" t="str">
        <f aca="false">IFERROR(__xludf.dummyfunction("""COMPUTED_VALUE"""),"実家")</f>
        <v>実家</v>
      </c>
      <c r="Y540" s="6"/>
      <c r="Z540" s="6" t="str">
        <f aca="false">IFERROR(__xludf.dummyfunction("""COMPUTED_VALUE"""),"希望する")</f>
        <v>希望する</v>
      </c>
      <c r="AA540" s="6" t="str">
        <f aca="false">IFERROR(__xludf.dummyfunction("""COMPUTED_VALUE"""),"単身")</f>
        <v>単身</v>
      </c>
      <c r="AB540" s="6"/>
      <c r="AC540" s="6"/>
      <c r="AD540" s="6" t="str">
        <f aca="false">IFERROR(__xludf.dummyfunction("""COMPUTED_VALUE"""),"都市ガス、強めのネット回線が引ける物件でお願いいたします。出来れば壁も厚めでお願いいたします。")</f>
        <v>都市ガス、強めのネット回線が引ける物件でお願いいたします。出来れば壁も厚めでお願いいたします。</v>
      </c>
      <c r="AE540" s="6" t="str">
        <f aca="false">IFERROR(__xludf.dummyfunction("""COMPUTED_VALUE"""),"確認しました。")</f>
        <v>確認しました。</v>
      </c>
      <c r="AF540" s="6" t="str">
        <f aca="false">IFERROR(__xludf.dummyfunction("""COMPUTED_VALUE"""),"社宅基準の内容について確認しました")</f>
        <v>社宅基準の内容について確認しました</v>
      </c>
      <c r="AG540" s="6" t="str">
        <f aca="false">IFERROR(__xludf.dummyfunction("""COMPUTED_VALUE"""),"入居のしおりの内容についてご確認しました")</f>
        <v>入居のしおりの内容についてご確認しました</v>
      </c>
      <c r="AH540" s="6" t="str">
        <f aca="false">IFERROR(__xludf.dummyfunction("""COMPUTED_VALUE"""),"確認しました")</f>
        <v>確認しました</v>
      </c>
      <c r="AI540" s="6"/>
      <c r="AJ540" s="6" t="str">
        <v/>
      </c>
      <c r="AK540" s="6" t="str">
        <v/>
      </c>
      <c r="AL540" s="6" t="str">
        <v/>
      </c>
      <c r="AM540" s="6" t="str">
        <v/>
      </c>
      <c r="AN540" s="6" t="n">
        <f aca="false">FALSE()</f>
        <v>0</v>
      </c>
    </row>
    <row r="541" customFormat="false" ht="52.5" hidden="false" customHeight="true" outlineLevel="0" collapsed="false">
      <c r="A541" s="6" t="str">
        <f aca="false">IFERROR(__xludf.dummyfunction("""COMPUTED_VALUE"""),"2026/04/09 13:57:39")</f>
        <v>2026/04/09 13:57:39</v>
      </c>
      <c r="B541" s="6"/>
      <c r="C541" s="6" t="str">
        <f aca="false">IFERROR(__xludf.dummyfunction("""COMPUTED_VALUE"""),"72334")</f>
        <v>72334</v>
      </c>
      <c r="D541" s="6"/>
      <c r="E541" s="6"/>
      <c r="F541" s="6"/>
      <c r="G541" s="6" t="str">
        <f aca="false">IFERROR(__xludf.dummyfunction("""COMPUTED_VALUE"""),"2026/05/30")</f>
        <v>2026/05/30</v>
      </c>
      <c r="H541" s="6" t="str">
        <f aca="false">IFERROR(__xludf.dummyfunction("""COMPUTED_VALUE"""),"必要")</f>
        <v>必要</v>
      </c>
      <c r="I541" s="6" t="str">
        <f aca="false">IFERROR(__xludf.dummyfunction("""COMPUTED_VALUE"""),"男性")</f>
        <v>男性</v>
      </c>
      <c r="J541" s="6" t="str">
        <f aca="false">IFERROR(__xludf.dummyfunction("""COMPUTED_VALUE"""),"ベトナム")</f>
        <v>ベトナム</v>
      </c>
      <c r="K541" s="6" t="str">
        <f aca="false">IFERROR(__xludf.dummyfunction("""COMPUTED_VALUE"""),"20")</f>
        <v>20</v>
      </c>
      <c r="L541" s="6" t="str">
        <f aca="false">IFERROR(__xludf.dummyfunction("""COMPUTED_VALUE"""),"冷蔵庫1台、洗濯機1台、炊飯器1台")</f>
        <v>冷蔵庫1台、洗濯機1台、炊飯器1台</v>
      </c>
      <c r="M541" s="6" t="str">
        <f aca="false">IFERROR(__xludf.dummyfunction("""COMPUTED_VALUE"""),"ソファ1台　２人、椅子3台、机1台、ベッドダブル２台、ＢＢＱ用品2台")</f>
        <v>ソファ1台　２人、椅子3台、机1台、ベッドダブル２台、ＢＢＱ用品2台</v>
      </c>
      <c r="N541" s="6" t="str">
        <f aca="false">IFERROR(__xludf.dummyfunction("""COMPUTED_VALUE"""),"自転車3台")</f>
        <v>自転車3台</v>
      </c>
      <c r="O541" s="6" t="str">
        <f aca="false">IFERROR(__xludf.dummyfunction("""COMPUTED_VALUE"""),"必要")</f>
        <v>必要</v>
      </c>
      <c r="P541" s="6" t="str">
        <f aca="false">IFERROR(__xludf.dummyfunction("""COMPUTED_VALUE"""),"セレナ　日産")</f>
        <v>セレナ　日産</v>
      </c>
      <c r="Q541" s="6" t="str">
        <f aca="false">IFERROR(__xludf.dummyfunction("""COMPUTED_VALUE"""),"神戸12ｰ12")</f>
        <v>神戸12ｰ12</v>
      </c>
      <c r="R541" s="6" t="str">
        <f aca="false">IFERROR(__xludf.dummyfunction("""COMPUTED_VALUE"""),"グレー")</f>
        <v>グレー</v>
      </c>
      <c r="S541" s="6" t="str">
        <f aca="false">IFERROR(__xludf.dummyfunction("""COMPUTED_VALUE"""),"家具家電なし社宅")</f>
        <v>家具家電なし社宅</v>
      </c>
      <c r="T541" s="6" t="str">
        <f aca="false">IFERROR(__xludf.dummyfunction("""COMPUTED_VALUE"""),"利用しない")</f>
        <v>利用しない</v>
      </c>
      <c r="U541" s="6"/>
      <c r="V541" s="6" t="str">
        <f aca="false">IFERROR(__xludf.dummyfunction("""COMPUTED_VALUE"""),"バス")</f>
        <v>バス</v>
      </c>
      <c r="W541" s="6"/>
      <c r="X541" s="6" t="str">
        <f aca="false">IFERROR(__xludf.dummyfunction("""COMPUTED_VALUE"""),"株式会社オープンアップネクストエンジニア様の社宅")</f>
        <v>株式会社オープンアップネクストエンジニア様の社宅</v>
      </c>
      <c r="Y541" s="6" t="str">
        <f aca="false">IFERROR(__xludf.dummyfunction("""COMPUTED_VALUE"""),"利用なし")</f>
        <v>利用なし</v>
      </c>
      <c r="Z541" s="6" t="str">
        <f aca="false">IFERROR(__xludf.dummyfunction("""COMPUTED_VALUE"""),"希望しない")</f>
        <v>希望しない</v>
      </c>
      <c r="AA541" s="6" t="str">
        <f aca="false">IFERROR(__xludf.dummyfunction("""COMPUTED_VALUE"""),"家族")</f>
        <v>家族</v>
      </c>
      <c r="AB541" s="6" t="str">
        <f aca="false">IFERROR(__xludf.dummyfunction("""COMPUTED_VALUE"""),"氏名：Pham Phuong Thuy 
フリガナ：ファン　フオン　テイ
生年月日：1992年12月26日
携帯番号：07040230602
続柄：奥さん")</f>
        <v>氏名：Pham Phuong Thuy 
フリガナ：ファン　フオン　テイ
生年月日：1992年12月26日
携帯番号：07040230602
続柄：奥さん</v>
      </c>
      <c r="AC541" s="6"/>
      <c r="AD541" s="6"/>
      <c r="AE541" s="6" t="str">
        <f aca="false">IFERROR(__xludf.dummyfunction("""COMPUTED_VALUE"""),"確認しました。")</f>
        <v>確認しました。</v>
      </c>
      <c r="AF541" s="6" t="str">
        <f aca="false">IFERROR(__xludf.dummyfunction("""COMPUTED_VALUE"""),"社宅基準の内容について確認しました")</f>
        <v>社宅基準の内容について確認しました</v>
      </c>
      <c r="AG541" s="6" t="str">
        <f aca="false">IFERROR(__xludf.dummyfunction("""COMPUTED_VALUE"""),"入居のしおりの内容についてご確認しました")</f>
        <v>入居のしおりの内容についてご確認しました</v>
      </c>
      <c r="AH541" s="6" t="str">
        <f aca="false">IFERROR(__xludf.dummyfunction("""COMPUTED_VALUE"""),"確認しました")</f>
        <v>確認しました</v>
      </c>
      <c r="AI541" s="6"/>
      <c r="AJ541" s="6" t="str">
        <v/>
      </c>
      <c r="AK541" s="6" t="str">
        <v/>
      </c>
      <c r="AL541" s="6" t="str">
        <v/>
      </c>
      <c r="AM541" s="6" t="str">
        <v/>
      </c>
      <c r="AN541" s="6" t="n">
        <f aca="false">FALSE()</f>
        <v>0</v>
      </c>
    </row>
    <row r="542" customFormat="false" ht="52.5" hidden="false" customHeight="true" outlineLevel="0" collapsed="false">
      <c r="A542" s="6" t="str">
        <f aca="false">IFERROR(__xludf.dummyfunction("""COMPUTED_VALUE"""),"2026/04/09 14:58:56")</f>
        <v>2026/04/09 14:58:56</v>
      </c>
      <c r="B542" s="6"/>
      <c r="C542" s="6" t="str">
        <f aca="false">IFERROR(__xludf.dummyfunction("""COMPUTED_VALUE"""),"72336")</f>
        <v>72336</v>
      </c>
      <c r="D542" s="6"/>
      <c r="E542" s="6"/>
      <c r="F542" s="6"/>
      <c r="G542" s="6" t="str">
        <f aca="false">IFERROR(__xludf.dummyfunction("""COMPUTED_VALUE"""),"2026/05/04")</f>
        <v>2026/05/04</v>
      </c>
      <c r="H542" s="6" t="str">
        <f aca="false">IFERROR(__xludf.dummyfunction("""COMPUTED_VALUE"""),"必要")</f>
        <v>必要</v>
      </c>
      <c r="I542" s="6" t="str">
        <f aca="false">IFERROR(__xludf.dummyfunction("""COMPUTED_VALUE"""),"男性")</f>
        <v>男性</v>
      </c>
      <c r="J542" s="6" t="str">
        <f aca="false">IFERROR(__xludf.dummyfunction("""COMPUTED_VALUE"""),"日本")</f>
        <v>日本</v>
      </c>
      <c r="K542" s="6" t="str">
        <f aca="false">IFERROR(__xludf.dummyfunction("""COMPUTED_VALUE"""),"10")</f>
        <v>10</v>
      </c>
      <c r="L542" s="6" t="str">
        <f aca="false">IFERROR(__xludf.dummyfunction("""COMPUTED_VALUE"""),"冷蔵庫単身用(2ドア)電子レンジ")</f>
        <v>冷蔵庫単身用(2ドア)電子レンジ</v>
      </c>
      <c r="M542" s="6" t="str">
        <f aca="false">IFERROR(__xludf.dummyfunction("""COMPUTED_VALUE"""),"比較的小さい棚が2つ")</f>
        <v>比較的小さい棚が2つ</v>
      </c>
      <c r="N542" s="6"/>
      <c r="O542" s="6" t="str">
        <f aca="false">IFERROR(__xludf.dummyfunction("""COMPUTED_VALUE"""),"不要")</f>
        <v>不要</v>
      </c>
      <c r="P542" s="6"/>
      <c r="Q542" s="6"/>
      <c r="R542" s="6"/>
      <c r="S542" s="6" t="str">
        <f aca="false">IFERROR(__xludf.dummyfunction("""COMPUTED_VALUE"""),"家具家電付き社宅")</f>
        <v>家具家電付き社宅</v>
      </c>
      <c r="T542" s="6" t="str">
        <f aca="false">IFERROR(__xludf.dummyfunction("""COMPUTED_VALUE"""),"利用しない")</f>
        <v>利用しない</v>
      </c>
      <c r="U542" s="6"/>
      <c r="V542" s="6" t="str">
        <f aca="false">IFERROR(__xludf.dummyfunction("""COMPUTED_VALUE"""),"徒歩, 自転車")</f>
        <v>徒歩, 自転車</v>
      </c>
      <c r="W542" s="6"/>
      <c r="X542" s="6" t="str">
        <f aca="false">IFERROR(__xludf.dummyfunction("""COMPUTED_VALUE"""),"実家")</f>
        <v>実家</v>
      </c>
      <c r="Y542" s="6"/>
      <c r="Z542" s="6" t="str">
        <f aca="false">IFERROR(__xludf.dummyfunction("""COMPUTED_VALUE"""),"希望する")</f>
        <v>希望する</v>
      </c>
      <c r="AA542" s="6" t="str">
        <f aca="false">IFERROR(__xludf.dummyfunction("""COMPUTED_VALUE"""),"単身")</f>
        <v>単身</v>
      </c>
      <c r="AB542" s="6"/>
      <c r="AC542" s="6"/>
      <c r="AD542" s="6"/>
      <c r="AE542" s="6" t="str">
        <f aca="false">IFERROR(__xludf.dummyfunction("""COMPUTED_VALUE"""),"確認しました。")</f>
        <v>確認しました。</v>
      </c>
      <c r="AF542" s="6" t="str">
        <f aca="false">IFERROR(__xludf.dummyfunction("""COMPUTED_VALUE"""),"社宅基準の内容について確認しました")</f>
        <v>社宅基準の内容について確認しました</v>
      </c>
      <c r="AG542" s="6" t="str">
        <f aca="false">IFERROR(__xludf.dummyfunction("""COMPUTED_VALUE"""),"入居のしおりの内容についてご確認しました")</f>
        <v>入居のしおりの内容についてご確認しました</v>
      </c>
      <c r="AH542" s="6" t="str">
        <f aca="false">IFERROR(__xludf.dummyfunction("""COMPUTED_VALUE"""),"確認しました")</f>
        <v>確認しました</v>
      </c>
      <c r="AI542" s="6"/>
      <c r="AJ542" s="6" t="str">
        <v/>
      </c>
      <c r="AK542" s="6" t="str">
        <v/>
      </c>
      <c r="AL542" s="6" t="str">
        <v/>
      </c>
      <c r="AM542" s="6" t="str">
        <v/>
      </c>
      <c r="AN542" s="6" t="n">
        <f aca="false">FALSE()</f>
        <v>0</v>
      </c>
    </row>
    <row r="543" customFormat="false" ht="52.5" hidden="false" customHeight="true" outlineLevel="0" collapsed="false">
      <c r="A543" s="6" t="str">
        <f aca="false">IFERROR(__xludf.dummyfunction("""COMPUTED_VALUE"""),"2026/04/09 17:10:07")</f>
        <v>2026/04/09 17:10:07</v>
      </c>
      <c r="B543" s="6"/>
      <c r="C543" s="6" t="str">
        <f aca="false">IFERROR(__xludf.dummyfunction("""COMPUTED_VALUE"""),"72324")</f>
        <v>72324</v>
      </c>
      <c r="D543" s="6"/>
      <c r="E543" s="6"/>
      <c r="F543" s="6"/>
      <c r="G543" s="6" t="str">
        <f aca="false">IFERROR(__xludf.dummyfunction("""COMPUTED_VALUE"""),"2026/05/31")</f>
        <v>2026/05/31</v>
      </c>
      <c r="H543" s="6" t="str">
        <f aca="false">IFERROR(__xludf.dummyfunction("""COMPUTED_VALUE"""),"必要")</f>
        <v>必要</v>
      </c>
      <c r="I543" s="6" t="str">
        <f aca="false">IFERROR(__xludf.dummyfunction("""COMPUTED_VALUE"""),"男性")</f>
        <v>男性</v>
      </c>
      <c r="J543" s="6" t="str">
        <f aca="false">IFERROR(__xludf.dummyfunction("""COMPUTED_VALUE"""),"日本")</f>
        <v>日本</v>
      </c>
      <c r="K543" s="6" t="str">
        <f aca="false">IFERROR(__xludf.dummyfunction("""COMPUTED_VALUE"""),"6")</f>
        <v>6</v>
      </c>
      <c r="L543" s="6" t="str">
        <f aca="false">IFERROR(__xludf.dummyfunction("""COMPUTED_VALUE"""),"オイルヒーター1点")</f>
        <v>オイルヒーター1点</v>
      </c>
      <c r="M543" s="6" t="str">
        <f aca="false">IFERROR(__xludf.dummyfunction("""COMPUTED_VALUE"""),"座椅子1点")</f>
        <v>座椅子1点</v>
      </c>
      <c r="N543" s="6" t="str">
        <f aca="false">IFERROR(__xludf.dummyfunction("""COMPUTED_VALUE"""),"なし")</f>
        <v>なし</v>
      </c>
      <c r="O543" s="6" t="str">
        <f aca="false">IFERROR(__xludf.dummyfunction("""COMPUTED_VALUE"""),"不要")</f>
        <v>不要</v>
      </c>
      <c r="P543" s="6"/>
      <c r="Q543" s="6"/>
      <c r="R543" s="6"/>
      <c r="S543" s="6" t="str">
        <f aca="false">IFERROR(__xludf.dummyfunction("""COMPUTED_VALUE"""),"家具家電付き社宅")</f>
        <v>家具家電付き社宅</v>
      </c>
      <c r="T543" s="6" t="str">
        <f aca="false">IFERROR(__xludf.dummyfunction("""COMPUTED_VALUE"""),"利用しない")</f>
        <v>利用しない</v>
      </c>
      <c r="U543" s="6"/>
      <c r="V543" s="6" t="str">
        <f aca="false">IFERROR(__xludf.dummyfunction("""COMPUTED_VALUE"""),"徒歩, 電車, バス")</f>
        <v>徒歩, 電車, バス</v>
      </c>
      <c r="W543" s="6"/>
      <c r="X543" s="6" t="str">
        <f aca="false">IFERROR(__xludf.dummyfunction("""COMPUTED_VALUE"""),"ご自身で契約中の物件")</f>
        <v>ご自身で契約中の物件</v>
      </c>
      <c r="Y543" s="6"/>
      <c r="Z543" s="6" t="str">
        <f aca="false">IFERROR(__xludf.dummyfunction("""COMPUTED_VALUE"""),"希望する")</f>
        <v>希望する</v>
      </c>
      <c r="AA543" s="6" t="str">
        <f aca="false">IFERROR(__xludf.dummyfunction("""COMPUTED_VALUE"""),"単身")</f>
        <v>単身</v>
      </c>
      <c r="AB543" s="6"/>
      <c r="AC543" s="6"/>
      <c r="AD543" s="6"/>
      <c r="AE543" s="6" t="str">
        <f aca="false">IFERROR(__xludf.dummyfunction("""COMPUTED_VALUE"""),"確認しました。")</f>
        <v>確認しました。</v>
      </c>
      <c r="AF543" s="6" t="str">
        <f aca="false">IFERROR(__xludf.dummyfunction("""COMPUTED_VALUE"""),"社宅基準の内容について確認しました")</f>
        <v>社宅基準の内容について確認しました</v>
      </c>
      <c r="AG543" s="6" t="str">
        <f aca="false">IFERROR(__xludf.dummyfunction("""COMPUTED_VALUE"""),"入居のしおりの内容についてご確認しました")</f>
        <v>入居のしおりの内容についてご確認しました</v>
      </c>
      <c r="AH543" s="6" t="str">
        <f aca="false">IFERROR(__xludf.dummyfunction("""COMPUTED_VALUE"""),"確認しました")</f>
        <v>確認しました</v>
      </c>
      <c r="AI543" s="6"/>
      <c r="AJ543" s="6" t="str">
        <v/>
      </c>
      <c r="AK543" s="6" t="str">
        <v/>
      </c>
      <c r="AL543" s="6" t="str">
        <v/>
      </c>
      <c r="AM543" s="6" t="str">
        <v/>
      </c>
      <c r="AN543" s="6" t="n">
        <f aca="false">FALSE()</f>
        <v>0</v>
      </c>
    </row>
    <row r="544" customFormat="false" ht="52.5" hidden="false" customHeight="true" outlineLevel="0" collapsed="false">
      <c r="A544" s="6" t="str">
        <f aca="false">IFERROR(__xludf.dummyfunction("""COMPUTED_VALUE"""),"2026/04/09 17:23:20")</f>
        <v>2026/04/09 17:23:20</v>
      </c>
      <c r="B544" s="6"/>
      <c r="C544" s="6" t="str">
        <f aca="false">IFERROR(__xludf.dummyfunction("""COMPUTED_VALUE"""),"72326")</f>
        <v>72326</v>
      </c>
      <c r="D544" s="6"/>
      <c r="E544" s="6"/>
      <c r="F544" s="6"/>
      <c r="G544" s="6" t="str">
        <f aca="false">IFERROR(__xludf.dummyfunction("""COMPUTED_VALUE"""),"2026/04/30")</f>
        <v>2026/04/30</v>
      </c>
      <c r="H544" s="6" t="str">
        <f aca="false">IFERROR(__xludf.dummyfunction("""COMPUTED_VALUE"""),"必要")</f>
        <v>必要</v>
      </c>
      <c r="I544" s="6" t="str">
        <f aca="false">IFERROR(__xludf.dummyfunction("""COMPUTED_VALUE"""),"男性")</f>
        <v>男性</v>
      </c>
      <c r="J544" s="6" t="str">
        <f aca="false">IFERROR(__xludf.dummyfunction("""COMPUTED_VALUE"""),"日本")</f>
        <v>日本</v>
      </c>
      <c r="K544" s="6" t="str">
        <f aca="false">IFERROR(__xludf.dummyfunction("""COMPUTED_VALUE"""),"3")</f>
        <v>3</v>
      </c>
      <c r="L544" s="6" t="str">
        <f aca="false">IFERROR(__xludf.dummyfunction("""COMPUTED_VALUE"""),"なし")</f>
        <v>なし</v>
      </c>
      <c r="M544" s="6" t="str">
        <f aca="false">IFERROR(__xludf.dummyfunction("""COMPUTED_VALUE"""),"椅子(高さ約1.5m・横約50cm)")</f>
        <v>椅子(高さ約1.5m・横約50cm)</v>
      </c>
      <c r="N544" s="6"/>
      <c r="O544" s="6" t="str">
        <f aca="false">IFERROR(__xludf.dummyfunction("""COMPUTED_VALUE"""),"不要")</f>
        <v>不要</v>
      </c>
      <c r="P544" s="6"/>
      <c r="Q544" s="6"/>
      <c r="R544" s="6"/>
      <c r="S544" s="6" t="str">
        <f aca="false">IFERROR(__xludf.dummyfunction("""COMPUTED_VALUE"""),"家具家電なし社宅")</f>
        <v>家具家電なし社宅</v>
      </c>
      <c r="T544" s="6" t="str">
        <f aca="false">IFERROR(__xludf.dummyfunction("""COMPUTED_VALUE"""),"利用しない")</f>
        <v>利用しない</v>
      </c>
      <c r="U544" s="6"/>
      <c r="V544" s="6" t="str">
        <f aca="false">IFERROR(__xludf.dummyfunction("""COMPUTED_VALUE"""),"徒歩, 電車")</f>
        <v>徒歩, 電車</v>
      </c>
      <c r="W544" s="6"/>
      <c r="X544" s="6" t="str">
        <f aca="false">IFERROR(__xludf.dummyfunction("""COMPUTED_VALUE"""),"実家")</f>
        <v>実家</v>
      </c>
      <c r="Y544" s="6"/>
      <c r="Z544" s="6" t="str">
        <f aca="false">IFERROR(__xludf.dummyfunction("""COMPUTED_VALUE"""),"希望する")</f>
        <v>希望する</v>
      </c>
      <c r="AA544" s="6" t="str">
        <f aca="false">IFERROR(__xludf.dummyfunction("""COMPUTED_VALUE"""),"単身")</f>
        <v>単身</v>
      </c>
      <c r="AB544" s="6"/>
      <c r="AC544" s="6"/>
      <c r="AD544" s="6" t="str">
        <f aca="false">IFERROR(__xludf.dummyfunction("""COMPUTED_VALUE"""),"トイレと風呂は別でお願いします")</f>
        <v>トイレと風呂は別でお願いします</v>
      </c>
      <c r="AE544" s="6" t="str">
        <f aca="false">IFERROR(__xludf.dummyfunction("""COMPUTED_VALUE"""),"確認しました。")</f>
        <v>確認しました。</v>
      </c>
      <c r="AF544" s="6" t="str">
        <f aca="false">IFERROR(__xludf.dummyfunction("""COMPUTED_VALUE"""),"社宅基準の内容について確認しました")</f>
        <v>社宅基準の内容について確認しました</v>
      </c>
      <c r="AG544" s="6" t="str">
        <f aca="false">IFERROR(__xludf.dummyfunction("""COMPUTED_VALUE"""),"入居のしおりの内容についてご確認しました")</f>
        <v>入居のしおりの内容についてご確認しました</v>
      </c>
      <c r="AH544" s="6" t="str">
        <f aca="false">IFERROR(__xludf.dummyfunction("""COMPUTED_VALUE"""),"確認しました")</f>
        <v>確認しました</v>
      </c>
      <c r="AI544" s="6"/>
      <c r="AJ544" s="6" t="str">
        <v/>
      </c>
      <c r="AK544" s="6" t="str">
        <v/>
      </c>
      <c r="AL544" s="6" t="str">
        <v/>
      </c>
      <c r="AM544" s="6" t="str">
        <v/>
      </c>
      <c r="AN544" s="6" t="n">
        <f aca="false">FALSE()</f>
        <v>0</v>
      </c>
    </row>
    <row r="545" customFormat="false" ht="52.5" hidden="false" customHeight="true" outlineLevel="0" collapsed="false">
      <c r="A545" s="6" t="str">
        <f aca="false">IFERROR(__xludf.dummyfunction("""COMPUTED_VALUE"""),"2026/04/09 20:43:26")</f>
        <v>2026/04/09 20:43:26</v>
      </c>
      <c r="B545" s="6"/>
      <c r="C545" s="6" t="str">
        <f aca="false">IFERROR(__xludf.dummyfunction("""COMPUTED_VALUE"""),"72248")</f>
        <v>72248</v>
      </c>
      <c r="D545" s="6"/>
      <c r="E545" s="6"/>
      <c r="F545" s="6"/>
      <c r="G545" s="6" t="str">
        <f aca="false">IFERROR(__xludf.dummyfunction("""COMPUTED_VALUE"""),"2026/04/30")</f>
        <v>2026/04/30</v>
      </c>
      <c r="H545" s="6" t="str">
        <f aca="false">IFERROR(__xludf.dummyfunction("""COMPUTED_VALUE"""),"必要")</f>
        <v>必要</v>
      </c>
      <c r="I545" s="6" t="str">
        <f aca="false">IFERROR(__xludf.dummyfunction("""COMPUTED_VALUE"""),"女性")</f>
        <v>女性</v>
      </c>
      <c r="J545" s="6" t="str">
        <f aca="false">IFERROR(__xludf.dummyfunction("""COMPUTED_VALUE"""),"日本")</f>
        <v>日本</v>
      </c>
      <c r="K545" s="6" t="str">
        <f aca="false">IFERROR(__xludf.dummyfunction("""COMPUTED_VALUE"""),"16")</f>
        <v>16</v>
      </c>
      <c r="L545" s="6" t="str">
        <f aca="false">IFERROR(__xludf.dummyfunction("""COMPUTED_VALUE"""),"ヒーター ")</f>
        <v>ヒーター </v>
      </c>
      <c r="M545" s="6" t="str">
        <f aca="false">IFERROR(__xludf.dummyfunction("""COMPUTED_VALUE"""),"タンス(幅800mm、奥行500mm、高さ2500mmくらい)、チェスト(幅390mm、奥行500mm、高さ1000mm)")</f>
        <v>タンス(幅800mm、奥行500mm、高さ2500mmくらい)、チェスト(幅390mm、奥行500mm、高さ1000mm)</v>
      </c>
      <c r="N545" s="6" t="str">
        <f aca="false">IFERROR(__xludf.dummyfunction("""COMPUTED_VALUE"""),"特に無し")</f>
        <v>特に無し</v>
      </c>
      <c r="O545" s="6" t="str">
        <f aca="false">IFERROR(__xludf.dummyfunction("""COMPUTED_VALUE"""),"不要")</f>
        <v>不要</v>
      </c>
      <c r="P545" s="6"/>
      <c r="Q545" s="6"/>
      <c r="R545" s="6"/>
      <c r="S545" s="6" t="str">
        <f aca="false">IFERROR(__xludf.dummyfunction("""COMPUTED_VALUE"""),"家具家電付き社宅")</f>
        <v>家具家電付き社宅</v>
      </c>
      <c r="T545" s="6" t="str">
        <f aca="false">IFERROR(__xludf.dummyfunction("""COMPUTED_VALUE"""),"利用する")</f>
        <v>利用する</v>
      </c>
      <c r="U545" s="6" t="str">
        <f aca="false">IFERROR(__xludf.dummyfunction("""COMPUTED_VALUE"""),"洗濯機、エアコン")</f>
        <v>洗濯機、エアコン</v>
      </c>
      <c r="V545" s="6" t="str">
        <f aca="false">IFERROR(__xludf.dummyfunction("""COMPUTED_VALUE"""),"徒歩, バス")</f>
        <v>徒歩, バス</v>
      </c>
      <c r="W545" s="6"/>
      <c r="X545" s="6" t="str">
        <f aca="false">IFERROR(__xludf.dummyfunction("""COMPUTED_VALUE"""),"実家")</f>
        <v>実家</v>
      </c>
      <c r="Y545" s="6"/>
      <c r="Z545" s="6" t="str">
        <f aca="false">IFERROR(__xludf.dummyfunction("""COMPUTED_VALUE"""),"希望する")</f>
        <v>希望する</v>
      </c>
      <c r="AA545" s="6" t="str">
        <f aca="false">IFERROR(__xludf.dummyfunction("""COMPUTED_VALUE"""),"単身")</f>
        <v>単身</v>
      </c>
      <c r="AB545" s="6"/>
      <c r="AC545" s="6"/>
      <c r="AD545" s="6"/>
      <c r="AE545" s="6" t="str">
        <f aca="false">IFERROR(__xludf.dummyfunction("""COMPUTED_VALUE"""),"確認しました。")</f>
        <v>確認しました。</v>
      </c>
      <c r="AF545" s="6" t="str">
        <f aca="false">IFERROR(__xludf.dummyfunction("""COMPUTED_VALUE"""),"社宅基準の内容について確認しました")</f>
        <v>社宅基準の内容について確認しました</v>
      </c>
      <c r="AG545" s="6" t="str">
        <f aca="false">IFERROR(__xludf.dummyfunction("""COMPUTED_VALUE"""),"入居のしおりの内容についてご確認しました")</f>
        <v>入居のしおりの内容についてご確認しました</v>
      </c>
      <c r="AH545" s="6" t="str">
        <f aca="false">IFERROR(__xludf.dummyfunction("""COMPUTED_VALUE"""),"確認しました")</f>
        <v>確認しました</v>
      </c>
      <c r="AI545" s="6"/>
      <c r="AJ545" s="6" t="str">
        <v/>
      </c>
      <c r="AK545" s="6" t="str">
        <v/>
      </c>
      <c r="AL545" s="6" t="str">
        <v/>
      </c>
      <c r="AM545" s="6" t="str">
        <v/>
      </c>
      <c r="AN545" s="6" t="n">
        <f aca="false">FALSE()</f>
        <v>0</v>
      </c>
    </row>
    <row r="546" customFormat="false" ht="52.5" hidden="false" customHeight="true" outlineLevel="0" collapsed="false">
      <c r="A546" s="6" t="str">
        <f aca="false">IFERROR(__xludf.dummyfunction("""COMPUTED_VALUE"""),"2026/04/09 20:51:06")</f>
        <v>2026/04/09 20:51:06</v>
      </c>
      <c r="B546" s="6"/>
      <c r="C546" s="6" t="str">
        <f aca="false">IFERROR(__xludf.dummyfunction("""COMPUTED_VALUE"""),"72248")</f>
        <v>72248</v>
      </c>
      <c r="D546" s="6"/>
      <c r="E546" s="6"/>
      <c r="F546" s="6"/>
      <c r="G546" s="6" t="str">
        <f aca="false">IFERROR(__xludf.dummyfunction("""COMPUTED_VALUE"""),"2026/04/30")</f>
        <v>2026/04/30</v>
      </c>
      <c r="H546" s="6" t="str">
        <f aca="false">IFERROR(__xludf.dummyfunction("""COMPUTED_VALUE"""),"必要")</f>
        <v>必要</v>
      </c>
      <c r="I546" s="6" t="str">
        <f aca="false">IFERROR(__xludf.dummyfunction("""COMPUTED_VALUE"""),"女性")</f>
        <v>女性</v>
      </c>
      <c r="J546" s="6" t="str">
        <f aca="false">IFERROR(__xludf.dummyfunction("""COMPUTED_VALUE"""),"日本")</f>
        <v>日本</v>
      </c>
      <c r="K546" s="6" t="str">
        <f aca="false">IFERROR(__xludf.dummyfunction("""COMPUTED_VALUE"""),"16")</f>
        <v>16</v>
      </c>
      <c r="L546" s="6" t="str">
        <f aca="false">IFERROR(__xludf.dummyfunction("""COMPUTED_VALUE"""),"ヒーター")</f>
        <v>ヒーター</v>
      </c>
      <c r="M546" s="6" t="str">
        <f aca="false">IFERROR(__xludf.dummyfunction("""COMPUTED_VALUE"""),"タンス(幅800mm、奥行500mm、高さ2500mm)、チェスト(幅390mm、奥行500mm、高さ232mm)×4")</f>
        <v>タンス(幅800mm、奥行500mm、高さ2500mm)、チェスト(幅390mm、奥行500mm、高さ232mm)×4</v>
      </c>
      <c r="N546" s="6" t="str">
        <f aca="false">IFERROR(__xludf.dummyfunction("""COMPUTED_VALUE"""),"キャリーバッグ")</f>
        <v>キャリーバッグ</v>
      </c>
      <c r="O546" s="6" t="str">
        <f aca="false">IFERROR(__xludf.dummyfunction("""COMPUTED_VALUE"""),"不要")</f>
        <v>不要</v>
      </c>
      <c r="P546" s="6"/>
      <c r="Q546" s="6"/>
      <c r="R546" s="6"/>
      <c r="S546" s="6" t="str">
        <f aca="false">IFERROR(__xludf.dummyfunction("""COMPUTED_VALUE"""),"家具家電付き社宅")</f>
        <v>家具家電付き社宅</v>
      </c>
      <c r="T546" s="6" t="str">
        <f aca="false">IFERROR(__xludf.dummyfunction("""COMPUTED_VALUE"""),"利用しない")</f>
        <v>利用しない</v>
      </c>
      <c r="U546" s="6"/>
      <c r="V546" s="6" t="str">
        <f aca="false">IFERROR(__xludf.dummyfunction("""COMPUTED_VALUE"""),"徒歩, 電車")</f>
        <v>徒歩, 電車</v>
      </c>
      <c r="W546" s="6"/>
      <c r="X546" s="6" t="str">
        <f aca="false">IFERROR(__xludf.dummyfunction("""COMPUTED_VALUE"""),"実家")</f>
        <v>実家</v>
      </c>
      <c r="Y546" s="6"/>
      <c r="Z546" s="6" t="str">
        <f aca="false">IFERROR(__xludf.dummyfunction("""COMPUTED_VALUE"""),"希望する")</f>
        <v>希望する</v>
      </c>
      <c r="AA546" s="6" t="str">
        <f aca="false">IFERROR(__xludf.dummyfunction("""COMPUTED_VALUE"""),"単身")</f>
        <v>単身</v>
      </c>
      <c r="AB546" s="6"/>
      <c r="AC546" s="6"/>
      <c r="AD546" s="6"/>
      <c r="AE546" s="6" t="str">
        <f aca="false">IFERROR(__xludf.dummyfunction("""COMPUTED_VALUE"""),"確認しました。")</f>
        <v>確認しました。</v>
      </c>
      <c r="AF546" s="6" t="str">
        <f aca="false">IFERROR(__xludf.dummyfunction("""COMPUTED_VALUE"""),"社宅基準の内容について確認しました")</f>
        <v>社宅基準の内容について確認しました</v>
      </c>
      <c r="AG546" s="6" t="str">
        <f aca="false">IFERROR(__xludf.dummyfunction("""COMPUTED_VALUE"""),"入居のしおりの内容についてご確認しました")</f>
        <v>入居のしおりの内容についてご確認しました</v>
      </c>
      <c r="AH546" s="6" t="str">
        <f aca="false">IFERROR(__xludf.dummyfunction("""COMPUTED_VALUE"""),"確認しました")</f>
        <v>確認しました</v>
      </c>
      <c r="AI546" s="6"/>
      <c r="AJ546" s="6" t="str">
        <v/>
      </c>
      <c r="AK546" s="6" t="str">
        <v/>
      </c>
      <c r="AL546" s="6" t="str">
        <v/>
      </c>
      <c r="AM546" s="6" t="str">
        <v/>
      </c>
      <c r="AN546" s="6" t="n">
        <f aca="false">FALSE()</f>
        <v>0</v>
      </c>
    </row>
    <row r="547" customFormat="false" ht="52.5" hidden="false" customHeight="true" outlineLevel="0" collapsed="false">
      <c r="A547" s="6" t="str">
        <f aca="false">IFERROR(__xludf.dummyfunction("""COMPUTED_VALUE"""),"2026/04/10 14:00:34")</f>
        <v>2026/04/10 14:00:34</v>
      </c>
      <c r="B547" s="6"/>
      <c r="C547" s="6" t="str">
        <f aca="false">IFERROR(__xludf.dummyfunction("""COMPUTED_VALUE"""),"72295")</f>
        <v>72295</v>
      </c>
      <c r="D547" s="6"/>
      <c r="E547" s="6"/>
      <c r="F547" s="6"/>
      <c r="G547" s="6" t="str">
        <f aca="false">IFERROR(__xludf.dummyfunction("""COMPUTED_VALUE"""),"2026/05/05")</f>
        <v>2026/05/05</v>
      </c>
      <c r="H547" s="6" t="str">
        <f aca="false">IFERROR(__xludf.dummyfunction("""COMPUTED_VALUE"""),"必要")</f>
        <v>必要</v>
      </c>
      <c r="I547" s="6" t="str">
        <f aca="false">IFERROR(__xludf.dummyfunction("""COMPUTED_VALUE"""),"男性")</f>
        <v>男性</v>
      </c>
      <c r="J547" s="6" t="str">
        <f aca="false">IFERROR(__xludf.dummyfunction("""COMPUTED_VALUE"""),"日本")</f>
        <v>日本</v>
      </c>
      <c r="K547" s="6" t="str">
        <f aca="false">IFERROR(__xludf.dummyfunction("""COMPUTED_VALUE"""),"15")</f>
        <v>15</v>
      </c>
      <c r="L547" s="6" t="str">
        <f aca="false">IFERROR(__xludf.dummyfunction("""COMPUTED_VALUE"""),"なし")</f>
        <v>なし</v>
      </c>
      <c r="M547" s="6" t="str">
        <f aca="false">IFERROR(__xludf.dummyfunction("""COMPUTED_VALUE"""),"パソコンデスク(140×70×70)
ベッド(セミダブル)
本棚
デスクトップパソコン")</f>
        <v>パソコンデスク(140×70×70)
ベッド(セミダブル)
本棚
デスクトップパソコン</v>
      </c>
      <c r="N547" s="6"/>
      <c r="O547" s="6" t="str">
        <f aca="false">IFERROR(__xludf.dummyfunction("""COMPUTED_VALUE"""),"不要")</f>
        <v>不要</v>
      </c>
      <c r="P547" s="6"/>
      <c r="Q547" s="6"/>
      <c r="R547" s="6"/>
      <c r="S547" s="6" t="str">
        <f aca="false">IFERROR(__xludf.dummyfunction("""COMPUTED_VALUE"""),"家具家電付き社宅")</f>
        <v>家具家電付き社宅</v>
      </c>
      <c r="T547" s="6" t="str">
        <f aca="false">IFERROR(__xludf.dummyfunction("""COMPUTED_VALUE"""),"利用しない")</f>
        <v>利用しない</v>
      </c>
      <c r="U547" s="6"/>
      <c r="V547" s="6" t="str">
        <f aca="false">IFERROR(__xludf.dummyfunction("""COMPUTED_VALUE"""),"徒歩, 自転車, 電車, バス, 社用バス")</f>
        <v>徒歩, 自転車, 電車, バス, 社用バス</v>
      </c>
      <c r="W547" s="6"/>
      <c r="X547" s="6" t="str">
        <f aca="false">IFERROR(__xludf.dummyfunction("""COMPUTED_VALUE"""),"実家")</f>
        <v>実家</v>
      </c>
      <c r="Y547" s="6"/>
      <c r="Z547" s="6" t="str">
        <f aca="false">IFERROR(__xludf.dummyfunction("""COMPUTED_VALUE"""),"希望する")</f>
        <v>希望する</v>
      </c>
      <c r="AA547" s="6" t="str">
        <f aca="false">IFERROR(__xludf.dummyfunction("""COMPUTED_VALUE"""),"単身")</f>
        <v>単身</v>
      </c>
      <c r="AB547" s="6"/>
      <c r="AC547" s="6"/>
      <c r="AD547" s="6"/>
      <c r="AE547" s="6" t="str">
        <f aca="false">IFERROR(__xludf.dummyfunction("""COMPUTED_VALUE"""),"確認しました。")</f>
        <v>確認しました。</v>
      </c>
      <c r="AF547" s="6" t="str">
        <f aca="false">IFERROR(__xludf.dummyfunction("""COMPUTED_VALUE"""),"社宅基準の内容について確認しました")</f>
        <v>社宅基準の内容について確認しました</v>
      </c>
      <c r="AG547" s="6" t="str">
        <f aca="false">IFERROR(__xludf.dummyfunction("""COMPUTED_VALUE"""),"入居のしおりの内容についてご確認しました")</f>
        <v>入居のしおりの内容についてご確認しました</v>
      </c>
      <c r="AH547" s="6" t="str">
        <f aca="false">IFERROR(__xludf.dummyfunction("""COMPUTED_VALUE"""),"確認しました")</f>
        <v>確認しました</v>
      </c>
      <c r="AI547" s="6"/>
      <c r="AJ547" s="6" t="str">
        <v/>
      </c>
      <c r="AK547" s="6" t="str">
        <v/>
      </c>
      <c r="AL547" s="6" t="str">
        <v/>
      </c>
      <c r="AM547" s="6" t="str">
        <v/>
      </c>
      <c r="AN547" s="6" t="n">
        <f aca="false">FALSE()</f>
        <v>0</v>
      </c>
    </row>
    <row r="548" customFormat="false" ht="52.5" hidden="false" customHeight="true" outlineLevel="0" collapsed="false">
      <c r="A548" s="6" t="str">
        <f aca="false">IFERROR(__xludf.dummyfunction("""COMPUTED_VALUE"""),"2026/04/10 17:07:12")</f>
        <v>2026/04/10 17:07:12</v>
      </c>
      <c r="B548" s="6"/>
      <c r="C548" s="6" t="str">
        <f aca="false">IFERROR(__xludf.dummyfunction("""COMPUTED_VALUE"""),"72368")</f>
        <v>72368</v>
      </c>
      <c r="D548" s="6"/>
      <c r="E548" s="6"/>
      <c r="F548" s="6"/>
      <c r="G548" s="6" t="str">
        <f aca="false">IFERROR(__xludf.dummyfunction("""COMPUTED_VALUE"""),"2026/05/16")</f>
        <v>2026/05/16</v>
      </c>
      <c r="H548" s="6" t="str">
        <f aca="false">IFERROR(__xludf.dummyfunction("""COMPUTED_VALUE"""),"必要")</f>
        <v>必要</v>
      </c>
      <c r="I548" s="6" t="str">
        <f aca="false">IFERROR(__xludf.dummyfunction("""COMPUTED_VALUE"""),"男性")</f>
        <v>男性</v>
      </c>
      <c r="J548" s="6" t="str">
        <f aca="false">IFERROR(__xludf.dummyfunction("""COMPUTED_VALUE"""),"日本")</f>
        <v>日本</v>
      </c>
      <c r="K548" s="6" t="str">
        <f aca="false">IFERROR(__xludf.dummyfunction("""COMPUTED_VALUE"""),"5")</f>
        <v>5</v>
      </c>
      <c r="L548" s="6" t="str">
        <f aca="false">IFERROR(__xludf.dummyfunction("""COMPUTED_VALUE"""),"なし")</f>
        <v>なし</v>
      </c>
      <c r="M548" s="6" t="str">
        <f aca="false">IFERROR(__xludf.dummyfunction("""COMPUTED_VALUE"""),"なし")</f>
        <v>なし</v>
      </c>
      <c r="N548" s="6" t="str">
        <f aca="false">IFERROR(__xludf.dummyfunction("""COMPUTED_VALUE"""),"デスクトップPC")</f>
        <v>デスクトップPC</v>
      </c>
      <c r="O548" s="6" t="str">
        <f aca="false">IFERROR(__xludf.dummyfunction("""COMPUTED_VALUE"""),"不要")</f>
        <v>不要</v>
      </c>
      <c r="P548" s="6"/>
      <c r="Q548" s="6"/>
      <c r="R548" s="6"/>
      <c r="S548" s="6" t="str">
        <f aca="false">IFERROR(__xludf.dummyfunction("""COMPUTED_VALUE"""),"家具家電付き社宅")</f>
        <v>家具家電付き社宅</v>
      </c>
      <c r="T548" s="6" t="str">
        <f aca="false">IFERROR(__xludf.dummyfunction("""COMPUTED_VALUE"""),"利用する")</f>
        <v>利用する</v>
      </c>
      <c r="U548" s="6" t="str">
        <f aca="false">IFERROR(__xludf.dummyfunction("""COMPUTED_VALUE"""),"寝具一式、電気湯沸かしポット、炊飯器、掃除機")</f>
        <v>寝具一式、電気湯沸かしポット、炊飯器、掃除機</v>
      </c>
      <c r="V548" s="6" t="str">
        <f aca="false">IFERROR(__xludf.dummyfunction("""COMPUTED_VALUE"""),"徒歩, 自転車")</f>
        <v>徒歩, 自転車</v>
      </c>
      <c r="W548" s="6"/>
      <c r="X548" s="6" t="str">
        <f aca="false">IFERROR(__xludf.dummyfunction("""COMPUTED_VALUE"""),"実家")</f>
        <v>実家</v>
      </c>
      <c r="Y548" s="6"/>
      <c r="Z548" s="6" t="str">
        <f aca="false">IFERROR(__xludf.dummyfunction("""COMPUTED_VALUE"""),"希望する")</f>
        <v>希望する</v>
      </c>
      <c r="AA548" s="6" t="str">
        <f aca="false">IFERROR(__xludf.dummyfunction("""COMPUTED_VALUE"""),"単身")</f>
        <v>単身</v>
      </c>
      <c r="AB548" s="6"/>
      <c r="AC548" s="6"/>
      <c r="AD548" s="6"/>
      <c r="AE548" s="6" t="str">
        <f aca="false">IFERROR(__xludf.dummyfunction("""COMPUTED_VALUE"""),"確認しました。")</f>
        <v>確認しました。</v>
      </c>
      <c r="AF548" s="6" t="str">
        <f aca="false">IFERROR(__xludf.dummyfunction("""COMPUTED_VALUE"""),"社宅基準の内容について確認しました")</f>
        <v>社宅基準の内容について確認しました</v>
      </c>
      <c r="AG548" s="6" t="str">
        <f aca="false">IFERROR(__xludf.dummyfunction("""COMPUTED_VALUE"""),"入居のしおりの内容についてご確認しました")</f>
        <v>入居のしおりの内容についてご確認しました</v>
      </c>
      <c r="AH548" s="6" t="str">
        <f aca="false">IFERROR(__xludf.dummyfunction("""COMPUTED_VALUE"""),"確認しました")</f>
        <v>確認しました</v>
      </c>
      <c r="AI548" s="6"/>
      <c r="AJ548" s="6" t="str">
        <v/>
      </c>
      <c r="AK548" s="6" t="str">
        <v/>
      </c>
      <c r="AL548" s="6" t="str">
        <v/>
      </c>
      <c r="AM548" s="6" t="str">
        <v/>
      </c>
      <c r="AN548" s="6" t="n">
        <f aca="false">FALSE()</f>
        <v>0</v>
      </c>
    </row>
    <row r="549" customFormat="false" ht="52.5" hidden="false" customHeight="true" outlineLevel="0" collapsed="false">
      <c r="A549" s="6" t="str">
        <f aca="false">IFERROR(__xludf.dummyfunction("""COMPUTED_VALUE"""),"2026/04/10 18:40:38")</f>
        <v>2026/04/10 18:40:38</v>
      </c>
      <c r="B549" s="6"/>
      <c r="C549" s="6" t="str">
        <f aca="false">IFERROR(__xludf.dummyfunction("""COMPUTED_VALUE"""),"72369")</f>
        <v>72369</v>
      </c>
      <c r="D549" s="6"/>
      <c r="E549" s="6"/>
      <c r="F549" s="6"/>
      <c r="G549" s="6" t="str">
        <f aca="false">IFERROR(__xludf.dummyfunction("""COMPUTED_VALUE"""),"2026/05/01")</f>
        <v>2026/05/01</v>
      </c>
      <c r="H549" s="6" t="str">
        <f aca="false">IFERROR(__xludf.dummyfunction("""COMPUTED_VALUE"""),"必要")</f>
        <v>必要</v>
      </c>
      <c r="I549" s="6" t="str">
        <f aca="false">IFERROR(__xludf.dummyfunction("""COMPUTED_VALUE"""),"男性")</f>
        <v>男性</v>
      </c>
      <c r="J549" s="6" t="str">
        <f aca="false">IFERROR(__xludf.dummyfunction("""COMPUTED_VALUE"""),"日本")</f>
        <v>日本</v>
      </c>
      <c r="K549" s="6" t="str">
        <f aca="false">IFERROR(__xludf.dummyfunction("""COMPUTED_VALUE"""),"20")</f>
        <v>20</v>
      </c>
      <c r="L549" s="6" t="str">
        <f aca="false">IFERROR(__xludf.dummyfunction("""COMPUTED_VALUE"""),"冷蔵庫(家族用)、電子レンジ、炊飯器、掃除機")</f>
        <v>冷蔵庫(家族用)、電子レンジ、炊飯器、掃除機</v>
      </c>
      <c r="M549" s="6" t="str">
        <f aca="false">IFERROR(__xludf.dummyfunction("""COMPUTED_VALUE"""),"本棚(縦200mm×横130mm×奥40mm)、棚(縦100mm×横65mm×奥40mm)")</f>
        <v>本棚(縦200mm×横130mm×奥40mm)、棚(縦100mm×横65mm×奥40mm)</v>
      </c>
      <c r="N549" s="6"/>
      <c r="O549" s="6" t="str">
        <f aca="false">IFERROR(__xludf.dummyfunction("""COMPUTED_VALUE"""),"不要")</f>
        <v>不要</v>
      </c>
      <c r="P549" s="6"/>
      <c r="Q549" s="6"/>
      <c r="R549" s="6"/>
      <c r="S549" s="6" t="str">
        <f aca="false">IFERROR(__xludf.dummyfunction("""COMPUTED_VALUE"""),"家具家電付き社宅")</f>
        <v>家具家電付き社宅</v>
      </c>
      <c r="T549" s="6" t="str">
        <f aca="false">IFERROR(__xludf.dummyfunction("""COMPUTED_VALUE"""),"利用する")</f>
        <v>利用する</v>
      </c>
      <c r="U549" s="6" t="str">
        <f aca="false">IFERROR(__xludf.dummyfunction("""COMPUTED_VALUE"""),"寝具一式、全自動洗濯機、ガスコンロ(2口)、照明器具、エアコン、ベッド、ベッド用マットレス")</f>
        <v>寝具一式、全自動洗濯機、ガスコンロ(2口)、照明器具、エアコン、ベッド、ベッド用マットレス</v>
      </c>
      <c r="V549" s="6" t="str">
        <f aca="false">IFERROR(__xludf.dummyfunction("""COMPUTED_VALUE"""),"徒歩, 電車")</f>
        <v>徒歩, 電車</v>
      </c>
      <c r="W549" s="6"/>
      <c r="X549" s="6" t="str">
        <f aca="false">IFERROR(__xludf.dummyfunction("""COMPUTED_VALUE"""),"実家")</f>
        <v>実家</v>
      </c>
      <c r="Y549" s="6"/>
      <c r="Z549" s="6" t="str">
        <f aca="false">IFERROR(__xludf.dummyfunction("""COMPUTED_VALUE"""),"希望する")</f>
        <v>希望する</v>
      </c>
      <c r="AA549" s="6" t="str">
        <f aca="false">IFERROR(__xludf.dummyfunction("""COMPUTED_VALUE"""),"単身")</f>
        <v>単身</v>
      </c>
      <c r="AB549" s="6"/>
      <c r="AC549" s="6"/>
      <c r="AD549" s="6" t="str">
        <f aca="false">IFERROR(__xludf.dummyfunction("""COMPUTED_VALUE"""),"可能であれば、別府駅付近の物件もお探しいただけないでしょうか。")</f>
        <v>可能であれば、別府駅付近の物件もお探しいただけないでしょうか。</v>
      </c>
      <c r="AE549" s="6" t="str">
        <f aca="false">IFERROR(__xludf.dummyfunction("""COMPUTED_VALUE"""),"確認しました。")</f>
        <v>確認しました。</v>
      </c>
      <c r="AF549" s="6" t="str">
        <f aca="false">IFERROR(__xludf.dummyfunction("""COMPUTED_VALUE"""),"社宅基準の内容について確認しました")</f>
        <v>社宅基準の内容について確認しました</v>
      </c>
      <c r="AG549" s="6" t="str">
        <f aca="false">IFERROR(__xludf.dummyfunction("""COMPUTED_VALUE"""),"入居のしおりの内容についてご確認しました")</f>
        <v>入居のしおりの内容についてご確認しました</v>
      </c>
      <c r="AH549" s="6" t="str">
        <f aca="false">IFERROR(__xludf.dummyfunction("""COMPUTED_VALUE"""),"確認しました")</f>
        <v>確認しました</v>
      </c>
      <c r="AI549" s="6"/>
      <c r="AJ549" s="6" t="str">
        <v/>
      </c>
      <c r="AK549" s="6" t="str">
        <v/>
      </c>
      <c r="AL549" s="6" t="str">
        <v/>
      </c>
      <c r="AM549" s="6" t="str">
        <v/>
      </c>
      <c r="AN549" s="6" t="n">
        <f aca="false">FALSE()</f>
        <v>0</v>
      </c>
    </row>
    <row r="550" customFormat="false" ht="52.5" hidden="false" customHeight="true" outlineLevel="0" collapsed="false">
      <c r="A550" s="6" t="str">
        <f aca="false">IFERROR(__xludf.dummyfunction("""COMPUTED_VALUE"""),"2026/04/10 19:42:45")</f>
        <v>2026/04/10 19:42:45</v>
      </c>
      <c r="B550" s="6"/>
      <c r="C550" s="6" t="str">
        <f aca="false">IFERROR(__xludf.dummyfunction("""COMPUTED_VALUE"""),"72360")</f>
        <v>72360</v>
      </c>
      <c r="D550" s="6"/>
      <c r="E550" s="6"/>
      <c r="F550" s="6"/>
      <c r="G550" s="6" t="str">
        <f aca="false">IFERROR(__xludf.dummyfunction("""COMPUTED_VALUE"""),"2026/05/03")</f>
        <v>2026/05/03</v>
      </c>
      <c r="H550" s="6" t="str">
        <f aca="false">IFERROR(__xludf.dummyfunction("""COMPUTED_VALUE"""),"不要")</f>
        <v>不要</v>
      </c>
      <c r="I550" s="6" t="str">
        <f aca="false">IFERROR(__xludf.dummyfunction("""COMPUTED_VALUE"""),"女性")</f>
        <v>女性</v>
      </c>
      <c r="J550" s="6" t="str">
        <f aca="false">IFERROR(__xludf.dummyfunction("""COMPUTED_VALUE"""),"日本")</f>
        <v>日本</v>
      </c>
      <c r="K550" s="6"/>
      <c r="L550" s="6"/>
      <c r="M550" s="6"/>
      <c r="N550" s="6"/>
      <c r="O550" s="6" t="str">
        <f aca="false">IFERROR(__xludf.dummyfunction("""COMPUTED_VALUE"""),"不要")</f>
        <v>不要</v>
      </c>
      <c r="P550" s="6"/>
      <c r="Q550" s="6"/>
      <c r="R550" s="6"/>
      <c r="S550" s="6" t="str">
        <f aca="false">IFERROR(__xludf.dummyfunction("""COMPUTED_VALUE"""),"家具家電付き社宅")</f>
        <v>家具家電付き社宅</v>
      </c>
      <c r="T550" s="6" t="str">
        <f aca="false">IFERROR(__xludf.dummyfunction("""COMPUTED_VALUE"""),"利用しない")</f>
        <v>利用しない</v>
      </c>
      <c r="U550" s="6"/>
      <c r="V550" s="6" t="str">
        <f aca="false">IFERROR(__xludf.dummyfunction("""COMPUTED_VALUE"""),"徒歩, 電車, 社用バス")</f>
        <v>徒歩, 電車, 社用バス</v>
      </c>
      <c r="W550" s="6"/>
      <c r="X550" s="6" t="str">
        <f aca="false">IFERROR(__xludf.dummyfunction("""COMPUTED_VALUE"""),"実家")</f>
        <v>実家</v>
      </c>
      <c r="Y550" s="6"/>
      <c r="Z550" s="6" t="str">
        <f aca="false">IFERROR(__xludf.dummyfunction("""COMPUTED_VALUE"""),"希望する")</f>
        <v>希望する</v>
      </c>
      <c r="AA550" s="6" t="str">
        <f aca="false">IFERROR(__xludf.dummyfunction("""COMPUTED_VALUE"""),"単身")</f>
        <v>単身</v>
      </c>
      <c r="AB550" s="6"/>
      <c r="AC550" s="6"/>
      <c r="AD550" s="6"/>
      <c r="AE550" s="6" t="str">
        <f aca="false">IFERROR(__xludf.dummyfunction("""COMPUTED_VALUE"""),"確認しました。")</f>
        <v>確認しました。</v>
      </c>
      <c r="AF550" s="6" t="str">
        <f aca="false">IFERROR(__xludf.dummyfunction("""COMPUTED_VALUE"""),"社宅基準の内容について確認しました")</f>
        <v>社宅基準の内容について確認しました</v>
      </c>
      <c r="AG550" s="6" t="str">
        <f aca="false">IFERROR(__xludf.dummyfunction("""COMPUTED_VALUE"""),"入居のしおりの内容についてご確認しました")</f>
        <v>入居のしおりの内容についてご確認しました</v>
      </c>
      <c r="AH550" s="6" t="str">
        <f aca="false">IFERROR(__xludf.dummyfunction("""COMPUTED_VALUE"""),"確認しました")</f>
        <v>確認しました</v>
      </c>
      <c r="AI550" s="6"/>
      <c r="AJ550" s="6" t="str">
        <v/>
      </c>
      <c r="AK550" s="6" t="str">
        <v/>
      </c>
      <c r="AL550" s="6" t="str">
        <v/>
      </c>
      <c r="AM550" s="6" t="str">
        <v/>
      </c>
      <c r="AN550" s="6" t="n">
        <f aca="false">FALSE()</f>
        <v>0</v>
      </c>
    </row>
    <row r="551" customFormat="false" ht="52.5" hidden="false" customHeight="true" outlineLevel="0" collapsed="false">
      <c r="A551" s="6" t="str">
        <f aca="false">IFERROR(__xludf.dummyfunction("""COMPUTED_VALUE"""),"2026/04/10 20:13:43")</f>
        <v>2026/04/10 20:13:43</v>
      </c>
      <c r="B551" s="6"/>
      <c r="C551" s="6" t="str">
        <f aca="false">IFERROR(__xludf.dummyfunction("""COMPUTED_VALUE"""),"72341")</f>
        <v>72341</v>
      </c>
      <c r="D551" s="6"/>
      <c r="E551" s="6"/>
      <c r="F551" s="6"/>
      <c r="G551" s="6" t="str">
        <f aca="false">IFERROR(__xludf.dummyfunction("""COMPUTED_VALUE"""),"2026/05/01")</f>
        <v>2026/05/01</v>
      </c>
      <c r="H551" s="6" t="str">
        <f aca="false">IFERROR(__xludf.dummyfunction("""COMPUTED_VALUE"""),"必要")</f>
        <v>必要</v>
      </c>
      <c r="I551" s="6" t="str">
        <f aca="false">IFERROR(__xludf.dummyfunction("""COMPUTED_VALUE"""),"男性")</f>
        <v>男性</v>
      </c>
      <c r="J551" s="6" t="str">
        <f aca="false">IFERROR(__xludf.dummyfunction("""COMPUTED_VALUE"""),"日本")</f>
        <v>日本</v>
      </c>
      <c r="K551" s="6" t="str">
        <f aca="false">IFERROR(__xludf.dummyfunction("""COMPUTED_VALUE"""),"15")</f>
        <v>15</v>
      </c>
      <c r="L551" s="6" t="str">
        <f aca="false">IFERROR(__xludf.dummyfunction("""COMPUTED_VALUE"""),"冷蔵庫(2ドア)
縦型洗濯機(横幅540mm　奥行き540mm　高さ880mm)
電子レンジ
モニター(24インチ)
炊飯器
掃除機
電気ケトル
デスクトップパソコン")</f>
        <v>冷蔵庫(2ドア)
縦型洗濯機(横幅540mm　奥行き540mm　高さ880mm)
電子レンジ
モニター(24インチ)
炊飯器
掃除機
電気ケトル
デスクトップパソコン</v>
      </c>
      <c r="M551" s="6" t="str">
        <f aca="false">IFERROR(__xludf.dummyfunction("""COMPUTED_VALUE"""),"デスク(幅118cm 奥行63cm 高さ73.5cm)
テーブル(幅90cm 奥行45cm 高さ32cm)
ローボード(幅120cm 奥行40cm 高さ40cm)
棚(幅60cm 奥行34cm高さ126cm)
冷蔵庫上ラック(幅59.5cm 奥行41.5cm 高さ180cm)
ワゴン(幅43cm 奥行31cm 高さ64cm)
モニター台(幅60cm 奥行24cm 高さ10cm)
ゲーミングチェア(幅65cm 奥行65cm 高さ127cm)
ベッド(シングル)
カーテン(幅100cm 丈178cm)")</f>
        <v>デスク(幅118cm 奥行63cm 高さ73.5cm)
テーブル(幅90cm 奥行45cm 高さ32cm)
ローボード(幅120cm 奥行40cm 高さ40cm)
棚(幅60cm 奥行34cm高さ126cm)
冷蔵庫上ラック(幅59.5cm 奥行41.5cm 高さ180cm)
ワゴン(幅43cm 奥行31cm 高さ64cm)
モニター台(幅60cm 奥行24cm 高さ10cm)
ゲーミングチェア(幅65cm 奥行65cm 高さ127cm)
ベッド(シングル)
カーテン(幅100cm 丈178cm)</v>
      </c>
      <c r="N551" s="6" t="str">
        <f aca="false">IFERROR(__xludf.dummyfunction("""COMPUTED_VALUE"""),"自転車
ヨガマット")</f>
        <v>自転車
ヨガマット</v>
      </c>
      <c r="O551" s="6" t="str">
        <f aca="false">IFERROR(__xludf.dummyfunction("""COMPUTED_VALUE"""),"不要")</f>
        <v>不要</v>
      </c>
      <c r="P551" s="6"/>
      <c r="Q551" s="6"/>
      <c r="R551" s="6"/>
      <c r="S551" s="6" t="str">
        <f aca="false">IFERROR(__xludf.dummyfunction("""COMPUTED_VALUE"""),"家具家電なし社宅")</f>
        <v>家具家電なし社宅</v>
      </c>
      <c r="T551" s="6" t="str">
        <f aca="false">IFERROR(__xludf.dummyfunction("""COMPUTED_VALUE"""),"利用しない")</f>
        <v>利用しない</v>
      </c>
      <c r="U551" s="6"/>
      <c r="V551" s="6" t="str">
        <f aca="false">IFERROR(__xludf.dummyfunction("""COMPUTED_VALUE"""),"自転車")</f>
        <v>自転車</v>
      </c>
      <c r="W551" s="6"/>
      <c r="X551" s="6" t="str">
        <f aca="false">IFERROR(__xludf.dummyfunction("""COMPUTED_VALUE"""),"株式会社オープンアップネクストエンジニア様の社宅")</f>
        <v>株式会社オープンアップネクストエンジニア様の社宅</v>
      </c>
      <c r="Y551" s="6" t="str">
        <f aca="false">IFERROR(__xludf.dummyfunction("""COMPUTED_VALUE"""),"利用なし")</f>
        <v>利用なし</v>
      </c>
      <c r="Z551" s="6" t="str">
        <f aca="false">IFERROR(__xludf.dummyfunction("""COMPUTED_VALUE"""),"希望しない")</f>
        <v>希望しない</v>
      </c>
      <c r="AA551" s="6" t="str">
        <f aca="false">IFERROR(__xludf.dummyfunction("""COMPUTED_VALUE"""),"単身")</f>
        <v>単身</v>
      </c>
      <c r="AB551" s="6"/>
      <c r="AC551" s="6"/>
      <c r="AD551" s="6" t="str">
        <f aca="false">IFERROR(__xludf.dummyfunction("""COMPUTED_VALUE"""),"以下を希望させていただきます。
・5月中に引越し可能な物件
・株式会社FTS豊田工場から自転車で30分以内の範囲
・鉄筋構造
・ネットの回線が通っているまたは、回線工事が可能
・家具が多いため、家賃上限6万を超えて7〜8万程度でも大丈夫なので間取りが広い部屋(1K〜1LDK)を希望します。
・ガスコンロ
何卒よろしくお願いいたします。")</f>
        <v>以下を希望させていただきます。
・5月中に引越し可能な物件
・株式会社FTS豊田工場から自転車で30分以内の範囲
・鉄筋構造
・ネットの回線が通っているまたは、回線工事が可能
・家具が多いため、家賃上限6万を超えて7〜8万程度でも大丈夫なので間取りが広い部屋(1K〜1LDK)を希望します。
・ガスコンロ
何卒よろしくお願いいたします。</v>
      </c>
      <c r="AE551" s="6" t="str">
        <f aca="false">IFERROR(__xludf.dummyfunction("""COMPUTED_VALUE"""),"確認しました。")</f>
        <v>確認しました。</v>
      </c>
      <c r="AF551" s="6" t="str">
        <f aca="false">IFERROR(__xludf.dummyfunction("""COMPUTED_VALUE"""),"社宅基準の内容について確認しました")</f>
        <v>社宅基準の内容について確認しました</v>
      </c>
      <c r="AG551" s="6" t="str">
        <f aca="false">IFERROR(__xludf.dummyfunction("""COMPUTED_VALUE"""),"入居のしおりの内容についてご確認しました")</f>
        <v>入居のしおりの内容についてご確認しました</v>
      </c>
      <c r="AH551" s="6" t="str">
        <f aca="false">IFERROR(__xludf.dummyfunction("""COMPUTED_VALUE"""),"確認しました")</f>
        <v>確認しました</v>
      </c>
      <c r="AI551" s="6"/>
      <c r="AJ551" s="6" t="str">
        <v/>
      </c>
      <c r="AK551" s="6" t="str">
        <v/>
      </c>
      <c r="AL551" s="6" t="str">
        <v/>
      </c>
      <c r="AM551" s="6" t="str">
        <v/>
      </c>
      <c r="AN551" s="6" t="n">
        <f aca="false">FALSE()</f>
        <v>0</v>
      </c>
    </row>
    <row r="552" customFormat="false" ht="52.5" hidden="false" customHeight="true" outlineLevel="0" collapsed="false">
      <c r="A552" s="6" t="str">
        <f aca="false">IFERROR(__xludf.dummyfunction("""COMPUTED_VALUE"""),"2026/04/10 21:53:19")</f>
        <v>2026/04/10 21:53:19</v>
      </c>
      <c r="B552" s="6"/>
      <c r="C552" s="6" t="str">
        <f aca="false">IFERROR(__xludf.dummyfunction("""COMPUTED_VALUE"""),"72346")</f>
        <v>72346</v>
      </c>
      <c r="D552" s="6"/>
      <c r="E552" s="6"/>
      <c r="F552" s="6"/>
      <c r="G552" s="6" t="str">
        <f aca="false">IFERROR(__xludf.dummyfunction("""COMPUTED_VALUE"""),"2026/04/26")</f>
        <v>2026/04/26</v>
      </c>
      <c r="H552" s="6" t="str">
        <f aca="false">IFERROR(__xludf.dummyfunction("""COMPUTED_VALUE"""),"必要")</f>
        <v>必要</v>
      </c>
      <c r="I552" s="6" t="str">
        <f aca="false">IFERROR(__xludf.dummyfunction("""COMPUTED_VALUE"""),"女性")</f>
        <v>女性</v>
      </c>
      <c r="J552" s="6" t="str">
        <f aca="false">IFERROR(__xludf.dummyfunction("""COMPUTED_VALUE"""),"日本")</f>
        <v>日本</v>
      </c>
      <c r="K552" s="6" t="str">
        <f aca="false">IFERROR(__xludf.dummyfunction("""COMPUTED_VALUE"""),"15")</f>
        <v>15</v>
      </c>
      <c r="L552" s="6" t="str">
        <f aca="false">IFERROR(__xludf.dummyfunction("""COMPUTED_VALUE"""),"冷蔵庫(単身用2ドア)(レンタル) 洗濯機(レンタル) 電子レンジ(レンタル) ウォーターサーバー 掃除機")</f>
        <v>冷蔵庫(単身用2ドア)(レンタル) 洗濯機(レンタル) 電子レンジ(レンタル) ウォーターサーバー 掃除機</v>
      </c>
      <c r="M552" s="6" t="str">
        <f aca="false">IFERROR(__xludf.dummyfunction("""COMPUTED_VALUE"""),"ローテーブル(78×78×36cm) 布団一式 組み立て式室内物干し カーテン2セット ラグ1枚 キャスター付き衣装ケース×2")</f>
        <v>ローテーブル(78×78×36cm) 布団一式 組み立て式室内物干し カーテン2セット ラグ1枚 キャスター付き衣装ケース×2</v>
      </c>
      <c r="N552" s="6" t="str">
        <f aca="false">IFERROR(__xludf.dummyfunction("""COMPUTED_VALUE"""),"ウォーターサーバー用飲料水(12L×3本)")</f>
        <v>ウォーターサーバー用飲料水(12L×3本)</v>
      </c>
      <c r="O552" s="6" t="str">
        <f aca="false">IFERROR(__xludf.dummyfunction("""COMPUTED_VALUE"""),"不要")</f>
        <v>不要</v>
      </c>
      <c r="P552" s="6"/>
      <c r="Q552" s="6"/>
      <c r="R552" s="6"/>
      <c r="S552" s="6" t="str">
        <f aca="false">IFERROR(__xludf.dummyfunction("""COMPUTED_VALUE"""),"家具家電なし社宅")</f>
        <v>家具家電なし社宅</v>
      </c>
      <c r="T552" s="6" t="str">
        <f aca="false">IFERROR(__xludf.dummyfunction("""COMPUTED_VALUE"""),"利用する")</f>
        <v>利用する</v>
      </c>
      <c r="U552" s="6" t="str">
        <f aca="false">IFERROR(__xludf.dummyfunction("""COMPUTED_VALUE"""),"冷蔵庫 洗濯機 電子レンジ")</f>
        <v>冷蔵庫 洗濯機 電子レンジ</v>
      </c>
      <c r="V552" s="6" t="str">
        <f aca="false">IFERROR(__xludf.dummyfunction("""COMPUTED_VALUE"""),"徒歩, 電車, バス")</f>
        <v>徒歩, 電車, バス</v>
      </c>
      <c r="W552" s="6"/>
      <c r="X552" s="6" t="str">
        <f aca="false">IFERROR(__xludf.dummyfunction("""COMPUTED_VALUE"""),"株式会社オープンアップネクストエンジニア様の社宅")</f>
        <v>株式会社オープンアップネクストエンジニア様の社宅</v>
      </c>
      <c r="Y552" s="6" t="str">
        <f aca="false">IFERROR(__xludf.dummyfunction("""COMPUTED_VALUE"""),"冷蔵庫 洗濯機 電子レンジ 新社宅へ引継ぎ希望")</f>
        <v>冷蔵庫 洗濯機 電子レンジ 新社宅へ引継ぎ希望</v>
      </c>
      <c r="Z552" s="6" t="str">
        <f aca="false">IFERROR(__xludf.dummyfunction("""COMPUTED_VALUE"""),"希望する")</f>
        <v>希望する</v>
      </c>
      <c r="AA552" s="6" t="str">
        <f aca="false">IFERROR(__xludf.dummyfunction("""COMPUTED_VALUE"""),"単身")</f>
        <v>単身</v>
      </c>
      <c r="AB552" s="6"/>
      <c r="AC552" s="6"/>
      <c r="AD552" s="6"/>
      <c r="AE552" s="6" t="str">
        <f aca="false">IFERROR(__xludf.dummyfunction("""COMPUTED_VALUE"""),"確認しました。")</f>
        <v>確認しました。</v>
      </c>
      <c r="AF552" s="6" t="str">
        <f aca="false">IFERROR(__xludf.dummyfunction("""COMPUTED_VALUE"""),"社宅基準の内容について確認しました")</f>
        <v>社宅基準の内容について確認しました</v>
      </c>
      <c r="AG552" s="6" t="str">
        <f aca="false">IFERROR(__xludf.dummyfunction("""COMPUTED_VALUE"""),"入居のしおりの内容についてご確認しました")</f>
        <v>入居のしおりの内容についてご確認しました</v>
      </c>
      <c r="AH552" s="6" t="str">
        <f aca="false">IFERROR(__xludf.dummyfunction("""COMPUTED_VALUE"""),"確認しました")</f>
        <v>確認しました</v>
      </c>
      <c r="AI552" s="6"/>
      <c r="AJ552" s="6" t="str">
        <v/>
      </c>
      <c r="AK552" s="6" t="str">
        <v/>
      </c>
      <c r="AL552" s="6" t="str">
        <v/>
      </c>
      <c r="AM552" s="6" t="str">
        <v/>
      </c>
      <c r="AN552" s="6" t="n">
        <f aca="false">FALSE()</f>
        <v>0</v>
      </c>
    </row>
    <row r="553" customFormat="false" ht="52.5" hidden="false" customHeight="true" outlineLevel="0" collapsed="false">
      <c r="A553" s="6" t="str">
        <f aca="false">IFERROR(__xludf.dummyfunction("""COMPUTED_VALUE"""),"2026/04/10 22:48:53")</f>
        <v>2026/04/10 22:48:53</v>
      </c>
      <c r="B553" s="6"/>
      <c r="C553" s="6" t="str">
        <f aca="false">IFERROR(__xludf.dummyfunction("""COMPUTED_VALUE"""),"72361")</f>
        <v>72361</v>
      </c>
      <c r="D553" s="6"/>
      <c r="E553" s="6"/>
      <c r="F553" s="6"/>
      <c r="G553" s="6" t="str">
        <f aca="false">IFERROR(__xludf.dummyfunction("""COMPUTED_VALUE"""),"2026/04/28")</f>
        <v>2026/04/28</v>
      </c>
      <c r="H553" s="6" t="str">
        <f aca="false">IFERROR(__xludf.dummyfunction("""COMPUTED_VALUE"""),"必要")</f>
        <v>必要</v>
      </c>
      <c r="I553" s="6" t="str">
        <f aca="false">IFERROR(__xludf.dummyfunction("""COMPUTED_VALUE"""),"男性")</f>
        <v>男性</v>
      </c>
      <c r="J553" s="6" t="str">
        <f aca="false">IFERROR(__xludf.dummyfunction("""COMPUTED_VALUE"""),"日本")</f>
        <v>日本</v>
      </c>
      <c r="K553" s="6" t="str">
        <f aca="false">IFERROR(__xludf.dummyfunction("""COMPUTED_VALUE"""),"6")</f>
        <v>6</v>
      </c>
      <c r="L553" s="6" t="str">
        <f aca="false">IFERROR(__xludf.dummyfunction("""COMPUTED_VALUE"""),"なし")</f>
        <v>なし</v>
      </c>
      <c r="M553" s="6" t="str">
        <f aca="false">IFERROR(__xludf.dummyfunction("""COMPUTED_VALUE"""),"なし")</f>
        <v>なし</v>
      </c>
      <c r="N553" s="6" t="str">
        <f aca="false">IFERROR(__xludf.dummyfunction("""COMPUTED_VALUE"""),"ゲーミングpc、ゲーミングモニター×２、オフィスチェア")</f>
        <v>ゲーミングpc、ゲーミングモニター×２、オフィスチェア</v>
      </c>
      <c r="O553" s="6" t="str">
        <f aca="false">IFERROR(__xludf.dummyfunction("""COMPUTED_VALUE"""),"不要")</f>
        <v>不要</v>
      </c>
      <c r="P553" s="6"/>
      <c r="Q553" s="6"/>
      <c r="R553" s="6"/>
      <c r="S553" s="6" t="str">
        <f aca="false">IFERROR(__xludf.dummyfunction("""COMPUTED_VALUE"""),"家具家電付き社宅")</f>
        <v>家具家電付き社宅</v>
      </c>
      <c r="T553" s="6" t="str">
        <f aca="false">IFERROR(__xludf.dummyfunction("""COMPUTED_VALUE"""),"利用しない")</f>
        <v>利用しない</v>
      </c>
      <c r="U553" s="6"/>
      <c r="V553" s="6" t="str">
        <f aca="false">IFERROR(__xludf.dummyfunction("""COMPUTED_VALUE"""),"徒歩, 自転車")</f>
        <v>徒歩, 自転車</v>
      </c>
      <c r="W553" s="6"/>
      <c r="X553" s="6" t="str">
        <f aca="false">IFERROR(__xludf.dummyfunction("""COMPUTED_VALUE"""),"実家")</f>
        <v>実家</v>
      </c>
      <c r="Y553" s="6"/>
      <c r="Z553" s="6" t="str">
        <f aca="false">IFERROR(__xludf.dummyfunction("""COMPUTED_VALUE"""),"希望する")</f>
        <v>希望する</v>
      </c>
      <c r="AA553" s="6" t="str">
        <f aca="false">IFERROR(__xludf.dummyfunction("""COMPUTED_VALUE"""),"単身")</f>
        <v>単身</v>
      </c>
      <c r="AB553" s="6"/>
      <c r="AC553" s="6"/>
      <c r="AD553" s="6" t="str">
        <f aca="false">IFERROR(__xludf.dummyfunction("""COMPUTED_VALUE"""),"1階希望")</f>
        <v>1階希望</v>
      </c>
      <c r="AE553" s="6" t="str">
        <f aca="false">IFERROR(__xludf.dummyfunction("""COMPUTED_VALUE"""),"確認しました。")</f>
        <v>確認しました。</v>
      </c>
      <c r="AF553" s="6" t="str">
        <f aca="false">IFERROR(__xludf.dummyfunction("""COMPUTED_VALUE"""),"社宅基準の内容について確認しました")</f>
        <v>社宅基準の内容について確認しました</v>
      </c>
      <c r="AG553" s="6" t="str">
        <f aca="false">IFERROR(__xludf.dummyfunction("""COMPUTED_VALUE"""),"入居のしおりの内容についてご確認しました")</f>
        <v>入居のしおりの内容についてご確認しました</v>
      </c>
      <c r="AH553" s="6" t="str">
        <f aca="false">IFERROR(__xludf.dummyfunction("""COMPUTED_VALUE"""),"確認しました")</f>
        <v>確認しました</v>
      </c>
      <c r="AI553" s="6"/>
      <c r="AJ553" s="6" t="str">
        <v/>
      </c>
      <c r="AK553" s="6" t="str">
        <v/>
      </c>
      <c r="AL553" s="6" t="str">
        <v/>
      </c>
      <c r="AM553" s="6" t="str">
        <v/>
      </c>
      <c r="AN553" s="6" t="n">
        <f aca="false">FALSE()</f>
        <v>0</v>
      </c>
    </row>
    <row r="554" customFormat="false" ht="52.5" hidden="false" customHeight="true" outlineLevel="0" collapsed="false">
      <c r="A554" s="6" t="str">
        <f aca="false">IFERROR(__xludf.dummyfunction("""COMPUTED_VALUE"""),"2026/04/11 6:37:46")</f>
        <v>2026/04/11 6:37:46</v>
      </c>
      <c r="B554" s="6"/>
      <c r="C554" s="6" t="str">
        <f aca="false">IFERROR(__xludf.dummyfunction("""COMPUTED_VALUE"""),"72289")</f>
        <v>72289</v>
      </c>
      <c r="D554" s="6"/>
      <c r="E554" s="6"/>
      <c r="F554" s="6"/>
      <c r="G554" s="6" t="str">
        <f aca="false">IFERROR(__xludf.dummyfunction("""COMPUTED_VALUE"""),"2026/04/30")</f>
        <v>2026/04/30</v>
      </c>
      <c r="H554" s="6" t="str">
        <f aca="false">IFERROR(__xludf.dummyfunction("""COMPUTED_VALUE"""),"必要")</f>
        <v>必要</v>
      </c>
      <c r="I554" s="6" t="str">
        <f aca="false">IFERROR(__xludf.dummyfunction("""COMPUTED_VALUE"""),"男性")</f>
        <v>男性</v>
      </c>
      <c r="J554" s="6" t="str">
        <f aca="false">IFERROR(__xludf.dummyfunction("""COMPUTED_VALUE"""),"日本")</f>
        <v>日本</v>
      </c>
      <c r="K554" s="6" t="str">
        <f aca="false">IFERROR(__xludf.dummyfunction("""COMPUTED_VALUE"""),"25")</f>
        <v>25</v>
      </c>
      <c r="L554" s="6" t="str">
        <f aca="false">IFERROR(__xludf.dummyfunction("""COMPUTED_VALUE"""),"なし")</f>
        <v>なし</v>
      </c>
      <c r="M554" s="6" t="str">
        <f aca="false">IFERROR(__xludf.dummyfunction("""COMPUTED_VALUE"""),"収納ケース6つ（高さ23㎝、奥行66㎝、幅39㎝）")</f>
        <v>収納ケース6つ（高さ23㎝、奥行66㎝、幅39㎝）</v>
      </c>
      <c r="N554" s="6" t="str">
        <f aca="false">IFERROR(__xludf.dummyfunction("""COMPUTED_VALUE"""),"衣類、cd·dvd、雑貨、")</f>
        <v>衣類、cd·dvd、雑貨、</v>
      </c>
      <c r="O554" s="6" t="str">
        <f aca="false">IFERROR(__xludf.dummyfunction("""COMPUTED_VALUE"""),"不要")</f>
        <v>不要</v>
      </c>
      <c r="P554" s="6"/>
      <c r="Q554" s="6"/>
      <c r="R554" s="6"/>
      <c r="S554" s="6" t="str">
        <f aca="false">IFERROR(__xludf.dummyfunction("""COMPUTED_VALUE"""),"家具家電なし社宅")</f>
        <v>家具家電なし社宅</v>
      </c>
      <c r="T554" s="6" t="str">
        <f aca="false">IFERROR(__xludf.dummyfunction("""COMPUTED_VALUE"""),"利用しない")</f>
        <v>利用しない</v>
      </c>
      <c r="U554" s="6"/>
      <c r="V554" s="6" t="str">
        <f aca="false">IFERROR(__xludf.dummyfunction("""COMPUTED_VALUE"""),"徒歩")</f>
        <v>徒歩</v>
      </c>
      <c r="W554" s="6"/>
      <c r="X554" s="6" t="str">
        <f aca="false">IFERROR(__xludf.dummyfunction("""COMPUTED_VALUE"""),"実家")</f>
        <v>実家</v>
      </c>
      <c r="Y554" s="6"/>
      <c r="Z554" s="6" t="str">
        <f aca="false">IFERROR(__xludf.dummyfunction("""COMPUTED_VALUE"""),"希望しない")</f>
        <v>希望しない</v>
      </c>
      <c r="AA554" s="6" t="str">
        <f aca="false">IFERROR(__xludf.dummyfunction("""COMPUTED_VALUE"""),"単身")</f>
        <v>単身</v>
      </c>
      <c r="AB554" s="6"/>
      <c r="AC554" s="6"/>
      <c r="AD554" s="6" t="str">
        <f aca="false">IFERROR(__xludf.dummyfunction("""COMPUTED_VALUE"""),"都市ガス
2階以上
室内洗濯機置き場
1k
木造ではない
駅徒歩10分以内
バストイレ別")</f>
        <v>都市ガス
2階以上
室内洗濯機置き場
1k
木造ではない
駅徒歩10分以内
バストイレ別</v>
      </c>
      <c r="AE554" s="6" t="str">
        <f aca="false">IFERROR(__xludf.dummyfunction("""COMPUTED_VALUE"""),"確認しました。")</f>
        <v>確認しました。</v>
      </c>
      <c r="AF554" s="6" t="str">
        <f aca="false">IFERROR(__xludf.dummyfunction("""COMPUTED_VALUE"""),"社宅基準の内容について確認しました")</f>
        <v>社宅基準の内容について確認しました</v>
      </c>
      <c r="AG554" s="6" t="str">
        <f aca="false">IFERROR(__xludf.dummyfunction("""COMPUTED_VALUE"""),"入居のしおりの内容についてご確認しました")</f>
        <v>入居のしおりの内容についてご確認しました</v>
      </c>
      <c r="AH554" s="6" t="str">
        <f aca="false">IFERROR(__xludf.dummyfunction("""COMPUTED_VALUE"""),"確認しました")</f>
        <v>確認しました</v>
      </c>
      <c r="AI554" s="6"/>
      <c r="AJ554" s="6" t="str">
        <v/>
      </c>
      <c r="AK554" s="6" t="str">
        <v/>
      </c>
      <c r="AL554" s="6" t="str">
        <v/>
      </c>
      <c r="AM554" s="6" t="str">
        <v/>
      </c>
      <c r="AN554" s="6" t="n">
        <f aca="false">FALSE()</f>
        <v>0</v>
      </c>
    </row>
    <row r="555" customFormat="false" ht="52.5" hidden="false" customHeight="true" outlineLevel="0" collapsed="false">
      <c r="A555" s="6" t="str">
        <f aca="false">IFERROR(__xludf.dummyfunction("""COMPUTED_VALUE"""),"2026/04/11 12:18:08")</f>
        <v>2026/04/11 12:18:08</v>
      </c>
      <c r="B555" s="6"/>
      <c r="C555" s="6" t="str">
        <f aca="false">IFERROR(__xludf.dummyfunction("""COMPUTED_VALUE"""),"72339")</f>
        <v>72339</v>
      </c>
      <c r="D555" s="6"/>
      <c r="E555" s="6"/>
      <c r="F555" s="6"/>
      <c r="G555" s="6" t="str">
        <f aca="false">IFERROR(__xludf.dummyfunction("""COMPUTED_VALUE"""),"2026/04/26")</f>
        <v>2026/04/26</v>
      </c>
      <c r="H555" s="6" t="str">
        <f aca="false">IFERROR(__xludf.dummyfunction("""COMPUTED_VALUE"""),"不要")</f>
        <v>不要</v>
      </c>
      <c r="I555" s="6" t="str">
        <f aca="false">IFERROR(__xludf.dummyfunction("""COMPUTED_VALUE"""),"男性")</f>
        <v>男性</v>
      </c>
      <c r="J555" s="6" t="str">
        <f aca="false">IFERROR(__xludf.dummyfunction("""COMPUTED_VALUE"""),"日本")</f>
        <v>日本</v>
      </c>
      <c r="K555" s="6"/>
      <c r="L555" s="6"/>
      <c r="M555" s="6"/>
      <c r="N555" s="6"/>
      <c r="O555" s="6" t="str">
        <f aca="false">IFERROR(__xludf.dummyfunction("""COMPUTED_VALUE"""),"必要")</f>
        <v>必要</v>
      </c>
      <c r="P555" s="6" t="str">
        <f aca="false">IFERROR(__xludf.dummyfunction("""COMPUTED_VALUE"""),"スイフトスポーツ")</f>
        <v>スイフトスポーツ</v>
      </c>
      <c r="Q555" s="6" t="str">
        <f aca="false">IFERROR(__xludf.dummyfunction("""COMPUTED_VALUE"""),"つ9-74")</f>
        <v>つ9-74</v>
      </c>
      <c r="R555" s="6" t="str">
        <f aca="false">IFERROR(__xludf.dummyfunction("""COMPUTED_VALUE"""),"青")</f>
        <v>青</v>
      </c>
      <c r="S555" s="6" t="str">
        <f aca="false">IFERROR(__xludf.dummyfunction("""COMPUTED_VALUE"""),"家具家電付き社宅")</f>
        <v>家具家電付き社宅</v>
      </c>
      <c r="T555" s="6" t="str">
        <f aca="false">IFERROR(__xludf.dummyfunction("""COMPUTED_VALUE"""),"利用しない")</f>
        <v>利用しない</v>
      </c>
      <c r="U555" s="6"/>
      <c r="V555" s="6" t="str">
        <f aca="false">IFERROR(__xludf.dummyfunction("""COMPUTED_VALUE"""),"徒歩, 自転車")</f>
        <v>徒歩, 自転車</v>
      </c>
      <c r="W555" s="6"/>
      <c r="X555" s="6" t="str">
        <f aca="false">IFERROR(__xludf.dummyfunction("""COMPUTED_VALUE"""),"実家")</f>
        <v>実家</v>
      </c>
      <c r="Y555" s="6"/>
      <c r="Z555" s="6" t="str">
        <f aca="false">IFERROR(__xludf.dummyfunction("""COMPUTED_VALUE"""),"希望する")</f>
        <v>希望する</v>
      </c>
      <c r="AA555" s="6" t="str">
        <f aca="false">IFERROR(__xludf.dummyfunction("""COMPUTED_VALUE"""),"単身")</f>
        <v>単身</v>
      </c>
      <c r="AB555" s="6"/>
      <c r="AC555" s="6"/>
      <c r="AD555" s="6" t="str">
        <f aca="false">IFERROR(__xludf.dummyfunction("""COMPUTED_VALUE"""),"ネット回線の速度が400Mbps程度を希望")</f>
        <v>ネット回線の速度が400Mbps程度を希望</v>
      </c>
      <c r="AE555" s="6" t="str">
        <f aca="false">IFERROR(__xludf.dummyfunction("""COMPUTED_VALUE"""),"確認しました。")</f>
        <v>確認しました。</v>
      </c>
      <c r="AF555" s="6" t="str">
        <f aca="false">IFERROR(__xludf.dummyfunction("""COMPUTED_VALUE"""),"社宅基準の内容について確認しました")</f>
        <v>社宅基準の内容について確認しました</v>
      </c>
      <c r="AG555" s="6" t="str">
        <f aca="false">IFERROR(__xludf.dummyfunction("""COMPUTED_VALUE"""),"入居のしおりの内容についてご確認しました")</f>
        <v>入居のしおりの内容についてご確認しました</v>
      </c>
      <c r="AH555" s="6" t="str">
        <f aca="false">IFERROR(__xludf.dummyfunction("""COMPUTED_VALUE"""),"確認しました")</f>
        <v>確認しました</v>
      </c>
      <c r="AI555" s="6"/>
      <c r="AJ555" s="6" t="str">
        <v/>
      </c>
      <c r="AK555" s="6" t="str">
        <v/>
      </c>
      <c r="AL555" s="6" t="str">
        <v/>
      </c>
      <c r="AM555" s="6" t="str">
        <v/>
      </c>
      <c r="AN555" s="6" t="n">
        <f aca="false">FALSE()</f>
        <v>0</v>
      </c>
    </row>
    <row r="556" customFormat="false" ht="52.5" hidden="false" customHeight="true" outlineLevel="0" collapsed="false">
      <c r="A556" s="6" t="str">
        <f aca="false">IFERROR(__xludf.dummyfunction("""COMPUTED_VALUE"""),"2026/04/11 20:37:31")</f>
        <v>2026/04/11 20:37:31</v>
      </c>
      <c r="B556" s="6"/>
      <c r="C556" s="6" t="str">
        <f aca="false">IFERROR(__xludf.dummyfunction("""COMPUTED_VALUE"""),"72383")</f>
        <v>72383</v>
      </c>
      <c r="D556" s="6"/>
      <c r="E556" s="6"/>
      <c r="F556" s="6"/>
      <c r="G556" s="6" t="str">
        <f aca="false">IFERROR(__xludf.dummyfunction("""COMPUTED_VALUE"""),"2026/04/25")</f>
        <v>2026/04/25</v>
      </c>
      <c r="H556" s="6" t="str">
        <f aca="false">IFERROR(__xludf.dummyfunction("""COMPUTED_VALUE"""),"不要")</f>
        <v>不要</v>
      </c>
      <c r="I556" s="6" t="str">
        <f aca="false">IFERROR(__xludf.dummyfunction("""COMPUTED_VALUE"""),"女性")</f>
        <v>女性</v>
      </c>
      <c r="J556" s="6" t="str">
        <f aca="false">IFERROR(__xludf.dummyfunction("""COMPUTED_VALUE"""),"日本")</f>
        <v>日本</v>
      </c>
      <c r="K556" s="6"/>
      <c r="L556" s="6"/>
      <c r="M556" s="6"/>
      <c r="N556" s="6"/>
      <c r="O556" s="6" t="str">
        <f aca="false">IFERROR(__xludf.dummyfunction("""COMPUTED_VALUE"""),"不要")</f>
        <v>不要</v>
      </c>
      <c r="P556" s="6"/>
      <c r="Q556" s="6"/>
      <c r="R556" s="6"/>
      <c r="S556" s="6" t="str">
        <f aca="false">IFERROR(__xludf.dummyfunction("""COMPUTED_VALUE"""),"家具家電付き社宅")</f>
        <v>家具家電付き社宅</v>
      </c>
      <c r="T556" s="6" t="str">
        <f aca="false">IFERROR(__xludf.dummyfunction("""COMPUTED_VALUE"""),"利用しない")</f>
        <v>利用しない</v>
      </c>
      <c r="U556" s="6"/>
      <c r="V556" s="6" t="str">
        <f aca="false">IFERROR(__xludf.dummyfunction("""COMPUTED_VALUE"""),"社用バス")</f>
        <v>社用バス</v>
      </c>
      <c r="W556" s="6"/>
      <c r="X556" s="6" t="str">
        <f aca="false">IFERROR(__xludf.dummyfunction("""COMPUTED_VALUE"""),"実家")</f>
        <v>実家</v>
      </c>
      <c r="Y556" s="6"/>
      <c r="Z556" s="6" t="str">
        <f aca="false">IFERROR(__xludf.dummyfunction("""COMPUTED_VALUE"""),"希望する")</f>
        <v>希望する</v>
      </c>
      <c r="AA556" s="6" t="str">
        <f aca="false">IFERROR(__xludf.dummyfunction("""COMPUTED_VALUE"""),"単身")</f>
        <v>単身</v>
      </c>
      <c r="AB556" s="6"/>
      <c r="AC556" s="6"/>
      <c r="AD556" s="6"/>
      <c r="AE556" s="6" t="str">
        <f aca="false">IFERROR(__xludf.dummyfunction("""COMPUTED_VALUE"""),"確認しました。")</f>
        <v>確認しました。</v>
      </c>
      <c r="AF556" s="6" t="str">
        <f aca="false">IFERROR(__xludf.dummyfunction("""COMPUTED_VALUE"""),"社宅基準の内容について確認しました")</f>
        <v>社宅基準の内容について確認しました</v>
      </c>
      <c r="AG556" s="6" t="str">
        <f aca="false">IFERROR(__xludf.dummyfunction("""COMPUTED_VALUE"""),"入居のしおりの内容についてご確認しました")</f>
        <v>入居のしおりの内容についてご確認しました</v>
      </c>
      <c r="AH556" s="6" t="str">
        <f aca="false">IFERROR(__xludf.dummyfunction("""COMPUTED_VALUE"""),"確認しました")</f>
        <v>確認しました</v>
      </c>
      <c r="AI556" s="6"/>
      <c r="AJ556" s="6" t="str">
        <v/>
      </c>
      <c r="AK556" s="6" t="str">
        <v/>
      </c>
      <c r="AL556" s="6" t="str">
        <v/>
      </c>
      <c r="AM556" s="6" t="str">
        <v/>
      </c>
      <c r="AN556" s="6" t="n">
        <f aca="false">FALSE()</f>
        <v>0</v>
      </c>
    </row>
    <row r="557" customFormat="false" ht="52.5" hidden="false" customHeight="true" outlineLevel="0" collapsed="false">
      <c r="A557" s="6" t="str">
        <f aca="false">IFERROR(__xludf.dummyfunction("""COMPUTED_VALUE"""),"2026/04/12 13:20:46")</f>
        <v>2026/04/12 13:20:46</v>
      </c>
      <c r="B557" s="6"/>
      <c r="C557" s="6" t="str">
        <f aca="false">IFERROR(__xludf.dummyfunction("""COMPUTED_VALUE"""),"72375")</f>
        <v>72375</v>
      </c>
      <c r="D557" s="6"/>
      <c r="E557" s="6"/>
      <c r="F557" s="6"/>
      <c r="G557" s="6" t="str">
        <f aca="false">IFERROR(__xludf.dummyfunction("""COMPUTED_VALUE"""),"2026/04/20")</f>
        <v>2026/04/20</v>
      </c>
      <c r="H557" s="6" t="str">
        <f aca="false">IFERROR(__xludf.dummyfunction("""COMPUTED_VALUE"""),"必要")</f>
        <v>必要</v>
      </c>
      <c r="I557" s="6" t="str">
        <f aca="false">IFERROR(__xludf.dummyfunction("""COMPUTED_VALUE"""),"男性")</f>
        <v>男性</v>
      </c>
      <c r="J557" s="6" t="str">
        <f aca="false">IFERROR(__xludf.dummyfunction("""COMPUTED_VALUE"""),"日本")</f>
        <v>日本</v>
      </c>
      <c r="K557" s="6" t="str">
        <f aca="false">IFERROR(__xludf.dummyfunction("""COMPUTED_VALUE"""),"8")</f>
        <v>8</v>
      </c>
      <c r="L557" s="6" t="str">
        <f aca="false">IFERROR(__xludf.dummyfunction("""COMPUTED_VALUE"""),"モニター2枚、洗濯機、電子レンジ")</f>
        <v>モニター2枚、洗濯機、電子レンジ</v>
      </c>
      <c r="M557" s="6" t="str">
        <f aca="false">IFERROR(__xludf.dummyfunction("""COMPUTED_VALUE"""),"ローデスク、レンジ棚、マットレス（シングル）")</f>
        <v>ローデスク、レンジ棚、マットレス（シングル）</v>
      </c>
      <c r="N557" s="6"/>
      <c r="O557" s="6" t="str">
        <f aca="false">IFERROR(__xludf.dummyfunction("""COMPUTED_VALUE"""),"必要")</f>
        <v>必要</v>
      </c>
      <c r="P557" s="6" t="str">
        <f aca="false">IFERROR(__xludf.dummyfunction("""COMPUTED_VALUE"""),"不明")</f>
        <v>不明</v>
      </c>
      <c r="Q557" s="6" t="str">
        <f aca="false">IFERROR(__xludf.dummyfunction("""COMPUTED_VALUE"""),"不明")</f>
        <v>不明</v>
      </c>
      <c r="R557" s="6" t="str">
        <f aca="false">IFERROR(__xludf.dummyfunction("""COMPUTED_VALUE"""),"不明")</f>
        <v>不明</v>
      </c>
      <c r="S557" s="6" t="str">
        <f aca="false">IFERROR(__xludf.dummyfunction("""COMPUTED_VALUE"""),"家具家電付き社宅")</f>
        <v>家具家電付き社宅</v>
      </c>
      <c r="T557" s="6" t="str">
        <f aca="false">IFERROR(__xludf.dummyfunction("""COMPUTED_VALUE"""),"利用する")</f>
        <v>利用する</v>
      </c>
      <c r="U557" s="6" t="str">
        <f aca="false">IFERROR(__xludf.dummyfunction("""COMPUTED_VALUE"""),"なし")</f>
        <v>なし</v>
      </c>
      <c r="V557" s="6" t="str">
        <f aca="false">IFERROR(__xludf.dummyfunction("""COMPUTED_VALUE"""),"自動車")</f>
        <v>自動車</v>
      </c>
      <c r="W557" s="6"/>
      <c r="X557" s="6" t="str">
        <f aca="false">IFERROR(__xludf.dummyfunction("""COMPUTED_VALUE"""),"株式会社オープンアップネクストエンジニア様の社宅")</f>
        <v>株式会社オープンアップネクストエンジニア様の社宅</v>
      </c>
      <c r="Y557" s="6" t="str">
        <f aca="false">IFERROR(__xludf.dummyfunction("""COMPUTED_VALUE"""),"洗濯機、電子レンジ　引き継ぎ希望")</f>
        <v>洗濯機、電子レンジ　引き継ぎ希望</v>
      </c>
      <c r="Z557" s="6" t="str">
        <f aca="false">IFERROR(__xludf.dummyfunction("""COMPUTED_VALUE"""),"希望する")</f>
        <v>希望する</v>
      </c>
      <c r="AA557" s="6" t="str">
        <f aca="false">IFERROR(__xludf.dummyfunction("""COMPUTED_VALUE"""),"単身")</f>
        <v>単身</v>
      </c>
      <c r="AB557" s="6"/>
      <c r="AC557" s="6"/>
      <c r="AD557" s="6"/>
      <c r="AE557" s="6" t="str">
        <f aca="false">IFERROR(__xludf.dummyfunction("""COMPUTED_VALUE"""),"確認しました。")</f>
        <v>確認しました。</v>
      </c>
      <c r="AF557" s="6" t="str">
        <f aca="false">IFERROR(__xludf.dummyfunction("""COMPUTED_VALUE"""),"社宅基準の内容について確認しました")</f>
        <v>社宅基準の内容について確認しました</v>
      </c>
      <c r="AG557" s="6" t="str">
        <f aca="false">IFERROR(__xludf.dummyfunction("""COMPUTED_VALUE"""),"入居のしおりの内容についてご確認しました")</f>
        <v>入居のしおりの内容についてご確認しました</v>
      </c>
      <c r="AH557" s="6" t="str">
        <f aca="false">IFERROR(__xludf.dummyfunction("""COMPUTED_VALUE"""),"確認しました")</f>
        <v>確認しました</v>
      </c>
      <c r="AI557" s="6"/>
      <c r="AJ557" s="6" t="str">
        <v/>
      </c>
      <c r="AK557" s="6" t="str">
        <v/>
      </c>
      <c r="AL557" s="6" t="str">
        <v/>
      </c>
      <c r="AM557" s="6" t="str">
        <v/>
      </c>
      <c r="AN557" s="6" t="n">
        <f aca="false">FALSE()</f>
        <v>0</v>
      </c>
    </row>
    <row r="558" customFormat="false" ht="52.5" hidden="false" customHeight="true" outlineLevel="0" collapsed="false">
      <c r="A558" s="6" t="str">
        <f aca="false">IFERROR(__xludf.dummyfunction("""COMPUTED_VALUE"""),"2026/04/12 19:17:21")</f>
        <v>2026/04/12 19:17:21</v>
      </c>
      <c r="B558" s="6"/>
      <c r="C558" s="6" t="str">
        <f aca="false">IFERROR(__xludf.dummyfunction("""COMPUTED_VALUE"""),"72371")</f>
        <v>72371</v>
      </c>
      <c r="D558" s="6"/>
      <c r="E558" s="6"/>
      <c r="F558" s="6"/>
      <c r="G558" s="6" t="str">
        <f aca="false">IFERROR(__xludf.dummyfunction("""COMPUTED_VALUE"""),"2026/04/27")</f>
        <v>2026/04/27</v>
      </c>
      <c r="H558" s="6" t="str">
        <f aca="false">IFERROR(__xludf.dummyfunction("""COMPUTED_VALUE"""),"必要")</f>
        <v>必要</v>
      </c>
      <c r="I558" s="6" t="str">
        <f aca="false">IFERROR(__xludf.dummyfunction("""COMPUTED_VALUE"""),"男性")</f>
        <v>男性</v>
      </c>
      <c r="J558" s="6" t="str">
        <f aca="false">IFERROR(__xludf.dummyfunction("""COMPUTED_VALUE"""),"日本")</f>
        <v>日本</v>
      </c>
      <c r="K558" s="6" t="str">
        <f aca="false">IFERROR(__xludf.dummyfunction("""COMPUTED_VALUE"""),"15")</f>
        <v>15</v>
      </c>
      <c r="L558" s="6" t="str">
        <f aca="false">IFERROR(__xludf.dummyfunction("""COMPUTED_VALUE"""),"なし")</f>
        <v>なし</v>
      </c>
      <c r="M558" s="6" t="str">
        <f aca="false">IFERROR(__xludf.dummyfunction("""COMPUTED_VALUE"""),"机(幅120 奥行60)、ベッド(シングル)")</f>
        <v>机(幅120 奥行60)、ベッド(シングル)</v>
      </c>
      <c r="N558" s="6" t="str">
        <f aca="false">IFERROR(__xludf.dummyfunction("""COMPUTED_VALUE"""),"なし")</f>
        <v>なし</v>
      </c>
      <c r="O558" s="6" t="str">
        <f aca="false">IFERROR(__xludf.dummyfunction("""COMPUTED_VALUE"""),"不要")</f>
        <v>不要</v>
      </c>
      <c r="P558" s="6"/>
      <c r="Q558" s="6"/>
      <c r="R558" s="6"/>
      <c r="S558" s="6" t="str">
        <f aca="false">IFERROR(__xludf.dummyfunction("""COMPUTED_VALUE"""),"家具家電なし社宅")</f>
        <v>家具家電なし社宅</v>
      </c>
      <c r="T558" s="6" t="str">
        <f aca="false">IFERROR(__xludf.dummyfunction("""COMPUTED_VALUE"""),"利用する")</f>
        <v>利用する</v>
      </c>
      <c r="U558" s="6" t="str">
        <f aca="false">IFERROR(__xludf.dummyfunction("""COMPUTED_VALUE"""),"冷凍冷蔵庫、洗濯機、電子レンジ")</f>
        <v>冷凍冷蔵庫、洗濯機、電子レンジ</v>
      </c>
      <c r="V558" s="6" t="str">
        <f aca="false">IFERROR(__xludf.dummyfunction("""COMPUTED_VALUE"""),"徒歩, バス, 社用バス")</f>
        <v>徒歩, バス, 社用バス</v>
      </c>
      <c r="W558" s="6"/>
      <c r="X558" s="6" t="str">
        <f aca="false">IFERROR(__xludf.dummyfunction("""COMPUTED_VALUE"""),"実家")</f>
        <v>実家</v>
      </c>
      <c r="Y558" s="6"/>
      <c r="Z558" s="6" t="str">
        <f aca="false">IFERROR(__xludf.dummyfunction("""COMPUTED_VALUE"""),"希望する")</f>
        <v>希望する</v>
      </c>
      <c r="AA558" s="6" t="str">
        <f aca="false">IFERROR(__xludf.dummyfunction("""COMPUTED_VALUE"""),"単身")</f>
        <v>単身</v>
      </c>
      <c r="AB558" s="6"/>
      <c r="AC558" s="6"/>
      <c r="AD558" s="6" t="str">
        <f aca="false">IFERROR(__xludf.dummyfunction("""COMPUTED_VALUE"""),"自宅で通話をすることが多いため、木造は避けて頂きたいです。")</f>
        <v>自宅で通話をすることが多いため、木造は避けて頂きたいです。</v>
      </c>
      <c r="AE558" s="6" t="str">
        <f aca="false">IFERROR(__xludf.dummyfunction("""COMPUTED_VALUE"""),"確認しました。")</f>
        <v>確認しました。</v>
      </c>
      <c r="AF558" s="6" t="str">
        <f aca="false">IFERROR(__xludf.dummyfunction("""COMPUTED_VALUE"""),"社宅基準の内容について確認しました")</f>
        <v>社宅基準の内容について確認しました</v>
      </c>
      <c r="AG558" s="6" t="str">
        <f aca="false">IFERROR(__xludf.dummyfunction("""COMPUTED_VALUE"""),"入居のしおりの内容についてご確認しました")</f>
        <v>入居のしおりの内容についてご確認しました</v>
      </c>
      <c r="AH558" s="6" t="str">
        <f aca="false">IFERROR(__xludf.dummyfunction("""COMPUTED_VALUE"""),"確認しました")</f>
        <v>確認しました</v>
      </c>
      <c r="AI558" s="6"/>
      <c r="AJ558" s="6" t="str">
        <v/>
      </c>
      <c r="AK558" s="6" t="str">
        <v/>
      </c>
      <c r="AL558" s="6" t="str">
        <v/>
      </c>
      <c r="AM558" s="6" t="str">
        <v/>
      </c>
      <c r="AN558" s="6" t="n">
        <f aca="false">FALSE()</f>
        <v>0</v>
      </c>
    </row>
    <row r="559" customFormat="false" ht="52.5" hidden="false" customHeight="true" outlineLevel="0" collapsed="false">
      <c r="A559" s="6" t="str">
        <f aca="false">IFERROR(__xludf.dummyfunction("""COMPUTED_VALUE"""),"2026/04/12 23:44:50")</f>
        <v>2026/04/12 23:44:50</v>
      </c>
      <c r="B559" s="6"/>
      <c r="C559" s="6" t="str">
        <f aca="false">IFERROR(__xludf.dummyfunction("""COMPUTED_VALUE"""),"72379")</f>
        <v>72379</v>
      </c>
      <c r="D559" s="6"/>
      <c r="E559" s="6"/>
      <c r="F559" s="6"/>
      <c r="G559" s="6" t="str">
        <f aca="false">IFERROR(__xludf.dummyfunction("""COMPUTED_VALUE"""),"2026/05/01")</f>
        <v>2026/05/01</v>
      </c>
      <c r="H559" s="6" t="str">
        <f aca="false">IFERROR(__xludf.dummyfunction("""COMPUTED_VALUE"""),"必要")</f>
        <v>必要</v>
      </c>
      <c r="I559" s="6" t="str">
        <f aca="false">IFERROR(__xludf.dummyfunction("""COMPUTED_VALUE"""),"女性")</f>
        <v>女性</v>
      </c>
      <c r="J559" s="6" t="str">
        <f aca="false">IFERROR(__xludf.dummyfunction("""COMPUTED_VALUE"""),"日本")</f>
        <v>日本</v>
      </c>
      <c r="K559" s="6" t="str">
        <f aca="false">IFERROR(__xludf.dummyfunction("""COMPUTED_VALUE"""),"25")</f>
        <v>25</v>
      </c>
      <c r="L559" s="6" t="str">
        <f aca="false">IFERROR(__xludf.dummyfunction("""COMPUTED_VALUE"""),"ドライヤー、ヘアアイロン")</f>
        <v>ドライヤー、ヘアアイロン</v>
      </c>
      <c r="M559" s="6" t="str">
        <f aca="false">IFERROR(__xludf.dummyfunction("""COMPUTED_VALUE"""),"セミダブル")</f>
        <v>セミダブル</v>
      </c>
      <c r="N559" s="6" t="str">
        <f aca="false">IFERROR(__xludf.dummyfunction("""COMPUTED_VALUE"""),"自転車1台")</f>
        <v>自転車1台</v>
      </c>
      <c r="O559" s="6" t="str">
        <f aca="false">IFERROR(__xludf.dummyfunction("""COMPUTED_VALUE"""),"不要")</f>
        <v>不要</v>
      </c>
      <c r="P559" s="6"/>
      <c r="Q559" s="6"/>
      <c r="R559" s="6"/>
      <c r="S559" s="6" t="str">
        <f aca="false">IFERROR(__xludf.dummyfunction("""COMPUTED_VALUE"""),"家具家電付き社宅")</f>
        <v>家具家電付き社宅</v>
      </c>
      <c r="T559" s="6" t="str">
        <f aca="false">IFERROR(__xludf.dummyfunction("""COMPUTED_VALUE"""),"利用しない")</f>
        <v>利用しない</v>
      </c>
      <c r="U559" s="6"/>
      <c r="V559" s="6" t="str">
        <f aca="false">IFERROR(__xludf.dummyfunction("""COMPUTED_VALUE"""),"徒歩, 自転車")</f>
        <v>徒歩, 自転車</v>
      </c>
      <c r="W559" s="6"/>
      <c r="X559" s="6" t="str">
        <f aca="false">IFERROR(__xludf.dummyfunction("""COMPUTED_VALUE"""),"実家")</f>
        <v>実家</v>
      </c>
      <c r="Y559" s="6"/>
      <c r="Z559" s="6" t="str">
        <f aca="false">IFERROR(__xludf.dummyfunction("""COMPUTED_VALUE"""),"希望する")</f>
        <v>希望する</v>
      </c>
      <c r="AA559" s="6" t="str">
        <f aca="false">IFERROR(__xludf.dummyfunction("""COMPUTED_VALUE"""),"単身")</f>
        <v>単身</v>
      </c>
      <c r="AB559" s="6"/>
      <c r="AC559" s="6"/>
      <c r="AD559" s="6" t="str">
        <f aca="false">IFERROR(__xludf.dummyfunction("""COMPUTED_VALUE"""),"2階以上、バストイレ別希望。出来れば夜でも暗くないエリアがいいです。")</f>
        <v>2階以上、バストイレ別希望。出来れば夜でも暗くないエリアがいいです。</v>
      </c>
      <c r="AE559" s="6" t="str">
        <f aca="false">IFERROR(__xludf.dummyfunction("""COMPUTED_VALUE"""),"確認しました。, ")</f>
        <v>確認しました。, </v>
      </c>
      <c r="AF559" s="6" t="str">
        <f aca="false">IFERROR(__xludf.dummyfunction("""COMPUTED_VALUE"""),"社宅基準の内容について確認しました")</f>
        <v>社宅基準の内容について確認しました</v>
      </c>
      <c r="AG559" s="6" t="str">
        <f aca="false">IFERROR(__xludf.dummyfunction("""COMPUTED_VALUE"""),"入居のしおりの内容についてご確認しました")</f>
        <v>入居のしおりの内容についてご確認しました</v>
      </c>
      <c r="AH559" s="6" t="str">
        <f aca="false">IFERROR(__xludf.dummyfunction("""COMPUTED_VALUE"""),"確認しました")</f>
        <v>確認しました</v>
      </c>
      <c r="AI559" s="6"/>
      <c r="AJ559" s="6" t="str">
        <v/>
      </c>
      <c r="AK559" s="6" t="str">
        <v/>
      </c>
      <c r="AL559" s="6" t="str">
        <v/>
      </c>
      <c r="AM559" s="6" t="str">
        <v/>
      </c>
      <c r="AN559" s="6" t="n">
        <f aca="false">FALSE()</f>
        <v>0</v>
      </c>
    </row>
    <row r="560" customFormat="false" ht="52.5" hidden="false" customHeight="true" outlineLevel="0" collapsed="false">
      <c r="A560" s="6" t="str">
        <f aca="false">IFERROR(__xludf.dummyfunction("""COMPUTED_VALUE"""),"2026/04/13 17:06:01")</f>
        <v>2026/04/13 17:06:01</v>
      </c>
      <c r="B560" s="6"/>
      <c r="C560" s="6" t="str">
        <f aca="false">IFERROR(__xludf.dummyfunction("""COMPUTED_VALUE"""),"72445")</f>
        <v>72445</v>
      </c>
      <c r="D560" s="6"/>
      <c r="E560" s="6"/>
      <c r="F560" s="6"/>
      <c r="G560" s="6" t="str">
        <f aca="false">IFERROR(__xludf.dummyfunction("""COMPUTED_VALUE"""),"2026/04/26")</f>
        <v>2026/04/26</v>
      </c>
      <c r="H560" s="6" t="str">
        <f aca="false">IFERROR(__xludf.dummyfunction("""COMPUTED_VALUE"""),"必要")</f>
        <v>必要</v>
      </c>
      <c r="I560" s="6" t="str">
        <f aca="false">IFERROR(__xludf.dummyfunction("""COMPUTED_VALUE"""),"男性")</f>
        <v>男性</v>
      </c>
      <c r="J560" s="6" t="str">
        <f aca="false">IFERROR(__xludf.dummyfunction("""COMPUTED_VALUE"""),"日本")</f>
        <v>日本</v>
      </c>
      <c r="K560" s="6" t="str">
        <f aca="false">IFERROR(__xludf.dummyfunction("""COMPUTED_VALUE"""),"10")</f>
        <v>10</v>
      </c>
      <c r="L560" s="6" t="str">
        <f aca="false">IFERROR(__xludf.dummyfunction("""COMPUTED_VALUE"""),"冷蔵庫(2ドア)、洗濯機(縦型)、電子レンジ、テレビ(43インチ)")</f>
        <v>冷蔵庫(2ドア)、洗濯機(縦型)、電子レンジ、テレビ(43インチ)</v>
      </c>
      <c r="M560" s="6" t="str">
        <f aca="false">IFERROR(__xludf.dummyfunction("""COMPUTED_VALUE"""),"机(120*60)、ベッド(セミダブル)、ゲーミングチェア")</f>
        <v>机(120*60)、ベッド(セミダブル)、ゲーミングチェア</v>
      </c>
      <c r="N560" s="6" t="str">
        <f aca="false">IFERROR(__xludf.dummyfunction("""COMPUTED_VALUE"""),"レーシングシミュレーター(折りたたみできるのでそれほどかさばらない)")</f>
        <v>レーシングシミュレーター(折りたたみできるのでそれほどかさばらない)</v>
      </c>
      <c r="O560" s="6" t="str">
        <f aca="false">IFERROR(__xludf.dummyfunction("""COMPUTED_VALUE"""),"必要")</f>
        <v>必要</v>
      </c>
      <c r="P560" s="6" t="str">
        <f aca="false">IFERROR(__xludf.dummyfunction("""COMPUTED_VALUE"""),"マイクラC+C")</f>
        <v>マイクラC+C</v>
      </c>
      <c r="Q560" s="6" t="str">
        <f aca="false">IFERROR(__xludf.dummyfunction("""COMPUTED_VALUE"""),"す24-34")</f>
        <v>す24-34</v>
      </c>
      <c r="R560" s="6" t="str">
        <f aca="false">IFERROR(__xludf.dummyfunction("""COMPUTED_VALUE"""),"黒")</f>
        <v>黒</v>
      </c>
      <c r="S560" s="6" t="str">
        <f aca="false">IFERROR(__xludf.dummyfunction("""COMPUTED_VALUE"""),"家具家電なし社宅")</f>
        <v>家具家電なし社宅</v>
      </c>
      <c r="T560" s="6" t="str">
        <f aca="false">IFERROR(__xludf.dummyfunction("""COMPUTED_VALUE"""),"利用しない")</f>
        <v>利用しない</v>
      </c>
      <c r="U560" s="6"/>
      <c r="V560" s="6" t="str">
        <f aca="false">IFERROR(__xludf.dummyfunction("""COMPUTED_VALUE"""),"徒歩, 自動車")</f>
        <v>徒歩, 自動車</v>
      </c>
      <c r="W560" s="6"/>
      <c r="X560" s="6" t="str">
        <f aca="false">IFERROR(__xludf.dummyfunction("""COMPUTED_VALUE"""),"株式会社オープンアップネクストエンジニア様の社宅")</f>
        <v>株式会社オープンアップネクストエンジニア様の社宅</v>
      </c>
      <c r="Y560" s="6" t="str">
        <f aca="false">IFERROR(__xludf.dummyfunction("""COMPUTED_VALUE"""),"利用なし")</f>
        <v>利用なし</v>
      </c>
      <c r="Z560" s="6" t="str">
        <f aca="false">IFERROR(__xludf.dummyfunction("""COMPUTED_VALUE"""),"希望する")</f>
        <v>希望する</v>
      </c>
      <c r="AA560" s="6" t="str">
        <f aca="false">IFERROR(__xludf.dummyfunction("""COMPUTED_VALUE"""),"単身")</f>
        <v>単身</v>
      </c>
      <c r="AB560" s="6"/>
      <c r="AC560" s="6"/>
      <c r="AD560" s="6" t="str">
        <f aca="false">IFERROR(__xludf.dummyfunction("""COMPUTED_VALUE"""),"就業先の住所
茨城県水戸市城南2-10-6GARDENS水戸301
事務所と高速のインターとのアクセスがいい方が理想です")</f>
        <v>就業先の住所
茨城県水戸市城南2-10-6GARDENS水戸301
事務所と高速のインターとのアクセスがいい方が理想です</v>
      </c>
      <c r="AE560" s="6" t="str">
        <f aca="false">IFERROR(__xludf.dummyfunction("""COMPUTED_VALUE"""),"確認しました。")</f>
        <v>確認しました。</v>
      </c>
      <c r="AF560" s="6" t="str">
        <f aca="false">IFERROR(__xludf.dummyfunction("""COMPUTED_VALUE"""),"社宅基準の内容について確認しました")</f>
        <v>社宅基準の内容について確認しました</v>
      </c>
      <c r="AG560" s="6" t="str">
        <f aca="false">IFERROR(__xludf.dummyfunction("""COMPUTED_VALUE"""),"入居のしおりの内容についてご確認しました")</f>
        <v>入居のしおりの内容についてご確認しました</v>
      </c>
      <c r="AH560" s="6" t="str">
        <f aca="false">IFERROR(__xludf.dummyfunction("""COMPUTED_VALUE"""),"確認しました")</f>
        <v>確認しました</v>
      </c>
      <c r="AI560" s="6"/>
      <c r="AJ560" s="6" t="str">
        <v/>
      </c>
      <c r="AK560" s="6" t="str">
        <v/>
      </c>
      <c r="AL560" s="6" t="str">
        <v/>
      </c>
      <c r="AM560" s="6" t="str">
        <v/>
      </c>
      <c r="AN560" s="6" t="n">
        <f aca="false">FALSE()</f>
        <v>0</v>
      </c>
    </row>
    <row r="561" customFormat="false" ht="52.5" hidden="false" customHeight="true" outlineLevel="0" collapsed="false">
      <c r="A561" s="6" t="str">
        <f aca="false">IFERROR(__xludf.dummyfunction("""COMPUTED_VALUE"""),"2026/04/13 17:42:05")</f>
        <v>2026/04/13 17:42:05</v>
      </c>
      <c r="B561" s="6"/>
      <c r="C561" s="6" t="str">
        <f aca="false">IFERROR(__xludf.dummyfunction("""COMPUTED_VALUE"""),"72450")</f>
        <v>72450</v>
      </c>
      <c r="D561" s="6"/>
      <c r="E561" s="6"/>
      <c r="F561" s="6"/>
      <c r="G561" s="6" t="str">
        <f aca="false">IFERROR(__xludf.dummyfunction("""COMPUTED_VALUE"""),"2026/05/01")</f>
        <v>2026/05/01</v>
      </c>
      <c r="H561" s="6" t="str">
        <f aca="false">IFERROR(__xludf.dummyfunction("""COMPUTED_VALUE"""),"必要")</f>
        <v>必要</v>
      </c>
      <c r="I561" s="6" t="str">
        <f aca="false">IFERROR(__xludf.dummyfunction("""COMPUTED_VALUE"""),"男性")</f>
        <v>男性</v>
      </c>
      <c r="J561" s="6" t="str">
        <f aca="false">IFERROR(__xludf.dummyfunction("""COMPUTED_VALUE"""),"日本")</f>
        <v>日本</v>
      </c>
      <c r="K561" s="6" t="str">
        <f aca="false">IFERROR(__xludf.dummyfunction("""COMPUTED_VALUE"""),"6")</f>
        <v>6</v>
      </c>
      <c r="L561" s="6" t="str">
        <f aca="false">IFERROR(__xludf.dummyfunction("""COMPUTED_VALUE"""),"テレビ、電子レンジ")</f>
        <v>テレビ、電子レンジ</v>
      </c>
      <c r="M561" s="6" t="str">
        <f aca="false">IFERROR(__xludf.dummyfunction("""COMPUTED_VALUE"""),"テレビ台、机、本棚１つ、タンス1つ、2人用ソファー")</f>
        <v>テレビ台、机、本棚１つ、タンス1つ、2人用ソファー</v>
      </c>
      <c r="N561" s="6" t="str">
        <f aca="false">IFERROR(__xludf.dummyfunction("""COMPUTED_VALUE"""),"本、ゲームソフト、ノートパソコン2台")</f>
        <v>本、ゲームソフト、ノートパソコン2台</v>
      </c>
      <c r="O561" s="6" t="str">
        <f aca="false">IFERROR(__xludf.dummyfunction("""COMPUTED_VALUE"""),"不要")</f>
        <v>不要</v>
      </c>
      <c r="P561" s="6"/>
      <c r="Q561" s="6"/>
      <c r="R561" s="6"/>
      <c r="S561" s="6" t="str">
        <f aca="false">IFERROR(__xludf.dummyfunction("""COMPUTED_VALUE"""),"家具家電なし社宅")</f>
        <v>家具家電なし社宅</v>
      </c>
      <c r="T561" s="6" t="str">
        <f aca="false">IFERROR(__xludf.dummyfunction("""COMPUTED_VALUE"""),"利用しない")</f>
        <v>利用しない</v>
      </c>
      <c r="U561" s="6"/>
      <c r="V561" s="6" t="str">
        <f aca="false">IFERROR(__xludf.dummyfunction("""COMPUTED_VALUE"""),"徒歩")</f>
        <v>徒歩</v>
      </c>
      <c r="W561" s="6"/>
      <c r="X561" s="6" t="str">
        <f aca="false">IFERROR(__xludf.dummyfunction("""COMPUTED_VALUE"""),"実家")</f>
        <v>実家</v>
      </c>
      <c r="Y561" s="6"/>
      <c r="Z561" s="6" t="str">
        <f aca="false">IFERROR(__xludf.dummyfunction("""COMPUTED_VALUE"""),"希望する")</f>
        <v>希望する</v>
      </c>
      <c r="AA561" s="6" t="str">
        <f aca="false">IFERROR(__xludf.dummyfunction("""COMPUTED_VALUE"""),"単身")</f>
        <v>単身</v>
      </c>
      <c r="AB561" s="6"/>
      <c r="AC561" s="6"/>
      <c r="AD561" s="6"/>
      <c r="AE561" s="6" t="str">
        <f aca="false">IFERROR(__xludf.dummyfunction("""COMPUTED_VALUE"""),"確認しました。")</f>
        <v>確認しました。</v>
      </c>
      <c r="AF561" s="6" t="str">
        <f aca="false">IFERROR(__xludf.dummyfunction("""COMPUTED_VALUE"""),"社宅基準の内容について確認しました")</f>
        <v>社宅基準の内容について確認しました</v>
      </c>
      <c r="AG561" s="6" t="str">
        <f aca="false">IFERROR(__xludf.dummyfunction("""COMPUTED_VALUE"""),"入居のしおりの内容についてご確認しました")</f>
        <v>入居のしおりの内容についてご確認しました</v>
      </c>
      <c r="AH561" s="6" t="str">
        <f aca="false">IFERROR(__xludf.dummyfunction("""COMPUTED_VALUE"""),"確認しました")</f>
        <v>確認しました</v>
      </c>
      <c r="AI561" s="6"/>
      <c r="AJ561" s="6" t="str">
        <v/>
      </c>
      <c r="AK561" s="6" t="str">
        <v/>
      </c>
      <c r="AL561" s="6" t="str">
        <v/>
      </c>
      <c r="AM561" s="6" t="str">
        <v/>
      </c>
      <c r="AN561" s="6" t="n">
        <f aca="false">FALSE()</f>
        <v>0</v>
      </c>
    </row>
    <row r="562" customFormat="false" ht="52.5" hidden="false" customHeight="true" outlineLevel="0" collapsed="false">
      <c r="A562" s="6" t="str">
        <f aca="false">IFERROR(__xludf.dummyfunction("""COMPUTED_VALUE"""),"2026/04/13 18:01:11")</f>
        <v>2026/04/13 18:01:11</v>
      </c>
      <c r="B562" s="6"/>
      <c r="C562" s="6" t="str">
        <f aca="false">IFERROR(__xludf.dummyfunction("""COMPUTED_VALUE"""),"72414")</f>
        <v>72414</v>
      </c>
      <c r="D562" s="6"/>
      <c r="E562" s="6"/>
      <c r="F562" s="6"/>
      <c r="G562" s="6" t="str">
        <f aca="false">IFERROR(__xludf.dummyfunction("""COMPUTED_VALUE"""),"2026/04/26")</f>
        <v>2026/04/26</v>
      </c>
      <c r="H562" s="6" t="str">
        <f aca="false">IFERROR(__xludf.dummyfunction("""COMPUTED_VALUE"""),"必要")</f>
        <v>必要</v>
      </c>
      <c r="I562" s="6" t="str">
        <f aca="false">IFERROR(__xludf.dummyfunction("""COMPUTED_VALUE"""),"男性")</f>
        <v>男性</v>
      </c>
      <c r="J562" s="6" t="str">
        <f aca="false">IFERROR(__xludf.dummyfunction("""COMPUTED_VALUE"""),"日本")</f>
        <v>日本</v>
      </c>
      <c r="K562" s="6" t="str">
        <f aca="false">IFERROR(__xludf.dummyfunction("""COMPUTED_VALUE"""),"7")</f>
        <v>7</v>
      </c>
      <c r="L562" s="6" t="str">
        <f aca="false">IFERROR(__xludf.dummyfunction("""COMPUTED_VALUE"""),"冷蔵庫2ドア　テレビ　洗濯機　電子レンジ　")</f>
        <v>冷蔵庫2ドア　テレビ　洗濯機　電子レンジ　</v>
      </c>
      <c r="M562" s="6" t="str">
        <f aca="false">IFERROR(__xludf.dummyfunction("""COMPUTED_VALUE"""),"テレビ台　スチールラック　")</f>
        <v>テレビ台　スチールラック　</v>
      </c>
      <c r="N562" s="6" t="str">
        <f aca="false">IFERROR(__xludf.dummyfunction("""COMPUTED_VALUE"""),"冬用タイヤ")</f>
        <v>冬用タイヤ</v>
      </c>
      <c r="O562" s="6" t="str">
        <f aca="false">IFERROR(__xludf.dummyfunction("""COMPUTED_VALUE"""),"必要")</f>
        <v>必要</v>
      </c>
      <c r="P562" s="6" t="str">
        <f aca="false">IFERROR(__xludf.dummyfunction("""COMPUTED_VALUE"""),"フォレスター")</f>
        <v>フォレスター</v>
      </c>
      <c r="Q562" s="6" t="str">
        <f aca="false">IFERROR(__xludf.dummyfunction("""COMPUTED_VALUE"""),"た92-66")</f>
        <v>た92-66</v>
      </c>
      <c r="R562" s="6" t="str">
        <f aca="false">IFERROR(__xludf.dummyfunction("""COMPUTED_VALUE"""),"青")</f>
        <v>青</v>
      </c>
      <c r="S562" s="6" t="str">
        <f aca="false">IFERROR(__xludf.dummyfunction("""COMPUTED_VALUE"""),"家具家電なし社宅")</f>
        <v>家具家電なし社宅</v>
      </c>
      <c r="T562" s="6" t="str">
        <f aca="false">IFERROR(__xludf.dummyfunction("""COMPUTED_VALUE"""),"利用しない")</f>
        <v>利用しない</v>
      </c>
      <c r="U562" s="6"/>
      <c r="V562" s="6" t="str">
        <f aca="false">IFERROR(__xludf.dummyfunction("""COMPUTED_VALUE"""),"徒歩, 自動車")</f>
        <v>徒歩, 自動車</v>
      </c>
      <c r="W562" s="6"/>
      <c r="X562" s="6" t="str">
        <f aca="false">IFERROR(__xludf.dummyfunction("""COMPUTED_VALUE"""),"株式会社オープンアップネクストエンジニア様の社宅")</f>
        <v>株式会社オープンアップネクストエンジニア様の社宅</v>
      </c>
      <c r="Y562" s="6" t="str">
        <f aca="false">IFERROR(__xludf.dummyfunction("""COMPUTED_VALUE"""),"利用なし")</f>
        <v>利用なし</v>
      </c>
      <c r="Z562" s="6" t="str">
        <f aca="false">IFERROR(__xludf.dummyfunction("""COMPUTED_VALUE"""),"希望しない")</f>
        <v>希望しない</v>
      </c>
      <c r="AA562" s="6" t="str">
        <f aca="false">IFERROR(__xludf.dummyfunction("""COMPUTED_VALUE"""),"単身")</f>
        <v>単身</v>
      </c>
      <c r="AB562" s="6"/>
      <c r="AC562" s="6"/>
      <c r="AD562" s="6" t="str">
        <f aca="false">IFERROR(__xludf.dummyfunction("""COMPUTED_VALUE"""),"駅か会社に近い場所の物件がよいので、より近い物件の候補をこちらから送らせていただきたい")</f>
        <v>駅か会社に近い場所の物件がよいので、より近い物件の候補をこちらから送らせていただきたい</v>
      </c>
      <c r="AE562" s="6" t="str">
        <f aca="false">IFERROR(__xludf.dummyfunction("""COMPUTED_VALUE"""),"確認しました。")</f>
        <v>確認しました。</v>
      </c>
      <c r="AF562" s="6" t="str">
        <f aca="false">IFERROR(__xludf.dummyfunction("""COMPUTED_VALUE"""),"社宅基準の内容について確認しました")</f>
        <v>社宅基準の内容について確認しました</v>
      </c>
      <c r="AG562" s="6" t="str">
        <f aca="false">IFERROR(__xludf.dummyfunction("""COMPUTED_VALUE"""),"入居のしおりの内容についてご確認しました")</f>
        <v>入居のしおりの内容についてご確認しました</v>
      </c>
      <c r="AH562" s="6" t="str">
        <f aca="false">IFERROR(__xludf.dummyfunction("""COMPUTED_VALUE"""),"確認しました")</f>
        <v>確認しました</v>
      </c>
      <c r="AI562" s="6"/>
      <c r="AJ562" s="6" t="str">
        <v/>
      </c>
      <c r="AK562" s="6" t="str">
        <v/>
      </c>
      <c r="AL562" s="6" t="str">
        <v/>
      </c>
      <c r="AM562" s="6" t="str">
        <v/>
      </c>
      <c r="AN562" s="6" t="n">
        <f aca="false">FALSE()</f>
        <v>0</v>
      </c>
    </row>
    <row r="563" customFormat="false" ht="52.5" hidden="false" customHeight="true" outlineLevel="0" collapsed="false">
      <c r="A563" s="6" t="str">
        <f aca="false">IFERROR(__xludf.dummyfunction("""COMPUTED_VALUE"""),"2026/04/13 21:21:40")</f>
        <v>2026/04/13 21:21:40</v>
      </c>
      <c r="B563" s="6"/>
      <c r="C563" s="6" t="str">
        <f aca="false">IFERROR(__xludf.dummyfunction("""COMPUTED_VALUE"""),"72467")</f>
        <v>72467</v>
      </c>
      <c r="D563" s="6"/>
      <c r="E563" s="6"/>
      <c r="F563" s="6"/>
      <c r="G563" s="6" t="str">
        <f aca="false">IFERROR(__xludf.dummyfunction("""COMPUTED_VALUE"""),"2026/04/25")</f>
        <v>2026/04/25</v>
      </c>
      <c r="H563" s="6" t="str">
        <f aca="false">IFERROR(__xludf.dummyfunction("""COMPUTED_VALUE"""),"不要")</f>
        <v>不要</v>
      </c>
      <c r="I563" s="6" t="str">
        <f aca="false">IFERROR(__xludf.dummyfunction("""COMPUTED_VALUE"""),"男性")</f>
        <v>男性</v>
      </c>
      <c r="J563" s="6" t="str">
        <f aca="false">IFERROR(__xludf.dummyfunction("""COMPUTED_VALUE"""),"日本")</f>
        <v>日本</v>
      </c>
      <c r="K563" s="6"/>
      <c r="L563" s="6"/>
      <c r="M563" s="6"/>
      <c r="N563" s="6"/>
      <c r="O563" s="6" t="str">
        <f aca="false">IFERROR(__xludf.dummyfunction("""COMPUTED_VALUE"""),"不要")</f>
        <v>不要</v>
      </c>
      <c r="P563" s="6"/>
      <c r="Q563" s="6"/>
      <c r="R563" s="6"/>
      <c r="S563" s="6" t="str">
        <f aca="false">IFERROR(__xludf.dummyfunction("""COMPUTED_VALUE"""),"家具家電付き社宅")</f>
        <v>家具家電付き社宅</v>
      </c>
      <c r="T563" s="6" t="str">
        <f aca="false">IFERROR(__xludf.dummyfunction("""COMPUTED_VALUE"""),"利用しない")</f>
        <v>利用しない</v>
      </c>
      <c r="U563" s="6"/>
      <c r="V563" s="6" t="str">
        <f aca="false">IFERROR(__xludf.dummyfunction("""COMPUTED_VALUE"""),"徒歩, 電車")</f>
        <v>徒歩, 電車</v>
      </c>
      <c r="W563" s="6"/>
      <c r="X563" s="6" t="str">
        <f aca="false">IFERROR(__xludf.dummyfunction("""COMPUTED_VALUE"""),"実家")</f>
        <v>実家</v>
      </c>
      <c r="Y563" s="6"/>
      <c r="Z563" s="6" t="str">
        <f aca="false">IFERROR(__xludf.dummyfunction("""COMPUTED_VALUE"""),"希望する")</f>
        <v>希望する</v>
      </c>
      <c r="AA563" s="6" t="str">
        <f aca="false">IFERROR(__xludf.dummyfunction("""COMPUTED_VALUE"""),"単身")</f>
        <v>単身</v>
      </c>
      <c r="AB563" s="6"/>
      <c r="AC563" s="6"/>
      <c r="AD563" s="6"/>
      <c r="AE563" s="6" t="str">
        <f aca="false">IFERROR(__xludf.dummyfunction("""COMPUTED_VALUE"""),"確認しました。")</f>
        <v>確認しました。</v>
      </c>
      <c r="AF563" s="6" t="str">
        <f aca="false">IFERROR(__xludf.dummyfunction("""COMPUTED_VALUE"""),"社宅基準の内容について確認しました")</f>
        <v>社宅基準の内容について確認しました</v>
      </c>
      <c r="AG563" s="6" t="str">
        <f aca="false">IFERROR(__xludf.dummyfunction("""COMPUTED_VALUE"""),"入居のしおりの内容についてご確認しました")</f>
        <v>入居のしおりの内容についてご確認しました</v>
      </c>
      <c r="AH563" s="6" t="str">
        <f aca="false">IFERROR(__xludf.dummyfunction("""COMPUTED_VALUE"""),"確認しました")</f>
        <v>確認しました</v>
      </c>
      <c r="AI563" s="6"/>
      <c r="AJ563" s="6" t="str">
        <v/>
      </c>
      <c r="AK563" s="6" t="str">
        <v/>
      </c>
      <c r="AL563" s="6" t="str">
        <v/>
      </c>
      <c r="AM563" s="6" t="str">
        <v/>
      </c>
      <c r="AN563" s="6" t="n">
        <f aca="false">FALSE()</f>
        <v>0</v>
      </c>
    </row>
    <row r="564" customFormat="false" ht="52.5" hidden="false" customHeight="true" outlineLevel="0" collapsed="false">
      <c r="A564" s="6" t="str">
        <f aca="false">IFERROR(__xludf.dummyfunction("""COMPUTED_VALUE"""),"2026/04/14 12:56:09")</f>
        <v>2026/04/14 12:56:09</v>
      </c>
      <c r="B564" s="6"/>
      <c r="C564" s="6" t="str">
        <f aca="false">IFERROR(__xludf.dummyfunction("""COMPUTED_VALUE"""),"72466")</f>
        <v>72466</v>
      </c>
      <c r="D564" s="6"/>
      <c r="E564" s="6"/>
      <c r="F564" s="6"/>
      <c r="G564" s="6" t="str">
        <f aca="false">IFERROR(__xludf.dummyfunction("""COMPUTED_VALUE"""),"2026/04/26")</f>
        <v>2026/04/26</v>
      </c>
      <c r="H564" s="6" t="str">
        <f aca="false">IFERROR(__xludf.dummyfunction("""COMPUTED_VALUE"""),"必要")</f>
        <v>必要</v>
      </c>
      <c r="I564" s="6" t="str">
        <f aca="false">IFERROR(__xludf.dummyfunction("""COMPUTED_VALUE"""),"男性")</f>
        <v>男性</v>
      </c>
      <c r="J564" s="6" t="str">
        <f aca="false">IFERROR(__xludf.dummyfunction("""COMPUTED_VALUE"""),"日本")</f>
        <v>日本</v>
      </c>
      <c r="K564" s="6" t="str">
        <f aca="false">IFERROR(__xludf.dummyfunction("""COMPUTED_VALUE"""),"15")</f>
        <v>15</v>
      </c>
      <c r="L564" s="6" t="str">
        <f aca="false">IFERROR(__xludf.dummyfunction("""COMPUTED_VALUE"""),"ドライヤー")</f>
        <v>ドライヤー</v>
      </c>
      <c r="M564" s="6" t="str">
        <f aca="false">IFERROR(__xludf.dummyfunction("""COMPUTED_VALUE"""),"オフィスチェア　50奥行き x 50幅 x 130高さ cm　ゲーミングデスク　60奥行き x 140幅 x 75高さ cm")</f>
        <v>オフィスチェア　50奥行き x 50幅 x 130高さ cm　ゲーミングデスク　60奥行き x 140幅 x 75高さ cm</v>
      </c>
      <c r="N564" s="6" t="str">
        <f aca="false">IFERROR(__xludf.dummyfunction("""COMPUTED_VALUE"""),"クロスバイクデスクトップパソコン　モニター二台")</f>
        <v>クロスバイクデスクトップパソコン　モニター二台</v>
      </c>
      <c r="O564" s="6" t="str">
        <f aca="false">IFERROR(__xludf.dummyfunction("""COMPUTED_VALUE"""),"不要")</f>
        <v>不要</v>
      </c>
      <c r="P564" s="6"/>
      <c r="Q564" s="6"/>
      <c r="R564" s="6"/>
      <c r="S564" s="6" t="str">
        <f aca="false">IFERROR(__xludf.dummyfunction("""COMPUTED_VALUE"""),"家具家電付き社宅")</f>
        <v>家具家電付き社宅</v>
      </c>
      <c r="T564" s="6" t="str">
        <f aca="false">IFERROR(__xludf.dummyfunction("""COMPUTED_VALUE"""),"利用しない")</f>
        <v>利用しない</v>
      </c>
      <c r="U564" s="6"/>
      <c r="V564" s="6" t="str">
        <f aca="false">IFERROR(__xludf.dummyfunction("""COMPUTED_VALUE"""),"徒歩, 自転車, 電車, バス, 社用バス")</f>
        <v>徒歩, 自転車, 電車, バス, 社用バス</v>
      </c>
      <c r="W564" s="6"/>
      <c r="X564" s="6" t="str">
        <f aca="false">IFERROR(__xludf.dummyfunction("""COMPUTED_VALUE"""),"実家")</f>
        <v>実家</v>
      </c>
      <c r="Y564" s="6"/>
      <c r="Z564" s="6" t="str">
        <f aca="false">IFERROR(__xludf.dummyfunction("""COMPUTED_VALUE"""),"希望する")</f>
        <v>希望する</v>
      </c>
      <c r="AA564" s="6" t="str">
        <f aca="false">IFERROR(__xludf.dummyfunction("""COMPUTED_VALUE"""),"単身")</f>
        <v>単身</v>
      </c>
      <c r="AB564" s="6"/>
      <c r="AC564" s="6"/>
      <c r="AD564" s="6"/>
      <c r="AE564" s="6" t="str">
        <f aca="false">IFERROR(__xludf.dummyfunction("""COMPUTED_VALUE"""),"確認しました。")</f>
        <v>確認しました。</v>
      </c>
      <c r="AF564" s="6" t="str">
        <f aca="false">IFERROR(__xludf.dummyfunction("""COMPUTED_VALUE"""),"社宅基準の内容について確認しました")</f>
        <v>社宅基準の内容について確認しました</v>
      </c>
      <c r="AG564" s="6" t="str">
        <f aca="false">IFERROR(__xludf.dummyfunction("""COMPUTED_VALUE"""),"入居のしおりの内容についてご確認しました")</f>
        <v>入居のしおりの内容についてご確認しました</v>
      </c>
      <c r="AH564" s="6" t="str">
        <f aca="false">IFERROR(__xludf.dummyfunction("""COMPUTED_VALUE"""),"確認しました")</f>
        <v>確認しました</v>
      </c>
      <c r="AI564" s="6"/>
      <c r="AJ564" s="6" t="str">
        <v/>
      </c>
      <c r="AK564" s="6" t="str">
        <v/>
      </c>
      <c r="AL564" s="6" t="str">
        <v/>
      </c>
      <c r="AM564" s="6" t="str">
        <v/>
      </c>
      <c r="AN564" s="6" t="n">
        <f aca="false">FALSE()</f>
        <v>0</v>
      </c>
    </row>
    <row r="565" customFormat="false" ht="52.5" hidden="false" customHeight="true" outlineLevel="0" collapsed="false">
      <c r="A565" s="6" t="str">
        <f aca="false">IFERROR(__xludf.dummyfunction("""COMPUTED_VALUE"""),"2026/04/14 17:53:08")</f>
        <v>2026/04/14 17:53:08</v>
      </c>
      <c r="B565" s="6"/>
      <c r="C565" s="6" t="str">
        <f aca="false">IFERROR(__xludf.dummyfunction("""COMPUTED_VALUE"""),"72430")</f>
        <v>72430</v>
      </c>
      <c r="D565" s="6"/>
      <c r="E565" s="6"/>
      <c r="F565" s="6"/>
      <c r="G565" s="6" t="str">
        <f aca="false">IFERROR(__xludf.dummyfunction("""COMPUTED_VALUE"""),"2026/05/14")</f>
        <v>2026/05/14</v>
      </c>
      <c r="H565" s="6" t="str">
        <f aca="false">IFERROR(__xludf.dummyfunction("""COMPUTED_VALUE"""),"必要")</f>
        <v>必要</v>
      </c>
      <c r="I565" s="6" t="str">
        <f aca="false">IFERROR(__xludf.dummyfunction("""COMPUTED_VALUE"""),"男性")</f>
        <v>男性</v>
      </c>
      <c r="J565" s="6" t="str">
        <f aca="false">IFERROR(__xludf.dummyfunction("""COMPUTED_VALUE"""),"日本")</f>
        <v>日本</v>
      </c>
      <c r="K565" s="6" t="str">
        <f aca="false">IFERROR(__xludf.dummyfunction("""COMPUTED_VALUE"""),"7")</f>
        <v>7</v>
      </c>
      <c r="L565" s="6" t="str">
        <f aca="false">IFERROR(__xludf.dummyfunction("""COMPUTED_VALUE"""),"なし")</f>
        <v>なし</v>
      </c>
      <c r="M565" s="6" t="str">
        <f aca="false">IFERROR(__xludf.dummyfunction("""COMPUTED_VALUE"""),"なし")</f>
        <v>なし</v>
      </c>
      <c r="N565" s="6" t="str">
        <f aca="false">IFERROR(__xludf.dummyfunction("""COMPUTED_VALUE"""),"ゲーミングPC、モニター2台、自電車、書籍類")</f>
        <v>ゲーミングPC、モニター2台、自電車、書籍類</v>
      </c>
      <c r="O565" s="6" t="str">
        <f aca="false">IFERROR(__xludf.dummyfunction("""COMPUTED_VALUE"""),"不要")</f>
        <v>不要</v>
      </c>
      <c r="P565" s="6"/>
      <c r="Q565" s="6"/>
      <c r="R565" s="6"/>
      <c r="S565" s="6" t="str">
        <f aca="false">IFERROR(__xludf.dummyfunction("""COMPUTED_VALUE"""),"家具家電なし社宅")</f>
        <v>家具家電なし社宅</v>
      </c>
      <c r="T565" s="6" t="str">
        <f aca="false">IFERROR(__xludf.dummyfunction("""COMPUTED_VALUE"""),"利用する")</f>
        <v>利用する</v>
      </c>
      <c r="U565" s="6" t="str">
        <f aca="false">IFERROR(__xludf.dummyfunction("""COMPUTED_VALUE"""),"エアコン、冷蔵庫、電子レンジ、ガスコンロ(1口)、冷凍冷蔵庫(80ℓ)、洗濯機、ローテーブル")</f>
        <v>エアコン、冷蔵庫、電子レンジ、ガスコンロ(1口)、冷凍冷蔵庫(80ℓ)、洗濯機、ローテーブル</v>
      </c>
      <c r="V565" s="6" t="str">
        <f aca="false">IFERROR(__xludf.dummyfunction("""COMPUTED_VALUE"""),"徒歩, 自転車")</f>
        <v>徒歩, 自転車</v>
      </c>
      <c r="W565" s="6"/>
      <c r="X565" s="6" t="str">
        <f aca="false">IFERROR(__xludf.dummyfunction("""COMPUTED_VALUE"""),"実家")</f>
        <v>実家</v>
      </c>
      <c r="Y565" s="6"/>
      <c r="Z565" s="6" t="str">
        <f aca="false">IFERROR(__xludf.dummyfunction("""COMPUTED_VALUE"""),"希望する")</f>
        <v>希望する</v>
      </c>
      <c r="AA565" s="6" t="str">
        <f aca="false">IFERROR(__xludf.dummyfunction("""COMPUTED_VALUE"""),"単身")</f>
        <v>単身</v>
      </c>
      <c r="AB565" s="6"/>
      <c r="AC565" s="6"/>
      <c r="AD565" s="6"/>
      <c r="AE565" s="6" t="str">
        <f aca="false">IFERROR(__xludf.dummyfunction("""COMPUTED_VALUE"""),"確認しました。")</f>
        <v>確認しました。</v>
      </c>
      <c r="AF565" s="6" t="str">
        <f aca="false">IFERROR(__xludf.dummyfunction("""COMPUTED_VALUE"""),"社宅基準の内容について確認しました")</f>
        <v>社宅基準の内容について確認しました</v>
      </c>
      <c r="AG565" s="6" t="str">
        <f aca="false">IFERROR(__xludf.dummyfunction("""COMPUTED_VALUE"""),"入居のしおりの内容についてご確認しました")</f>
        <v>入居のしおりの内容についてご確認しました</v>
      </c>
      <c r="AH565" s="6" t="str">
        <f aca="false">IFERROR(__xludf.dummyfunction("""COMPUTED_VALUE"""),"確認しました")</f>
        <v>確認しました</v>
      </c>
      <c r="AI565" s="6"/>
      <c r="AJ565" s="6" t="str">
        <v/>
      </c>
      <c r="AK565" s="6" t="str">
        <v/>
      </c>
      <c r="AL565" s="6" t="str">
        <v/>
      </c>
      <c r="AM565" s="6" t="str">
        <v/>
      </c>
      <c r="AN565" s="6" t="n">
        <f aca="false">FALSE()</f>
        <v>0</v>
      </c>
    </row>
    <row r="566" customFormat="false" ht="52.5" hidden="false" customHeight="true" outlineLevel="0" collapsed="false">
      <c r="A566" s="6" t="str">
        <f aca="false">IFERROR(__xludf.dummyfunction("""COMPUTED_VALUE"""),"2026/04/14 20:08:44")</f>
        <v>2026/04/14 20:08:44</v>
      </c>
      <c r="B566" s="6"/>
      <c r="C566" s="6" t="str">
        <f aca="false">IFERROR(__xludf.dummyfunction("""COMPUTED_VALUE"""),"72494")</f>
        <v>72494</v>
      </c>
      <c r="D566" s="6"/>
      <c r="E566" s="6"/>
      <c r="F566" s="6"/>
      <c r="G566" s="6" t="str">
        <f aca="false">IFERROR(__xludf.dummyfunction("""COMPUTED_VALUE"""),"2026/05/05")</f>
        <v>2026/05/05</v>
      </c>
      <c r="H566" s="6" t="str">
        <f aca="false">IFERROR(__xludf.dummyfunction("""COMPUTED_VALUE"""),"必要")</f>
        <v>必要</v>
      </c>
      <c r="I566" s="6" t="str">
        <f aca="false">IFERROR(__xludf.dummyfunction("""COMPUTED_VALUE"""),"男性")</f>
        <v>男性</v>
      </c>
      <c r="J566" s="6" t="str">
        <f aca="false">IFERROR(__xludf.dummyfunction("""COMPUTED_VALUE"""),"日本")</f>
        <v>日本</v>
      </c>
      <c r="K566" s="6" t="str">
        <f aca="false">IFERROR(__xludf.dummyfunction("""COMPUTED_VALUE"""),"10")</f>
        <v>10</v>
      </c>
      <c r="L566" s="6" t="str">
        <f aca="false">IFERROR(__xludf.dummyfunction("""COMPUTED_VALUE"""),"冷蔵庫（単身用）、洗濯機、電子レンジ、炊飯器")</f>
        <v>冷蔵庫（単身用）、洗濯機、電子レンジ、炊飯器</v>
      </c>
      <c r="M566" s="6" t="str">
        <f aca="false">IFERROR(__xludf.dummyfunction("""COMPUTED_VALUE"""),"ベット（シングル）、衣装ケース2つ、机")</f>
        <v>ベット（シングル）、衣装ケース2つ、机</v>
      </c>
      <c r="N566" s="6" t="str">
        <f aca="false">IFERROR(__xludf.dummyfunction("""COMPUTED_VALUE"""),"自転車")</f>
        <v>自転車</v>
      </c>
      <c r="O566" s="6" t="str">
        <f aca="false">IFERROR(__xludf.dummyfunction("""COMPUTED_VALUE"""),"不要")</f>
        <v>不要</v>
      </c>
      <c r="P566" s="6"/>
      <c r="Q566" s="6"/>
      <c r="R566" s="6"/>
      <c r="S566" s="6" t="str">
        <f aca="false">IFERROR(__xludf.dummyfunction("""COMPUTED_VALUE"""),"家具家電なし社宅")</f>
        <v>家具家電なし社宅</v>
      </c>
      <c r="T566" s="6" t="str">
        <f aca="false">IFERROR(__xludf.dummyfunction("""COMPUTED_VALUE"""),"利用しない")</f>
        <v>利用しない</v>
      </c>
      <c r="U566" s="6"/>
      <c r="V566" s="6" t="str">
        <f aca="false">IFERROR(__xludf.dummyfunction("""COMPUTED_VALUE"""),"徒歩, 自転車, 電車")</f>
        <v>徒歩, 自転車, 電車</v>
      </c>
      <c r="W566" s="6"/>
      <c r="X566" s="6" t="str">
        <f aca="false">IFERROR(__xludf.dummyfunction("""COMPUTED_VALUE"""),"実家")</f>
        <v>実家</v>
      </c>
      <c r="Y566" s="6"/>
      <c r="Z566" s="6" t="str">
        <f aca="false">IFERROR(__xludf.dummyfunction("""COMPUTED_VALUE"""),"希望する")</f>
        <v>希望する</v>
      </c>
      <c r="AA566" s="6" t="str">
        <f aca="false">IFERROR(__xludf.dummyfunction("""COMPUTED_VALUE"""),"単身")</f>
        <v>単身</v>
      </c>
      <c r="AB566" s="6"/>
      <c r="AC566" s="6"/>
      <c r="AD566" s="6" t="str">
        <f aca="false">IFERROR(__xludf.dummyfunction("""COMPUTED_VALUE"""),"インターネット回線については、自分で手配したい。")</f>
        <v>インターネット回線については、自分で手配したい。</v>
      </c>
      <c r="AE566" s="6" t="str">
        <f aca="false">IFERROR(__xludf.dummyfunction("""COMPUTED_VALUE"""),"確認しました。")</f>
        <v>確認しました。</v>
      </c>
      <c r="AF566" s="6" t="str">
        <f aca="false">IFERROR(__xludf.dummyfunction("""COMPUTED_VALUE"""),"社宅基準の内容について確認しました")</f>
        <v>社宅基準の内容について確認しました</v>
      </c>
      <c r="AG566" s="6" t="str">
        <f aca="false">IFERROR(__xludf.dummyfunction("""COMPUTED_VALUE"""),"入居のしおりの内容についてご確認しました")</f>
        <v>入居のしおりの内容についてご確認しました</v>
      </c>
      <c r="AH566" s="6" t="str">
        <f aca="false">IFERROR(__xludf.dummyfunction("""COMPUTED_VALUE"""),"確認しました")</f>
        <v>確認しました</v>
      </c>
      <c r="AI566" s="6"/>
      <c r="AJ566" s="6" t="str">
        <v/>
      </c>
      <c r="AK566" s="6" t="str">
        <v/>
      </c>
      <c r="AL566" s="6" t="str">
        <v/>
      </c>
      <c r="AM566" s="6" t="str">
        <v/>
      </c>
      <c r="AN566" s="6" t="n">
        <f aca="false">FALSE()</f>
        <v>0</v>
      </c>
    </row>
    <row r="567" customFormat="false" ht="52.5" hidden="false" customHeight="true" outlineLevel="0" collapsed="false">
      <c r="A567" s="6" t="str">
        <f aca="false">IFERROR(__xludf.dummyfunction("""COMPUTED_VALUE"""),"2026/04/14 21:31:38")</f>
        <v>2026/04/14 21:31:38</v>
      </c>
      <c r="B567" s="6"/>
      <c r="C567" s="6" t="str">
        <f aca="false">IFERROR(__xludf.dummyfunction("""COMPUTED_VALUE"""),"72440")</f>
        <v>72440</v>
      </c>
      <c r="D567" s="6"/>
      <c r="E567" s="6"/>
      <c r="F567" s="6"/>
      <c r="G567" s="6" t="str">
        <f aca="false">IFERROR(__xludf.dummyfunction("""COMPUTED_VALUE"""),"2026/04/26")</f>
        <v>2026/04/26</v>
      </c>
      <c r="H567" s="6" t="str">
        <f aca="false">IFERROR(__xludf.dummyfunction("""COMPUTED_VALUE"""),"必要")</f>
        <v>必要</v>
      </c>
      <c r="I567" s="6" t="str">
        <f aca="false">IFERROR(__xludf.dummyfunction("""COMPUTED_VALUE"""),"男性")</f>
        <v>男性</v>
      </c>
      <c r="J567" s="6" t="str">
        <f aca="false">IFERROR(__xludf.dummyfunction("""COMPUTED_VALUE"""),"日本")</f>
        <v>日本</v>
      </c>
      <c r="K567" s="6" t="str">
        <f aca="false">IFERROR(__xludf.dummyfunction("""COMPUTED_VALUE"""),"20")</f>
        <v>20</v>
      </c>
      <c r="L567" s="6" t="str">
        <f aca="false">IFERROR(__xludf.dummyfunction("""COMPUTED_VALUE"""),"無し")</f>
        <v>無し</v>
      </c>
      <c r="M567" s="6" t="str">
        <f aca="false">IFERROR(__xludf.dummyfunction("""COMPUTED_VALUE"""),"机　横120㎝　奥行60㎝　高さ64㎝
ソファ　1.5人掛け")</f>
        <v>机　横120㎝　奥行60㎝　高さ64㎝
ソファ　1.5人掛け</v>
      </c>
      <c r="N567" s="6" t="str">
        <f aca="false">IFERROR(__xludf.dummyfunction("""COMPUTED_VALUE"""),"自転車")</f>
        <v>自転車</v>
      </c>
      <c r="O567" s="6" t="str">
        <f aca="false">IFERROR(__xludf.dummyfunction("""COMPUTED_VALUE"""),"不要")</f>
        <v>不要</v>
      </c>
      <c r="P567" s="6"/>
      <c r="Q567" s="6"/>
      <c r="R567" s="6"/>
      <c r="S567" s="6" t="str">
        <f aca="false">IFERROR(__xludf.dummyfunction("""COMPUTED_VALUE"""),"家具家電なし社宅")</f>
        <v>家具家電なし社宅</v>
      </c>
      <c r="T567" s="6" t="str">
        <f aca="false">IFERROR(__xludf.dummyfunction("""COMPUTED_VALUE"""),"利用しない")</f>
        <v>利用しない</v>
      </c>
      <c r="U567" s="6"/>
      <c r="V567" s="6" t="str">
        <f aca="false">IFERROR(__xludf.dummyfunction("""COMPUTED_VALUE"""),"電車")</f>
        <v>電車</v>
      </c>
      <c r="W567" s="6"/>
      <c r="X567" s="6" t="str">
        <f aca="false">IFERROR(__xludf.dummyfunction("""COMPUTED_VALUE"""),"実家")</f>
        <v>実家</v>
      </c>
      <c r="Y567" s="6"/>
      <c r="Z567" s="6" t="str">
        <f aca="false">IFERROR(__xludf.dummyfunction("""COMPUTED_VALUE"""),"希望する")</f>
        <v>希望する</v>
      </c>
      <c r="AA567" s="6" t="str">
        <f aca="false">IFERROR(__xludf.dummyfunction("""COMPUTED_VALUE"""),"単身")</f>
        <v>単身</v>
      </c>
      <c r="AB567" s="6"/>
      <c r="AC567" s="6"/>
      <c r="AD567" s="6"/>
      <c r="AE567" s="6" t="str">
        <f aca="false">IFERROR(__xludf.dummyfunction("""COMPUTED_VALUE"""),"確認しました。")</f>
        <v>確認しました。</v>
      </c>
      <c r="AF567" s="6" t="str">
        <f aca="false">IFERROR(__xludf.dummyfunction("""COMPUTED_VALUE"""),"社宅基準の内容について確認しました")</f>
        <v>社宅基準の内容について確認しました</v>
      </c>
      <c r="AG567" s="6" t="str">
        <f aca="false">IFERROR(__xludf.dummyfunction("""COMPUTED_VALUE"""),"入居のしおりの内容についてご確認しました")</f>
        <v>入居のしおりの内容についてご確認しました</v>
      </c>
      <c r="AH567" s="6" t="str">
        <f aca="false">IFERROR(__xludf.dummyfunction("""COMPUTED_VALUE"""),"確認しました")</f>
        <v>確認しました</v>
      </c>
      <c r="AI567" s="6"/>
      <c r="AJ567" s="6" t="str">
        <v/>
      </c>
      <c r="AK567" s="6" t="str">
        <v/>
      </c>
      <c r="AL567" s="6" t="str">
        <v/>
      </c>
      <c r="AM567" s="6" t="str">
        <v/>
      </c>
      <c r="AN567" s="6" t="n">
        <f aca="false">FALSE()</f>
        <v>0</v>
      </c>
    </row>
    <row r="568" customFormat="false" ht="52.5" hidden="false" customHeight="true" outlineLevel="0" collapsed="false">
      <c r="A568" s="6" t="str">
        <f aca="false">IFERROR(__xludf.dummyfunction("""COMPUTED_VALUE"""),"2026/04/15 2:54:15")</f>
        <v>2026/04/15 2:54:15</v>
      </c>
      <c r="B568" s="6"/>
      <c r="C568" s="6" t="str">
        <f aca="false">IFERROR(__xludf.dummyfunction("""COMPUTED_VALUE"""),"72473")</f>
        <v>72473</v>
      </c>
      <c r="D568" s="6"/>
      <c r="E568" s="6"/>
      <c r="F568" s="6"/>
      <c r="G568" s="6" t="str">
        <f aca="false">IFERROR(__xludf.dummyfunction("""COMPUTED_VALUE"""),"2026/05/08")</f>
        <v>2026/05/08</v>
      </c>
      <c r="H568" s="6" t="str">
        <f aca="false">IFERROR(__xludf.dummyfunction("""COMPUTED_VALUE"""),"必要")</f>
        <v>必要</v>
      </c>
      <c r="I568" s="6" t="str">
        <f aca="false">IFERROR(__xludf.dummyfunction("""COMPUTED_VALUE"""),"女性")</f>
        <v>女性</v>
      </c>
      <c r="J568" s="6" t="str">
        <f aca="false">IFERROR(__xludf.dummyfunction("""COMPUTED_VALUE"""),"日本")</f>
        <v>日本</v>
      </c>
      <c r="K568" s="6" t="str">
        <f aca="false">IFERROR(__xludf.dummyfunction("""COMPUTED_VALUE"""),"20")</f>
        <v>20</v>
      </c>
      <c r="L568" s="6" t="str">
        <f aca="false">IFERROR(__xludf.dummyfunction("""COMPUTED_VALUE"""),"冷蔵庫（単身用2ドア）/縦型洗濯機（横幅55.5×奥行52.5×高さ92㎝）/電子レンジ/テレビ/PCモニタ")</f>
        <v>冷蔵庫（単身用2ドア）/縦型洗濯機（横幅55.5×奥行52.5×高さ92㎝）/電子レンジ/テレビ/PCモニタ</v>
      </c>
      <c r="M568" s="6" t="str">
        <f aca="false">IFERROR(__xludf.dummyfunction("""COMPUTED_VALUE"""),"机（約W120×D70×H70cm）/棚（87奥行き x 29幅 x 90高さ cm）/
ベッド（木製引き出し付きシングル・長さ 202 cm幅90cm,分解不可）/
マットレス（シングル・長さ 202 cm幅90cm）/
折り畳みマットレス（195長さ x 97幅 x 6厚み cm）/
ゲーミングチェア（50奥行き x 50幅 x 45高さ cm）/
鏡面付きドレッサー（奥行40*幅76*高さ149㎝）/スツール（高さ44×横37×奥行27㎝）
/テレビ台（幅89.7×奥行40.8×高さ43.4cm）/"&amp;"
ローテーブル（幅80×奥行39.4×高さ38.1cm）/
折り畳みローテーブル/レンジラック（32奥行き x 60幅 x 48高さ cm）/
ランドリーラック（54.5奥行き x 95幅 x 182高さ cm）")</f>
        <v>机（約W120×D70×H70cm）/棚（87奥行き x 29幅 x 90高さ cm）/
ベッド（木製引き出し付きシングル・長さ 202 cm幅90cm,分解不可）/
マットレス（シングル・長さ 202 cm幅90cm）/
折り畳みマットレス（195長さ x 97幅 x 6厚み cm）/
ゲーミングチェア（50奥行き x 50幅 x 45高さ cm）/
鏡面付きドレッサー（奥行40*幅76*高さ149㎝）/スツール（高さ44×横37×奥行27㎝）
/テレビ台（幅89.7×奥行40.8×高さ43.4cm）/
ローテーブル（幅80×奥行39.4×高さ38.1cm）/
折り畳みローテーブル/レンジラック（32奥行き x 60幅 x 48高さ cm）/
ランドリーラック（54.5奥行き x 95幅 x 182高さ cm）</v>
      </c>
      <c r="N568" s="6" t="str">
        <f aca="false">IFERROR(__xludf.dummyfunction("""COMPUTED_VALUE"""),"キャリーケースSサイズ、衣類用ケースボックス")</f>
        <v>キャリーケースSサイズ、衣類用ケースボックス</v>
      </c>
      <c r="O568" s="6" t="str">
        <f aca="false">IFERROR(__xludf.dummyfunction("""COMPUTED_VALUE"""),"不要")</f>
        <v>不要</v>
      </c>
      <c r="P568" s="6"/>
      <c r="Q568" s="6"/>
      <c r="R568" s="6"/>
      <c r="S568" s="6" t="str">
        <f aca="false">IFERROR(__xludf.dummyfunction("""COMPUTED_VALUE"""),"家具家電なし社宅")</f>
        <v>家具家電なし社宅</v>
      </c>
      <c r="T568" s="6" t="str">
        <f aca="false">IFERROR(__xludf.dummyfunction("""COMPUTED_VALUE"""),"利用しない")</f>
        <v>利用しない</v>
      </c>
      <c r="U568" s="6"/>
      <c r="V568" s="6" t="str">
        <f aca="false">IFERROR(__xludf.dummyfunction("""COMPUTED_VALUE"""),"徒歩, 自動車, バス")</f>
        <v>徒歩, 自動車, バス</v>
      </c>
      <c r="W568" s="6"/>
      <c r="X568" s="6" t="str">
        <f aca="false">IFERROR(__xludf.dummyfunction("""COMPUTED_VALUE"""),"株式会社オープンアップネクストエンジニア様の社宅")</f>
        <v>株式会社オープンアップネクストエンジニア様の社宅</v>
      </c>
      <c r="Y568" s="6" t="str">
        <f aca="false">IFERROR(__xludf.dummyfunction("""COMPUTED_VALUE"""),"利用なし")</f>
        <v>利用なし</v>
      </c>
      <c r="Z568" s="6" t="str">
        <f aca="false">IFERROR(__xludf.dummyfunction("""COMPUTED_VALUE"""),"希望する")</f>
        <v>希望する</v>
      </c>
      <c r="AA568" s="6" t="str">
        <f aca="false">IFERROR(__xludf.dummyfunction("""COMPUTED_VALUE"""),"単身")</f>
        <v>単身</v>
      </c>
      <c r="AB568" s="6"/>
      <c r="AC568" s="6"/>
      <c r="AD568" s="6" t="str">
        <f aca="false">IFERROR(__xludf.dummyfunction("""COMPUTED_VALUE"""),"・光回線必須（VDSL不可・光配線方式・光コンセント有）
・家賃7万円以内（管理費込み）
・築年数30年以内
・RC造またはSRC造
・2階以上
・府中駅から徒歩10分以内
・東芝 府中工場まで徒歩30分以内
・バストイレ別
・クローゼット
・ベランダ
・エアコン付き
・ガスコンロ 2口
・フローリング
・浴室乾燥機
・室内洗濯置
・追焚機能付き給湯器
・洗面所独立
・エレベーター
・宅配ボックス")</f>
        <v>・光回線必須（VDSL不可・光配線方式・光コンセント有）
・家賃7万円以内（管理費込み）
・築年数30年以内
・RC造またはSRC造
・2階以上
・府中駅から徒歩10分以内
・東芝 府中工場まで徒歩30分以内
・バストイレ別
・クローゼット
・ベランダ
・エアコン付き
・ガスコンロ 2口
・フローリング
・浴室乾燥機
・室内洗濯置
・追焚機能付き給湯器
・洗面所独立
・エレベーター
・宅配ボックス</v>
      </c>
      <c r="AE568" s="6" t="str">
        <f aca="false">IFERROR(__xludf.dummyfunction("""COMPUTED_VALUE"""),"確認しました。")</f>
        <v>確認しました。</v>
      </c>
      <c r="AF568" s="6" t="str">
        <f aca="false">IFERROR(__xludf.dummyfunction("""COMPUTED_VALUE"""),"社宅基準の内容について確認しました")</f>
        <v>社宅基準の内容について確認しました</v>
      </c>
      <c r="AG568" s="6" t="str">
        <f aca="false">IFERROR(__xludf.dummyfunction("""COMPUTED_VALUE"""),"入居のしおりの内容についてご確認しました")</f>
        <v>入居のしおりの内容についてご確認しました</v>
      </c>
      <c r="AH568" s="6" t="str">
        <f aca="false">IFERROR(__xludf.dummyfunction("""COMPUTED_VALUE"""),"確認しました")</f>
        <v>確認しました</v>
      </c>
      <c r="AI568" s="6"/>
      <c r="AJ568" s="6" t="str">
        <v/>
      </c>
      <c r="AK568" s="6" t="str">
        <v/>
      </c>
      <c r="AL568" s="6" t="str">
        <v/>
      </c>
      <c r="AM568" s="6" t="str">
        <v/>
      </c>
      <c r="AN568" s="6" t="n">
        <f aca="false">FALSE()</f>
        <v>0</v>
      </c>
    </row>
    <row r="569" customFormat="false" ht="52.5" hidden="false" customHeight="true" outlineLevel="0" collapsed="false">
      <c r="A569" s="6" t="str">
        <f aca="false">IFERROR(__xludf.dummyfunction("""COMPUTED_VALUE"""),"2026/04/15 12:25:35")</f>
        <v>2026/04/15 12:25:35</v>
      </c>
      <c r="B569" s="6"/>
      <c r="C569" s="6" t="str">
        <f aca="false">IFERROR(__xludf.dummyfunction("""COMPUTED_VALUE"""),"72518")</f>
        <v>72518</v>
      </c>
      <c r="D569" s="6"/>
      <c r="E569" s="6"/>
      <c r="F569" s="6"/>
      <c r="G569" s="6" t="str">
        <f aca="false">IFERROR(__xludf.dummyfunction("""COMPUTED_VALUE"""),"2026/05/03")</f>
        <v>2026/05/03</v>
      </c>
      <c r="H569" s="6" t="str">
        <f aca="false">IFERROR(__xludf.dummyfunction("""COMPUTED_VALUE"""),"必要")</f>
        <v>必要</v>
      </c>
      <c r="I569" s="6" t="str">
        <f aca="false">IFERROR(__xludf.dummyfunction("""COMPUTED_VALUE"""),"男性")</f>
        <v>男性</v>
      </c>
      <c r="J569" s="6" t="str">
        <f aca="false">IFERROR(__xludf.dummyfunction("""COMPUTED_VALUE"""),"日本")</f>
        <v>日本</v>
      </c>
      <c r="K569" s="6" t="str">
        <f aca="false">IFERROR(__xludf.dummyfunction("""COMPUTED_VALUE"""),"5")</f>
        <v>5</v>
      </c>
      <c r="L569" s="6" t="str">
        <f aca="false">IFERROR(__xludf.dummyfunction("""COMPUTED_VALUE"""),"単身用です。")</f>
        <v>単身用です。</v>
      </c>
      <c r="M569" s="6" t="str">
        <f aca="false">IFERROR(__xludf.dummyfunction("""COMPUTED_VALUE"""),"ベットセミダブル•テレビ")</f>
        <v>ベットセミダブル•テレビ</v>
      </c>
      <c r="N569" s="6" t="str">
        <f aca="false">IFERROR(__xludf.dummyfunction("""COMPUTED_VALUE"""),"自転車")</f>
        <v>自転車</v>
      </c>
      <c r="O569" s="6" t="str">
        <f aca="false">IFERROR(__xludf.dummyfunction("""COMPUTED_VALUE"""),"不要")</f>
        <v>不要</v>
      </c>
      <c r="P569" s="6"/>
      <c r="Q569" s="6"/>
      <c r="R569" s="6"/>
      <c r="S569" s="6" t="str">
        <f aca="false">IFERROR(__xludf.dummyfunction("""COMPUTED_VALUE"""),"家具家電なし社宅")</f>
        <v>家具家電なし社宅</v>
      </c>
      <c r="T569" s="6" t="str">
        <f aca="false">IFERROR(__xludf.dummyfunction("""COMPUTED_VALUE"""),"利用しない")</f>
        <v>利用しない</v>
      </c>
      <c r="U569" s="6"/>
      <c r="V569" s="6" t="str">
        <f aca="false">IFERROR(__xludf.dummyfunction("""COMPUTED_VALUE"""),"徒歩, 自転車")</f>
        <v>徒歩, 自転車</v>
      </c>
      <c r="W569" s="6"/>
      <c r="X569" s="6" t="str">
        <f aca="false">IFERROR(__xludf.dummyfunction("""COMPUTED_VALUE"""),"ご自身で契約中の物件")</f>
        <v>ご自身で契約中の物件</v>
      </c>
      <c r="Y569" s="6"/>
      <c r="Z569" s="6" t="str">
        <f aca="false">IFERROR(__xludf.dummyfunction("""COMPUTED_VALUE"""),"希望する")</f>
        <v>希望する</v>
      </c>
      <c r="AA569" s="6" t="str">
        <f aca="false">IFERROR(__xludf.dummyfunction("""COMPUTED_VALUE"""),"単身")</f>
        <v>単身</v>
      </c>
      <c r="AB569" s="6"/>
      <c r="AC569" s="6"/>
      <c r="AD569" s="6"/>
      <c r="AE569" s="6" t="str">
        <f aca="false">IFERROR(__xludf.dummyfunction("""COMPUTED_VALUE"""),"確認しました。")</f>
        <v>確認しました。</v>
      </c>
      <c r="AF569" s="6" t="str">
        <f aca="false">IFERROR(__xludf.dummyfunction("""COMPUTED_VALUE"""),"社宅基準の内容について確認しました")</f>
        <v>社宅基準の内容について確認しました</v>
      </c>
      <c r="AG569" s="6" t="str">
        <f aca="false">IFERROR(__xludf.dummyfunction("""COMPUTED_VALUE"""),"入居のしおりの内容についてご確認しました")</f>
        <v>入居のしおりの内容についてご確認しました</v>
      </c>
      <c r="AH569" s="6" t="str">
        <f aca="false">IFERROR(__xludf.dummyfunction("""COMPUTED_VALUE"""),"確認しました")</f>
        <v>確認しました</v>
      </c>
      <c r="AI569" s="6"/>
      <c r="AJ569" s="6" t="str">
        <v/>
      </c>
      <c r="AK569" s="6" t="str">
        <v/>
      </c>
      <c r="AL569" s="6" t="str">
        <v/>
      </c>
      <c r="AM569" s="6" t="str">
        <v/>
      </c>
      <c r="AN569" s="6" t="n">
        <f aca="false">FALSE()</f>
        <v>0</v>
      </c>
    </row>
    <row r="570" customFormat="false" ht="52.5" hidden="false" customHeight="true" outlineLevel="0" collapsed="false">
      <c r="A570" s="6" t="str">
        <f aca="false">IFERROR(__xludf.dummyfunction("""COMPUTED_VALUE"""),"2026/04/15 14:38:50")</f>
        <v>2026/04/15 14:38:50</v>
      </c>
      <c r="B570" s="6"/>
      <c r="C570" s="6" t="str">
        <f aca="false">IFERROR(__xludf.dummyfunction("""COMPUTED_VALUE"""),"72533")</f>
        <v>72533</v>
      </c>
      <c r="D570" s="6"/>
      <c r="E570" s="6"/>
      <c r="F570" s="6"/>
      <c r="G570" s="6" t="str">
        <f aca="false">IFERROR(__xludf.dummyfunction("""COMPUTED_VALUE"""),"2026/04/30")</f>
        <v>2026/04/30</v>
      </c>
      <c r="H570" s="6" t="str">
        <f aca="false">IFERROR(__xludf.dummyfunction("""COMPUTED_VALUE"""),"不要")</f>
        <v>不要</v>
      </c>
      <c r="I570" s="6" t="str">
        <f aca="false">IFERROR(__xludf.dummyfunction("""COMPUTED_VALUE"""),"男性")</f>
        <v>男性</v>
      </c>
      <c r="J570" s="6" t="str">
        <f aca="false">IFERROR(__xludf.dummyfunction("""COMPUTED_VALUE"""),"日本")</f>
        <v>日本</v>
      </c>
      <c r="K570" s="6"/>
      <c r="L570" s="6"/>
      <c r="M570" s="6"/>
      <c r="N570" s="6"/>
      <c r="O570" s="6" t="str">
        <f aca="false">IFERROR(__xludf.dummyfunction("""COMPUTED_VALUE"""),"必要")</f>
        <v>必要</v>
      </c>
      <c r="P570" s="6" t="str">
        <f aca="false">IFERROR(__xludf.dummyfunction("""COMPUTED_VALUE"""),"ノート")</f>
        <v>ノート</v>
      </c>
      <c r="Q570" s="6" t="str">
        <f aca="false">IFERROR(__xludf.dummyfunction("""COMPUTED_VALUE"""),"せ7")</f>
        <v>せ7</v>
      </c>
      <c r="R570" s="6" t="str">
        <f aca="false">IFERROR(__xludf.dummyfunction("""COMPUTED_VALUE"""),"黒")</f>
        <v>黒</v>
      </c>
      <c r="S570" s="6" t="str">
        <f aca="false">IFERROR(__xludf.dummyfunction("""COMPUTED_VALUE"""),"家具家電付き社宅")</f>
        <v>家具家電付き社宅</v>
      </c>
      <c r="T570" s="6" t="str">
        <f aca="false">IFERROR(__xludf.dummyfunction("""COMPUTED_VALUE"""),"利用しない")</f>
        <v>利用しない</v>
      </c>
      <c r="U570" s="6"/>
      <c r="V570" s="6" t="str">
        <f aca="false">IFERROR(__xludf.dummyfunction("""COMPUTED_VALUE"""),"自動車")</f>
        <v>自動車</v>
      </c>
      <c r="W570" s="6"/>
      <c r="X570" s="6" t="str">
        <f aca="false">IFERROR(__xludf.dummyfunction("""COMPUTED_VALUE"""),"実家")</f>
        <v>実家</v>
      </c>
      <c r="Y570" s="6"/>
      <c r="Z570" s="6" t="str">
        <f aca="false">IFERROR(__xludf.dummyfunction("""COMPUTED_VALUE"""),"希望する")</f>
        <v>希望する</v>
      </c>
      <c r="AA570" s="6" t="str">
        <f aca="false">IFERROR(__xludf.dummyfunction("""COMPUTED_VALUE"""),"単身")</f>
        <v>単身</v>
      </c>
      <c r="AB570" s="6"/>
      <c r="AC570" s="6"/>
      <c r="AD570" s="6"/>
      <c r="AE570" s="6" t="str">
        <f aca="false">IFERROR(__xludf.dummyfunction("""COMPUTED_VALUE"""),"確認しました。")</f>
        <v>確認しました。</v>
      </c>
      <c r="AF570" s="6" t="str">
        <f aca="false">IFERROR(__xludf.dummyfunction("""COMPUTED_VALUE"""),"社宅基準の内容について確認しました")</f>
        <v>社宅基準の内容について確認しました</v>
      </c>
      <c r="AG570" s="6" t="str">
        <f aca="false">IFERROR(__xludf.dummyfunction("""COMPUTED_VALUE"""),"入居のしおりの内容についてご確認しました")</f>
        <v>入居のしおりの内容についてご確認しました</v>
      </c>
      <c r="AH570" s="6" t="str">
        <f aca="false">IFERROR(__xludf.dummyfunction("""COMPUTED_VALUE"""),"確認しました")</f>
        <v>確認しました</v>
      </c>
      <c r="AI570" s="6"/>
      <c r="AJ570" s="6" t="str">
        <v/>
      </c>
      <c r="AK570" s="6" t="str">
        <v/>
      </c>
      <c r="AL570" s="6" t="str">
        <v/>
      </c>
      <c r="AM570" s="6" t="str">
        <v/>
      </c>
      <c r="AN570" s="6" t="n">
        <f aca="false">FALSE()</f>
        <v>0</v>
      </c>
    </row>
    <row r="571" customFormat="false" ht="52.5" hidden="false" customHeight="true" outlineLevel="0" collapsed="false">
      <c r="A571" s="6" t="str">
        <f aca="false">IFERROR(__xludf.dummyfunction("""COMPUTED_VALUE"""),"2026/04/15 15:10:19")</f>
        <v>2026/04/15 15:10:19</v>
      </c>
      <c r="B571" s="6"/>
      <c r="C571" s="6" t="str">
        <f aca="false">IFERROR(__xludf.dummyfunction("""COMPUTED_VALUE"""),"72495")</f>
        <v>72495</v>
      </c>
      <c r="D571" s="6"/>
      <c r="E571" s="6"/>
      <c r="F571" s="6"/>
      <c r="G571" s="6" t="str">
        <f aca="false">IFERROR(__xludf.dummyfunction("""COMPUTED_VALUE"""),"2026/04/19")</f>
        <v>2026/04/19</v>
      </c>
      <c r="H571" s="6" t="str">
        <f aca="false">IFERROR(__xludf.dummyfunction("""COMPUTED_VALUE"""),"必要")</f>
        <v>必要</v>
      </c>
      <c r="I571" s="6" t="str">
        <f aca="false">IFERROR(__xludf.dummyfunction("""COMPUTED_VALUE"""),"男性")</f>
        <v>男性</v>
      </c>
      <c r="J571" s="6" t="str">
        <f aca="false">IFERROR(__xludf.dummyfunction("""COMPUTED_VALUE"""),"日本")</f>
        <v>日本</v>
      </c>
      <c r="K571" s="6" t="str">
        <f aca="false">IFERROR(__xludf.dummyfunction("""COMPUTED_VALUE"""),"3")</f>
        <v>3</v>
      </c>
      <c r="L571" s="6" t="str">
        <f aca="false">IFERROR(__xludf.dummyfunction("""COMPUTED_VALUE"""),"冷蔵庫(2ドア)
テレビ
トースター
")</f>
        <v>冷蔵庫(2ドア)
テレビ
トースター
</v>
      </c>
      <c r="M571" s="6" t="str">
        <f aca="false">IFERROR(__xludf.dummyfunction("""COMPUTED_VALUE"""),"なし")</f>
        <v>なし</v>
      </c>
      <c r="N571" s="6"/>
      <c r="O571" s="6" t="str">
        <f aca="false">IFERROR(__xludf.dummyfunction("""COMPUTED_VALUE"""),"必要")</f>
        <v>必要</v>
      </c>
      <c r="P571" s="6" t="str">
        <f aca="false">IFERROR(__xludf.dummyfunction("""COMPUTED_VALUE"""),"スペーシア")</f>
        <v>スペーシア</v>
      </c>
      <c r="Q571" s="6" t="str">
        <f aca="false">IFERROR(__xludf.dummyfunction("""COMPUTED_VALUE"""),"か89-65")</f>
        <v>か89-65</v>
      </c>
      <c r="R571" s="6" t="str">
        <f aca="false">IFERROR(__xludf.dummyfunction("""COMPUTED_VALUE"""),"黒")</f>
        <v>黒</v>
      </c>
      <c r="S571" s="6" t="str">
        <f aca="false">IFERROR(__xludf.dummyfunction("""COMPUTED_VALUE"""),"家具家電なし社宅")</f>
        <v>家具家電なし社宅</v>
      </c>
      <c r="T571" s="6" t="str">
        <f aca="false">IFERROR(__xludf.dummyfunction("""COMPUTED_VALUE"""),"利用しない")</f>
        <v>利用しない</v>
      </c>
      <c r="U571" s="6"/>
      <c r="V571" s="6" t="str">
        <f aca="false">IFERROR(__xludf.dummyfunction("""COMPUTED_VALUE"""),"徒歩, 電車")</f>
        <v>徒歩, 電車</v>
      </c>
      <c r="W571" s="6"/>
      <c r="X571" s="6" t="str">
        <f aca="false">IFERROR(__xludf.dummyfunction("""COMPUTED_VALUE"""),"株式会社オープンアップネクストエンジニア様の社宅")</f>
        <v>株式会社オープンアップネクストエンジニア様の社宅</v>
      </c>
      <c r="Y571" s="6" t="str">
        <f aca="false">IFERROR(__xludf.dummyfunction("""COMPUTED_VALUE"""),"利用なし")</f>
        <v>利用なし</v>
      </c>
      <c r="Z571" s="6" t="str">
        <f aca="false">IFERROR(__xludf.dummyfunction("""COMPUTED_VALUE"""),"希望する")</f>
        <v>希望する</v>
      </c>
      <c r="AA571" s="6" t="str">
        <f aca="false">IFERROR(__xludf.dummyfunction("""COMPUTED_VALUE"""),"単身")</f>
        <v>単身</v>
      </c>
      <c r="AB571" s="6"/>
      <c r="AC571" s="6"/>
      <c r="AD571" s="6" t="str">
        <f aca="false">IFERROR(__xludf.dummyfunction("""COMPUTED_VALUE"""),"レオパレスとその他の物件双方ご紹介いただきたいです。
また、照明とエアコンが付いている物件ですとありがたいです。
また、パソコンを使いたいので、回線工事が大丈夫な物件か、回線がつながっている物件がもしあるのであればご紹介いただきたいです。(Wi-Fi、有線)
よろしくお願いいたします。")</f>
        <v>レオパレスとその他の物件双方ご紹介いただきたいです。
また、照明とエアコンが付いている物件ですとありがたいです。
また、パソコンを使いたいので、回線工事が大丈夫な物件か、回線がつながっている物件がもしあるのであればご紹介いただきたいです。(Wi-Fi、有線)
よろしくお願いいたします。</v>
      </c>
      <c r="AE571" s="6" t="str">
        <f aca="false">IFERROR(__xludf.dummyfunction("""COMPUTED_VALUE"""),"確認しました。")</f>
        <v>確認しました。</v>
      </c>
      <c r="AF571" s="6" t="str">
        <f aca="false">IFERROR(__xludf.dummyfunction("""COMPUTED_VALUE"""),"社宅基準の内容について確認しました")</f>
        <v>社宅基準の内容について確認しました</v>
      </c>
      <c r="AG571" s="6" t="str">
        <f aca="false">IFERROR(__xludf.dummyfunction("""COMPUTED_VALUE"""),"入居のしおりの内容についてご確認しました")</f>
        <v>入居のしおりの内容についてご確認しました</v>
      </c>
      <c r="AH571" s="6" t="str">
        <f aca="false">IFERROR(__xludf.dummyfunction("""COMPUTED_VALUE"""),"確認しました")</f>
        <v>確認しました</v>
      </c>
      <c r="AI571" s="6"/>
      <c r="AJ571" s="6" t="str">
        <v/>
      </c>
      <c r="AK571" s="6" t="str">
        <v/>
      </c>
      <c r="AL571" s="6" t="str">
        <v/>
      </c>
      <c r="AM571" s="6" t="str">
        <v/>
      </c>
      <c r="AN571" s="6" t="n">
        <f aca="false">FALSE()</f>
        <v>0</v>
      </c>
    </row>
    <row r="572" customFormat="false" ht="52.5" hidden="false" customHeight="true" outlineLevel="0" collapsed="false">
      <c r="A572" s="6" t="str">
        <f aca="false">IFERROR(__xludf.dummyfunction("""COMPUTED_VALUE"""),"2026/04/15 20:00:17")</f>
        <v>2026/04/15 20:00:17</v>
      </c>
      <c r="B572" s="6"/>
      <c r="C572" s="6" t="str">
        <f aca="false">IFERROR(__xludf.dummyfunction("""COMPUTED_VALUE"""),"72549")</f>
        <v>72549</v>
      </c>
      <c r="D572" s="6"/>
      <c r="E572" s="6"/>
      <c r="F572" s="6"/>
      <c r="G572" s="6" t="str">
        <f aca="false">IFERROR(__xludf.dummyfunction("""COMPUTED_VALUE"""),"2026/04/30")</f>
        <v>2026/04/30</v>
      </c>
      <c r="H572" s="6" t="str">
        <f aca="false">IFERROR(__xludf.dummyfunction("""COMPUTED_VALUE"""),"必要")</f>
        <v>必要</v>
      </c>
      <c r="I572" s="6" t="str">
        <f aca="false">IFERROR(__xludf.dummyfunction("""COMPUTED_VALUE"""),"男性")</f>
        <v>男性</v>
      </c>
      <c r="J572" s="6" t="str">
        <f aca="false">IFERROR(__xludf.dummyfunction("""COMPUTED_VALUE"""),"ベトナム")</f>
        <v>ベトナム</v>
      </c>
      <c r="K572" s="6" t="str">
        <f aca="false">IFERROR(__xludf.dummyfunction("""COMPUTED_VALUE"""),"5")</f>
        <v>5</v>
      </c>
      <c r="L572" s="6" t="str">
        <f aca="false">IFERROR(__xludf.dummyfunction("""COMPUTED_VALUE"""),"電子レンジ
ガスコンロ
パソコン　（本体＋モニター）
掃除機
扇風機（２台）
炊飯器")</f>
        <v>電子レンジ
ガスコンロ
パソコン　（本体＋モニター）
掃除機
扇風機（２台）
炊飯器</v>
      </c>
      <c r="M572" s="6" t="str">
        <f aca="false">IFERROR(__xludf.dummyfunction("""COMPUTED_VALUE"""),"テレビ台 (1005x460x440mm)
靴棚 (440x275x870mm)
本棚 (470x330x885mm)")</f>
        <v>テレビ台 (1005x460x440mm)
靴棚 (440x275x870mm)
本棚 (470x330x885mm)</v>
      </c>
      <c r="N572" s="6" t="str">
        <f aca="false">IFERROR(__xludf.dummyfunction("""COMPUTED_VALUE"""),"自転車")</f>
        <v>自転車</v>
      </c>
      <c r="O572" s="6" t="str">
        <f aca="false">IFERROR(__xludf.dummyfunction("""COMPUTED_VALUE"""),"不要")</f>
        <v>不要</v>
      </c>
      <c r="P572" s="6"/>
      <c r="Q572" s="6"/>
      <c r="R572" s="6"/>
      <c r="S572" s="6" t="str">
        <f aca="false">IFERROR(__xludf.dummyfunction("""COMPUTED_VALUE"""),"家具家電なし社宅")</f>
        <v>家具家電なし社宅</v>
      </c>
      <c r="T572" s="6" t="str">
        <f aca="false">IFERROR(__xludf.dummyfunction("""COMPUTED_VALUE"""),"利用しない")</f>
        <v>利用しない</v>
      </c>
      <c r="U572" s="6"/>
      <c r="V572" s="6" t="str">
        <f aca="false">IFERROR(__xludf.dummyfunction("""COMPUTED_VALUE"""),"電車, バス")</f>
        <v>電車, バス</v>
      </c>
      <c r="W572" s="6"/>
      <c r="X572" s="6" t="str">
        <f aca="false">IFERROR(__xludf.dummyfunction("""COMPUTED_VALUE"""),"株式会社オープンアップネクストエンジニア様の社宅")</f>
        <v>株式会社オープンアップネクストエンジニア様の社宅</v>
      </c>
      <c r="Y572" s="6" t="str">
        <f aca="false">IFERROR(__xludf.dummyfunction("""COMPUTED_VALUE"""),"冷蔵庫
ガスコンロ
洗濯機
電子レンジ
レンタル品は 回収希望")</f>
        <v>冷蔵庫
ガスコンロ
洗濯機
電子レンジ
レンタル品は 回収希望</v>
      </c>
      <c r="Z572" s="6" t="str">
        <f aca="false">IFERROR(__xludf.dummyfunction("""COMPUTED_VALUE"""),"希望する")</f>
        <v>希望する</v>
      </c>
      <c r="AA572" s="6" t="str">
        <f aca="false">IFERROR(__xludf.dummyfunction("""COMPUTED_VALUE"""),"家族")</f>
        <v>家族</v>
      </c>
      <c r="AB572" s="6" t="str">
        <f aca="false">IFERROR(__xludf.dummyfunction("""COMPUTED_VALUE"""),"氏名：TA THI THUY HANG
フリガナ：タティトゥイハン
生年月日：１９９５年２月６日
携帯番号：070 8934 8587
続柄：妻")</f>
        <v>氏名：TA THI THUY HANG
フリガナ：タティトゥイハン
生年月日：１９９５年２月６日
携帯番号：070 8934 8587
続柄：妻</v>
      </c>
      <c r="AC572" s="6"/>
      <c r="AD572" s="6" t="str">
        <f aca="false">IFERROR(__xludf.dummyfunction("""COMPUTED_VALUE"""),"刈谷市役所や刈谷駅の近くを希望しています")</f>
        <v>刈谷市役所や刈谷駅の近くを希望しています</v>
      </c>
      <c r="AE572" s="6" t="str">
        <f aca="false">IFERROR(__xludf.dummyfunction("""COMPUTED_VALUE"""),"確認しました。")</f>
        <v>確認しました。</v>
      </c>
      <c r="AF572" s="6" t="str">
        <f aca="false">IFERROR(__xludf.dummyfunction("""COMPUTED_VALUE"""),"社宅基準の内容について確認しました")</f>
        <v>社宅基準の内容について確認しました</v>
      </c>
      <c r="AG572" s="6" t="str">
        <f aca="false">IFERROR(__xludf.dummyfunction("""COMPUTED_VALUE"""),"入居のしおりの内容についてご確認しました")</f>
        <v>入居のしおりの内容についてご確認しました</v>
      </c>
      <c r="AH572" s="6" t="str">
        <f aca="false">IFERROR(__xludf.dummyfunction("""COMPUTED_VALUE"""),"確認しました")</f>
        <v>確認しました</v>
      </c>
      <c r="AI572" s="6"/>
      <c r="AJ572" s="6" t="str">
        <v/>
      </c>
      <c r="AK572" s="6" t="str">
        <v/>
      </c>
      <c r="AL572" s="6" t="str">
        <v/>
      </c>
      <c r="AM572" s="6" t="str">
        <v/>
      </c>
      <c r="AN572" s="6" t="n">
        <f aca="false">FALSE()</f>
        <v>0</v>
      </c>
    </row>
    <row r="573" customFormat="false" ht="52.5" hidden="false" customHeight="true" outlineLevel="0" collapsed="false">
      <c r="A573" s="6" t="str">
        <f aca="false">IFERROR(__xludf.dummyfunction("""COMPUTED_VALUE"""),"2026/04/16 11:28:10")</f>
        <v>2026/04/16 11:28:10</v>
      </c>
      <c r="B573" s="6"/>
      <c r="C573" s="6" t="str">
        <f aca="false">IFERROR(__xludf.dummyfunction("""COMPUTED_VALUE"""),"72587")</f>
        <v>72587</v>
      </c>
      <c r="D573" s="6"/>
      <c r="E573" s="6"/>
      <c r="F573" s="6"/>
      <c r="G573" s="6" t="str">
        <f aca="false">IFERROR(__xludf.dummyfunction("""COMPUTED_VALUE"""),"2026/05/01")</f>
        <v>2026/05/01</v>
      </c>
      <c r="H573" s="6" t="str">
        <f aca="false">IFERROR(__xludf.dummyfunction("""COMPUTED_VALUE"""),"必要")</f>
        <v>必要</v>
      </c>
      <c r="I573" s="6" t="str">
        <f aca="false">IFERROR(__xludf.dummyfunction("""COMPUTED_VALUE"""),"男性")</f>
        <v>男性</v>
      </c>
      <c r="J573" s="6" t="str">
        <f aca="false">IFERROR(__xludf.dummyfunction("""COMPUTED_VALUE"""),"日本")</f>
        <v>日本</v>
      </c>
      <c r="K573" s="6" t="str">
        <f aca="false">IFERROR(__xludf.dummyfunction("""COMPUTED_VALUE"""),"20")</f>
        <v>20</v>
      </c>
      <c r="L573" s="6" t="str">
        <f aca="false">IFERROR(__xludf.dummyfunction("""COMPUTED_VALUE"""),"ないです")</f>
        <v>ないです</v>
      </c>
      <c r="M573" s="6" t="str">
        <f aca="false">IFERROR(__xludf.dummyfunction("""COMPUTED_VALUE"""),"タンス(縦1m横0.6m奥行0.6m")</f>
        <v>タンス(縦1m横0.6m奥行0.6m</v>
      </c>
      <c r="N573" s="6"/>
      <c r="O573" s="6" t="str">
        <f aca="false">IFERROR(__xludf.dummyfunction("""COMPUTED_VALUE"""),"必要")</f>
        <v>必要</v>
      </c>
      <c r="P573" s="6" t="str">
        <f aca="false">IFERROR(__xludf.dummyfunction("""COMPUTED_VALUE"""),"なし")</f>
        <v>なし</v>
      </c>
      <c r="Q573" s="6" t="str">
        <f aca="false">IFERROR(__xludf.dummyfunction("""COMPUTED_VALUE"""),"なし")</f>
        <v>なし</v>
      </c>
      <c r="R573" s="6" t="str">
        <f aca="false">IFERROR(__xludf.dummyfunction("""COMPUTED_VALUE"""),"なし")</f>
        <v>なし</v>
      </c>
      <c r="S573" s="6" t="str">
        <f aca="false">IFERROR(__xludf.dummyfunction("""COMPUTED_VALUE"""),"家具家電付き社宅")</f>
        <v>家具家電付き社宅</v>
      </c>
      <c r="T573" s="6" t="str">
        <f aca="false">IFERROR(__xludf.dummyfunction("""COMPUTED_VALUE"""),"利用する")</f>
        <v>利用する</v>
      </c>
      <c r="U573" s="6" t="str">
        <f aca="false">IFERROR(__xludf.dummyfunction("""COMPUTED_VALUE"""),"掛布団、マットレス、冷蔵庫、自転車(防犯登録)、")</f>
        <v>掛布団、マットレス、冷蔵庫、自転車(防犯登録)、</v>
      </c>
      <c r="V573" s="6" t="str">
        <f aca="false">IFERROR(__xludf.dummyfunction("""COMPUTED_VALUE"""),"自転車, バス")</f>
        <v>自転車, バス</v>
      </c>
      <c r="W573" s="6"/>
      <c r="X573" s="6" t="str">
        <f aca="false">IFERROR(__xludf.dummyfunction("""COMPUTED_VALUE"""),"実家")</f>
        <v>実家</v>
      </c>
      <c r="Y573" s="6"/>
      <c r="Z573" s="6" t="str">
        <f aca="false">IFERROR(__xludf.dummyfunction("""COMPUTED_VALUE"""),"希望する")</f>
        <v>希望する</v>
      </c>
      <c r="AA573" s="6" t="str">
        <f aca="false">IFERROR(__xludf.dummyfunction("""COMPUTED_VALUE"""),"単身")</f>
        <v>単身</v>
      </c>
      <c r="AB573" s="6"/>
      <c r="AC573" s="6"/>
      <c r="AD573" s="6"/>
      <c r="AE573" s="6" t="str">
        <f aca="false">IFERROR(__xludf.dummyfunction("""COMPUTED_VALUE"""),"確認しました。")</f>
        <v>確認しました。</v>
      </c>
      <c r="AF573" s="6" t="str">
        <f aca="false">IFERROR(__xludf.dummyfunction("""COMPUTED_VALUE"""),"社宅基準の内容について確認しました")</f>
        <v>社宅基準の内容について確認しました</v>
      </c>
      <c r="AG573" s="6" t="str">
        <f aca="false">IFERROR(__xludf.dummyfunction("""COMPUTED_VALUE"""),"入居のしおりの内容についてご確認しました")</f>
        <v>入居のしおりの内容についてご確認しました</v>
      </c>
      <c r="AH573" s="6" t="str">
        <f aca="false">IFERROR(__xludf.dummyfunction("""COMPUTED_VALUE"""),"確認しました")</f>
        <v>確認しました</v>
      </c>
      <c r="AI573" s="6"/>
      <c r="AJ573" s="6" t="str">
        <v/>
      </c>
      <c r="AK573" s="6" t="str">
        <v/>
      </c>
      <c r="AL573" s="6" t="str">
        <v/>
      </c>
      <c r="AM573" s="6" t="str">
        <v/>
      </c>
      <c r="AN573" s="6" t="n">
        <f aca="false">FALSE()</f>
        <v>0</v>
      </c>
    </row>
    <row r="574" customFormat="false" ht="52.5" hidden="false" customHeight="true" outlineLevel="0" collapsed="false">
      <c r="A574" s="6" t="str">
        <f aca="false">IFERROR(__xludf.dummyfunction("""COMPUTED_VALUE"""),"2026/04/16 12:05:13")</f>
        <v>2026/04/16 12:05:13</v>
      </c>
      <c r="B574" s="6"/>
      <c r="C574" s="6" t="str">
        <f aca="false">IFERROR(__xludf.dummyfunction("""COMPUTED_VALUE"""),"72422")</f>
        <v>72422</v>
      </c>
      <c r="D574" s="6"/>
      <c r="E574" s="6"/>
      <c r="F574" s="6"/>
      <c r="G574" s="6" t="str">
        <f aca="false">IFERROR(__xludf.dummyfunction("""COMPUTED_VALUE"""),"2026/06/01")</f>
        <v>2026/06/01</v>
      </c>
      <c r="H574" s="6" t="str">
        <f aca="false">IFERROR(__xludf.dummyfunction("""COMPUTED_VALUE"""),"必要")</f>
        <v>必要</v>
      </c>
      <c r="I574" s="6" t="str">
        <f aca="false">IFERROR(__xludf.dummyfunction("""COMPUTED_VALUE"""),"男性")</f>
        <v>男性</v>
      </c>
      <c r="J574" s="6" t="str">
        <f aca="false">IFERROR(__xludf.dummyfunction("""COMPUTED_VALUE"""),"日本")</f>
        <v>日本</v>
      </c>
      <c r="K574" s="6" t="str">
        <f aca="false">IFERROR(__xludf.dummyfunction("""COMPUTED_VALUE"""),"4")</f>
        <v>4</v>
      </c>
      <c r="L574" s="6" t="str">
        <f aca="false">IFERROR(__xludf.dummyfunction("""COMPUTED_VALUE"""),"冷蔵庫単身用、洗濯機、テレビ、電子レンジ、炊飯器、掃除機")</f>
        <v>冷蔵庫単身用、洗濯機、テレビ、電子レンジ、炊飯器、掃除機</v>
      </c>
      <c r="M574" s="6" t="str">
        <f aca="false">IFERROR(__xludf.dummyfunction("""COMPUTED_VALUE"""),"衣装棚、ソファベッド1人用、テレビ台（横幅1.5m、奥行き30cm、高さ50cm）、食器棚（横幅1m、奥行き30cm、高さ1m）、デスク2台（横幅1m、奥行き50cm、高さ1m）、椅子、こたつテーブル、布団、こたつ布団")</f>
        <v>衣装棚、ソファベッド1人用、テレビ台（横幅1.5m、奥行き30cm、高さ50cm）、食器棚（横幅1m、奥行き30cm、高さ1m）、デスク2台（横幅1m、奥行き50cm、高さ1m）、椅子、こたつテーブル、布団、こたつ布団</v>
      </c>
      <c r="N574" s="6"/>
      <c r="O574" s="6" t="str">
        <f aca="false">IFERROR(__xludf.dummyfunction("""COMPUTED_VALUE"""),"必要")</f>
        <v>必要</v>
      </c>
      <c r="P574" s="6" t="str">
        <f aca="false">IFERROR(__xludf.dummyfunction("""COMPUTED_VALUE"""),"日産ノート")</f>
        <v>日産ノート</v>
      </c>
      <c r="Q574" s="6" t="str">
        <f aca="false">IFERROR(__xludf.dummyfunction("""COMPUTED_VALUE"""),"ふ 98-82")</f>
        <v>ふ 98-82</v>
      </c>
      <c r="R574" s="6" t="str">
        <f aca="false">IFERROR(__xludf.dummyfunction("""COMPUTED_VALUE"""),"ブラック")</f>
        <v>ブラック</v>
      </c>
      <c r="S574" s="6" t="str">
        <f aca="false">IFERROR(__xludf.dummyfunction("""COMPUTED_VALUE"""),"家具家電なし社宅")</f>
        <v>家具家電なし社宅</v>
      </c>
      <c r="T574" s="6" t="str">
        <f aca="false">IFERROR(__xludf.dummyfunction("""COMPUTED_VALUE"""),"利用しない")</f>
        <v>利用しない</v>
      </c>
      <c r="U574" s="6"/>
      <c r="V574" s="6" t="str">
        <f aca="false">IFERROR(__xludf.dummyfunction("""COMPUTED_VALUE"""),"徒歩, 電車, バス")</f>
        <v>徒歩, 電車, バス</v>
      </c>
      <c r="W574" s="6"/>
      <c r="X574" s="6" t="str">
        <f aca="false">IFERROR(__xludf.dummyfunction("""COMPUTED_VALUE"""),"ご自身で契約中の物件")</f>
        <v>ご自身で契約中の物件</v>
      </c>
      <c r="Y574" s="6"/>
      <c r="Z574" s="6" t="str">
        <f aca="false">IFERROR(__xludf.dummyfunction("""COMPUTED_VALUE"""),"希望する")</f>
        <v>希望する</v>
      </c>
      <c r="AA574" s="6" t="str">
        <f aca="false">IFERROR(__xludf.dummyfunction("""COMPUTED_VALUE"""),"単身")</f>
        <v>単身</v>
      </c>
      <c r="AB574" s="6"/>
      <c r="AC574" s="6"/>
      <c r="AD574" s="6"/>
      <c r="AE574" s="6" t="str">
        <f aca="false">IFERROR(__xludf.dummyfunction("""COMPUTED_VALUE"""),"確認しました。")</f>
        <v>確認しました。</v>
      </c>
      <c r="AF574" s="6" t="str">
        <f aca="false">IFERROR(__xludf.dummyfunction("""COMPUTED_VALUE"""),"社宅基準の内容について確認しました")</f>
        <v>社宅基準の内容について確認しました</v>
      </c>
      <c r="AG574" s="6" t="str">
        <f aca="false">IFERROR(__xludf.dummyfunction("""COMPUTED_VALUE"""),"入居のしおりの内容についてご確認しました")</f>
        <v>入居のしおりの内容についてご確認しました</v>
      </c>
      <c r="AH574" s="6" t="str">
        <f aca="false">IFERROR(__xludf.dummyfunction("""COMPUTED_VALUE"""),"確認しました")</f>
        <v>確認しました</v>
      </c>
      <c r="AI574" s="6"/>
      <c r="AJ574" s="6" t="str">
        <v/>
      </c>
      <c r="AK574" s="6" t="str">
        <v/>
      </c>
      <c r="AL574" s="6" t="str">
        <v/>
      </c>
      <c r="AM574" s="6" t="str">
        <v/>
      </c>
      <c r="AN574" s="6" t="n">
        <f aca="false">FALSE()</f>
        <v>0</v>
      </c>
    </row>
    <row r="575" customFormat="false" ht="52.5" hidden="false" customHeight="true" outlineLevel="0" collapsed="false">
      <c r="A575" s="6" t="str">
        <f aca="false">IFERROR(__xludf.dummyfunction("""COMPUTED_VALUE"""),"2026/04/16 12:26:28")</f>
        <v>2026/04/16 12:26:28</v>
      </c>
      <c r="B575" s="6"/>
      <c r="C575" s="6" t="str">
        <f aca="false">IFERROR(__xludf.dummyfunction("""COMPUTED_VALUE"""),"72586")</f>
        <v>72586</v>
      </c>
      <c r="D575" s="6"/>
      <c r="E575" s="6"/>
      <c r="F575" s="6"/>
      <c r="G575" s="6" t="str">
        <f aca="false">IFERROR(__xludf.dummyfunction("""COMPUTED_VALUE"""),"2026/05/01")</f>
        <v>2026/05/01</v>
      </c>
      <c r="H575" s="6" t="str">
        <f aca="false">IFERROR(__xludf.dummyfunction("""COMPUTED_VALUE"""),"必要")</f>
        <v>必要</v>
      </c>
      <c r="I575" s="6" t="str">
        <f aca="false">IFERROR(__xludf.dummyfunction("""COMPUTED_VALUE"""),"男性")</f>
        <v>男性</v>
      </c>
      <c r="J575" s="6" t="str">
        <f aca="false">IFERROR(__xludf.dummyfunction("""COMPUTED_VALUE"""),"日本")</f>
        <v>日本</v>
      </c>
      <c r="K575" s="6" t="str">
        <f aca="false">IFERROR(__xludf.dummyfunction("""COMPUTED_VALUE"""),"20")</f>
        <v>20</v>
      </c>
      <c r="L575" s="6" t="str">
        <f aca="false">IFERROR(__xludf.dummyfunction("""COMPUTED_VALUE"""),"単身用冷蔵庫、洗濯機、電子レンジ、炊飯器、IHコンロ、デスクトップパソコン、コピー機、モニター×2、掃除機")</f>
        <v>単身用冷蔵庫、洗濯機、電子レンジ、炊飯器、IHコンロ、デスクトップパソコン、コピー機、モニター×2、掃除機</v>
      </c>
      <c r="M575" s="6" t="str">
        <f aca="false">IFERROR(__xludf.dummyfunction("""COMPUTED_VALUE"""),"本棚（45×30×100）×2、机（140×65×75）、L字机（130×130×75）、ベッド（シングル）、椅子（63×52×128）×2、食器棚（60×30×45）、テレビボード（50×30×35）、衣類収納ボックス（40×75×25）×2")</f>
        <v>本棚（45×30×100）×2、机（140×65×75）、L字机（130×130×75）、ベッド（シングル）、椅子（63×52×128）×2、食器棚（60×30×45）、テレビボード（50×30×35）、衣類収納ボックス（40×75×25）×2</v>
      </c>
      <c r="N575" s="6" t="str">
        <f aca="false">IFERROR(__xludf.dummyfunction("""COMPUTED_VALUE"""),"自転車、本")</f>
        <v>自転車、本</v>
      </c>
      <c r="O575" s="6" t="str">
        <f aca="false">IFERROR(__xludf.dummyfunction("""COMPUTED_VALUE"""),"不要")</f>
        <v>不要</v>
      </c>
      <c r="P575" s="6"/>
      <c r="Q575" s="6"/>
      <c r="R575" s="6"/>
      <c r="S575" s="6" t="str">
        <f aca="false">IFERROR(__xludf.dummyfunction("""COMPUTED_VALUE"""),"家具家電なし社宅")</f>
        <v>家具家電なし社宅</v>
      </c>
      <c r="T575" s="6" t="str">
        <f aca="false">IFERROR(__xludf.dummyfunction("""COMPUTED_VALUE"""),"利用する")</f>
        <v>利用する</v>
      </c>
      <c r="U575" s="6" t="str">
        <f aca="false">IFERROR(__xludf.dummyfunction("""COMPUTED_VALUE"""),"エアコン、照明器具")</f>
        <v>エアコン、照明器具</v>
      </c>
      <c r="V575" s="6" t="str">
        <f aca="false">IFERROR(__xludf.dummyfunction("""COMPUTED_VALUE"""),"徒歩, 自転車, バス, 社用バス")</f>
        <v>徒歩, 自転車, バス, 社用バス</v>
      </c>
      <c r="W575" s="6"/>
      <c r="X575" s="6" t="str">
        <f aca="false">IFERROR(__xludf.dummyfunction("""COMPUTED_VALUE"""),"ご自身で契約中の物件")</f>
        <v>ご自身で契約中の物件</v>
      </c>
      <c r="Y575" s="6"/>
      <c r="Z575" s="6" t="str">
        <f aca="false">IFERROR(__xludf.dummyfunction("""COMPUTED_VALUE"""),"希望する")</f>
        <v>希望する</v>
      </c>
      <c r="AA575" s="6" t="str">
        <f aca="false">IFERROR(__xludf.dummyfunction("""COMPUTED_VALUE"""),"単身")</f>
        <v>単身</v>
      </c>
      <c r="AB575" s="6"/>
      <c r="AC575" s="6"/>
      <c r="AD575" s="6"/>
      <c r="AE575" s="6" t="str">
        <f aca="false">IFERROR(__xludf.dummyfunction("""COMPUTED_VALUE"""),"確認しました。")</f>
        <v>確認しました。</v>
      </c>
      <c r="AF575" s="6" t="str">
        <f aca="false">IFERROR(__xludf.dummyfunction("""COMPUTED_VALUE"""),"社宅基準の内容について確認しました")</f>
        <v>社宅基準の内容について確認しました</v>
      </c>
      <c r="AG575" s="6" t="str">
        <f aca="false">IFERROR(__xludf.dummyfunction("""COMPUTED_VALUE"""),"入居のしおりの内容についてご確認しました")</f>
        <v>入居のしおりの内容についてご確認しました</v>
      </c>
      <c r="AH575" s="6" t="str">
        <f aca="false">IFERROR(__xludf.dummyfunction("""COMPUTED_VALUE"""),"確認しました")</f>
        <v>確認しました</v>
      </c>
      <c r="AI575" s="6"/>
      <c r="AJ575" s="6" t="str">
        <v/>
      </c>
      <c r="AK575" s="6" t="str">
        <v/>
      </c>
      <c r="AL575" s="6" t="str">
        <v/>
      </c>
      <c r="AM575" s="6" t="str">
        <v/>
      </c>
      <c r="AN575" s="6" t="n">
        <f aca="false">FALSE()</f>
        <v>0</v>
      </c>
    </row>
    <row r="576" customFormat="false" ht="52.5" hidden="false" customHeight="true" outlineLevel="0" collapsed="false">
      <c r="A576" s="6" t="str">
        <f aca="false">IFERROR(__xludf.dummyfunction("""COMPUTED_VALUE"""),"2026/04/16 13:49:22")</f>
        <v>2026/04/16 13:49:22</v>
      </c>
      <c r="B576" s="6"/>
      <c r="C576" s="6" t="str">
        <f aca="false">IFERROR(__xludf.dummyfunction("""COMPUTED_VALUE"""),"72589")</f>
        <v>72589</v>
      </c>
      <c r="D576" s="6"/>
      <c r="E576" s="6"/>
      <c r="F576" s="6"/>
      <c r="G576" s="6" t="str">
        <f aca="false">IFERROR(__xludf.dummyfunction("""COMPUTED_VALUE"""),"2026/04/27")</f>
        <v>2026/04/27</v>
      </c>
      <c r="H576" s="6" t="str">
        <f aca="false">IFERROR(__xludf.dummyfunction("""COMPUTED_VALUE"""),"必要")</f>
        <v>必要</v>
      </c>
      <c r="I576" s="6" t="str">
        <f aca="false">IFERROR(__xludf.dummyfunction("""COMPUTED_VALUE"""),"男性")</f>
        <v>男性</v>
      </c>
      <c r="J576" s="6" t="str">
        <f aca="false">IFERROR(__xludf.dummyfunction("""COMPUTED_VALUE"""),"日本")</f>
        <v>日本</v>
      </c>
      <c r="K576" s="6" t="str">
        <f aca="false">IFERROR(__xludf.dummyfunction("""COMPUTED_VALUE"""),"7")</f>
        <v>7</v>
      </c>
      <c r="L576" s="6" t="str">
        <f aca="false">IFERROR(__xludf.dummyfunction("""COMPUTED_VALUE"""),"モニター、パソコン")</f>
        <v>モニター、パソコン</v>
      </c>
      <c r="M576" s="6" t="str">
        <f aca="false">IFERROR(__xludf.dummyfunction("""COMPUTED_VALUE"""),"なし")</f>
        <v>なし</v>
      </c>
      <c r="N576" s="6"/>
      <c r="O576" s="6" t="str">
        <f aca="false">IFERROR(__xludf.dummyfunction("""COMPUTED_VALUE"""),"不要")</f>
        <v>不要</v>
      </c>
      <c r="P576" s="6"/>
      <c r="Q576" s="6"/>
      <c r="R576" s="6"/>
      <c r="S576" s="6" t="str">
        <f aca="false">IFERROR(__xludf.dummyfunction("""COMPUTED_VALUE"""),"家具家電付き社宅")</f>
        <v>家具家電付き社宅</v>
      </c>
      <c r="T576" s="6" t="str">
        <f aca="false">IFERROR(__xludf.dummyfunction("""COMPUTED_VALUE"""),"利用しない")</f>
        <v>利用しない</v>
      </c>
      <c r="U576" s="6"/>
      <c r="V576" s="6" t="str">
        <f aca="false">IFERROR(__xludf.dummyfunction("""COMPUTED_VALUE"""),"徒歩, 電車")</f>
        <v>徒歩, 電車</v>
      </c>
      <c r="W576" s="6"/>
      <c r="X576" s="6" t="str">
        <f aca="false">IFERROR(__xludf.dummyfunction("""COMPUTED_VALUE"""),"実家")</f>
        <v>実家</v>
      </c>
      <c r="Y576" s="6"/>
      <c r="Z576" s="6" t="str">
        <f aca="false">IFERROR(__xludf.dummyfunction("""COMPUTED_VALUE"""),"希望する")</f>
        <v>希望する</v>
      </c>
      <c r="AA576" s="6" t="str">
        <f aca="false">IFERROR(__xludf.dummyfunction("""COMPUTED_VALUE"""),"単身")</f>
        <v>単身</v>
      </c>
      <c r="AB576" s="6"/>
      <c r="AC576" s="6"/>
      <c r="AD576" s="6"/>
      <c r="AE576" s="6" t="str">
        <f aca="false">IFERROR(__xludf.dummyfunction("""COMPUTED_VALUE"""),"確認しました。")</f>
        <v>確認しました。</v>
      </c>
      <c r="AF576" s="6" t="str">
        <f aca="false">IFERROR(__xludf.dummyfunction("""COMPUTED_VALUE"""),"社宅基準の内容について確認しました")</f>
        <v>社宅基準の内容について確認しました</v>
      </c>
      <c r="AG576" s="6" t="str">
        <f aca="false">IFERROR(__xludf.dummyfunction("""COMPUTED_VALUE"""),"入居のしおりの内容についてご確認しました")</f>
        <v>入居のしおりの内容についてご確認しました</v>
      </c>
      <c r="AH576" s="6" t="str">
        <f aca="false">IFERROR(__xludf.dummyfunction("""COMPUTED_VALUE"""),"確認しました")</f>
        <v>確認しました</v>
      </c>
      <c r="AI576" s="6"/>
      <c r="AJ576" s="6" t="str">
        <v/>
      </c>
      <c r="AK576" s="6" t="str">
        <v/>
      </c>
      <c r="AL576" s="6" t="str">
        <v/>
      </c>
      <c r="AM576" s="6" t="str">
        <v/>
      </c>
      <c r="AN576" s="6" t="n">
        <f aca="false">FALSE()</f>
        <v>0</v>
      </c>
    </row>
    <row r="577" customFormat="false" ht="52.5" hidden="false" customHeight="true" outlineLevel="0" collapsed="false">
      <c r="A577" s="6" t="str">
        <f aca="false">IFERROR(__xludf.dummyfunction("""COMPUTED_VALUE"""),"2026/04/16 14:51:03")</f>
        <v>2026/04/16 14:51:03</v>
      </c>
      <c r="B577" s="6"/>
      <c r="C577" s="6" t="str">
        <f aca="false">IFERROR(__xludf.dummyfunction("""COMPUTED_VALUE"""),"72514")</f>
        <v>72514</v>
      </c>
      <c r="D577" s="6"/>
      <c r="E577" s="6"/>
      <c r="F577" s="6"/>
      <c r="G577" s="6" t="str">
        <f aca="false">IFERROR(__xludf.dummyfunction("""COMPUTED_VALUE"""),"2026/05/07")</f>
        <v>2026/05/07</v>
      </c>
      <c r="H577" s="6" t="str">
        <f aca="false">IFERROR(__xludf.dummyfunction("""COMPUTED_VALUE"""),"必要")</f>
        <v>必要</v>
      </c>
      <c r="I577" s="6" t="str">
        <f aca="false">IFERROR(__xludf.dummyfunction("""COMPUTED_VALUE"""),"男性")</f>
        <v>男性</v>
      </c>
      <c r="J577" s="6" t="str">
        <f aca="false">IFERROR(__xludf.dummyfunction("""COMPUTED_VALUE"""),"日本")</f>
        <v>日本</v>
      </c>
      <c r="K577" s="6" t="str">
        <f aca="false">IFERROR(__xludf.dummyfunction("""COMPUTED_VALUE"""),"10")</f>
        <v>10</v>
      </c>
      <c r="L577" s="6" t="str">
        <f aca="false">IFERROR(__xludf.dummyfunction("""COMPUTED_VALUE"""),"テレビ 単身2ドア冷蔵庫 洗濯機 小型電子ピアノ")</f>
        <v>テレビ 単身2ドア冷蔵庫 洗濯機 小型電子ピアノ</v>
      </c>
      <c r="M577" s="6" t="str">
        <f aca="false">IFERROR(__xludf.dummyfunction("""COMPUTED_VALUE"""),"80*60*40cm 棚　3つ")</f>
        <v>80*60*40cm 棚　3つ</v>
      </c>
      <c r="N577" s="6" t="str">
        <f aca="false">IFERROR(__xludf.dummyfunction("""COMPUTED_VALUE"""),"なし")</f>
        <v>なし</v>
      </c>
      <c r="O577" s="6" t="str">
        <f aca="false">IFERROR(__xludf.dummyfunction("""COMPUTED_VALUE"""),"必要")</f>
        <v>必要</v>
      </c>
      <c r="P577" s="6" t="str">
        <f aca="false">IFERROR(__xludf.dummyfunction("""COMPUTED_VALUE"""),"ホンダ フィッ")</f>
        <v>ホンダ フィッ</v>
      </c>
      <c r="Q577" s="6" t="str">
        <f aca="false">IFERROR(__xludf.dummyfunction("""COMPUTED_VALUE"""),"た9916")</f>
        <v>た9916</v>
      </c>
      <c r="R577" s="6" t="str">
        <f aca="false">IFERROR(__xludf.dummyfunction("""COMPUTED_VALUE"""),"白")</f>
        <v>白</v>
      </c>
      <c r="S577" s="6" t="str">
        <f aca="false">IFERROR(__xludf.dummyfunction("""COMPUTED_VALUE"""),"家具家電なし社宅")</f>
        <v>家具家電なし社宅</v>
      </c>
      <c r="T577" s="6" t="str">
        <f aca="false">IFERROR(__xludf.dummyfunction("""COMPUTED_VALUE"""),"利用しない")</f>
        <v>利用しない</v>
      </c>
      <c r="U577" s="6"/>
      <c r="V577" s="6" t="str">
        <f aca="false">IFERROR(__xludf.dummyfunction("""COMPUTED_VALUE"""),"社用バス")</f>
        <v>社用バス</v>
      </c>
      <c r="W577" s="6"/>
      <c r="X577" s="6" t="str">
        <f aca="false">IFERROR(__xludf.dummyfunction("""COMPUTED_VALUE"""),"株式会社オープンアップネクストエンジニア様の社宅")</f>
        <v>株式会社オープンアップネクストエンジニア様の社宅</v>
      </c>
      <c r="Y577" s="6" t="str">
        <f aca="false">IFERROR(__xludf.dummyfunction("""COMPUTED_VALUE"""),"利用なし")</f>
        <v>利用なし</v>
      </c>
      <c r="Z577" s="6" t="str">
        <f aca="false">IFERROR(__xludf.dummyfunction("""COMPUTED_VALUE"""),"希望しない")</f>
        <v>希望しない</v>
      </c>
      <c r="AA577" s="6" t="str">
        <f aca="false">IFERROR(__xludf.dummyfunction("""COMPUTED_VALUE"""),"単身")</f>
        <v>単身</v>
      </c>
      <c r="AB577" s="6"/>
      <c r="AC577" s="6"/>
      <c r="AD577" s="6" t="str">
        <f aca="false">IFERROR(__xludf.dummyfunction("""COMPUTED_VALUE"""),"第一希望:味美駅、第二希望:味鋺駅。2階希望。")</f>
        <v>第一希望:味美駅、第二希望:味鋺駅。2階希望。</v>
      </c>
      <c r="AE577" s="6" t="str">
        <f aca="false">IFERROR(__xludf.dummyfunction("""COMPUTED_VALUE"""),"確認しました。")</f>
        <v>確認しました。</v>
      </c>
      <c r="AF577" s="6" t="str">
        <f aca="false">IFERROR(__xludf.dummyfunction("""COMPUTED_VALUE"""),"社宅基準の内容について確認しました")</f>
        <v>社宅基準の内容について確認しました</v>
      </c>
      <c r="AG577" s="6" t="str">
        <f aca="false">IFERROR(__xludf.dummyfunction("""COMPUTED_VALUE"""),"入居のしおりの内容についてご確認しました")</f>
        <v>入居のしおりの内容についてご確認しました</v>
      </c>
      <c r="AH577" s="6" t="str">
        <f aca="false">IFERROR(__xludf.dummyfunction("""COMPUTED_VALUE"""),"確認しました")</f>
        <v>確認しました</v>
      </c>
      <c r="AI577" s="6"/>
      <c r="AJ577" s="6" t="str">
        <v/>
      </c>
      <c r="AK577" s="6" t="str">
        <v/>
      </c>
      <c r="AL577" s="6" t="str">
        <v/>
      </c>
      <c r="AM577" s="6" t="str">
        <v/>
      </c>
      <c r="AN577" s="6" t="n">
        <f aca="false">FALSE()</f>
        <v>0</v>
      </c>
    </row>
    <row r="578" customFormat="false" ht="52.5" hidden="false" customHeight="true" outlineLevel="0" collapsed="false">
      <c r="A578" s="6" t="str">
        <f aca="false">IFERROR(__xludf.dummyfunction("""COMPUTED_VALUE"""),"2026/04/17 10:14:42")</f>
        <v>2026/04/17 10:14:42</v>
      </c>
      <c r="B578" s="6"/>
      <c r="C578" s="6" t="str">
        <f aca="false">IFERROR(__xludf.dummyfunction("""COMPUTED_VALUE"""),"72566")</f>
        <v>72566</v>
      </c>
      <c r="D578" s="6"/>
      <c r="E578" s="6"/>
      <c r="F578" s="6"/>
      <c r="G578" s="6" t="str">
        <f aca="false">IFERROR(__xludf.dummyfunction("""COMPUTED_VALUE"""),"2026/05/13")</f>
        <v>2026/05/13</v>
      </c>
      <c r="H578" s="6" t="str">
        <f aca="false">IFERROR(__xludf.dummyfunction("""COMPUTED_VALUE"""),"必要")</f>
        <v>必要</v>
      </c>
      <c r="I578" s="6" t="str">
        <f aca="false">IFERROR(__xludf.dummyfunction("""COMPUTED_VALUE"""),"男性")</f>
        <v>男性</v>
      </c>
      <c r="J578" s="6" t="str">
        <f aca="false">IFERROR(__xludf.dummyfunction("""COMPUTED_VALUE"""),"日本")</f>
        <v>日本</v>
      </c>
      <c r="K578" s="6" t="str">
        <f aca="false">IFERROR(__xludf.dummyfunction("""COMPUTED_VALUE"""),"25")</f>
        <v>25</v>
      </c>
      <c r="L578" s="6" t="str">
        <f aca="false">IFERROR(__xludf.dummyfunction("""COMPUTED_VALUE"""),"冷蔵庫（家族用）、ドラム式洗濯機（650.750.1050）、テレビ（32V）、サブモニター2")</f>
        <v>冷蔵庫（家族用）、ドラム式洗濯機（650.750.1050）、テレビ（32V）、サブモニター2</v>
      </c>
      <c r="M578" s="6" t="str">
        <f aca="false">IFERROR(__xludf.dummyfunction("""COMPUTED_VALUE"""),"本棚2、3段ボックス4、ベッド（シングル）、衣類ケース7、")</f>
        <v>本棚2、3段ボックス4、ベッド（シングル）、衣類ケース7、</v>
      </c>
      <c r="N578" s="6" t="str">
        <f aca="false">IFERROR(__xludf.dummyfunction("""COMPUTED_VALUE"""),"スノボ板、ボール、自転車")</f>
        <v>スノボ板、ボール、自転車</v>
      </c>
      <c r="O578" s="6" t="str">
        <f aca="false">IFERROR(__xludf.dummyfunction("""COMPUTED_VALUE"""),"必要")</f>
        <v>必要</v>
      </c>
      <c r="P578" s="6" t="str">
        <f aca="false">IFERROR(__xludf.dummyfunction("""COMPUTED_VALUE"""),"タント")</f>
        <v>タント</v>
      </c>
      <c r="Q578" s="6" t="str">
        <f aca="false">IFERROR(__xludf.dummyfunction("""COMPUTED_VALUE"""),"え8864")</f>
        <v>え8864</v>
      </c>
      <c r="R578" s="6" t="str">
        <f aca="false">IFERROR(__xludf.dummyfunction("""COMPUTED_VALUE"""),"白")</f>
        <v>白</v>
      </c>
      <c r="S578" s="6" t="str">
        <f aca="false">IFERROR(__xludf.dummyfunction("""COMPUTED_VALUE"""),"家具家電なし社宅")</f>
        <v>家具家電なし社宅</v>
      </c>
      <c r="T578" s="6" t="str">
        <f aca="false">IFERROR(__xludf.dummyfunction("""COMPUTED_VALUE"""),"利用しない")</f>
        <v>利用しない</v>
      </c>
      <c r="U578" s="6"/>
      <c r="V578" s="6" t="str">
        <f aca="false">IFERROR(__xludf.dummyfunction("""COMPUTED_VALUE"""),"徒歩, 自動車")</f>
        <v>徒歩, 自動車</v>
      </c>
      <c r="W578" s="6"/>
      <c r="X578" s="6" t="str">
        <f aca="false">IFERROR(__xludf.dummyfunction("""COMPUTED_VALUE"""),"ご自身で契約中の物件")</f>
        <v>ご自身で契約中の物件</v>
      </c>
      <c r="Y578" s="6"/>
      <c r="Z578" s="6" t="str">
        <f aca="false">IFERROR(__xludf.dummyfunction("""COMPUTED_VALUE"""),"希望する")</f>
        <v>希望する</v>
      </c>
      <c r="AA578" s="6" t="str">
        <f aca="false">IFERROR(__xludf.dummyfunction("""COMPUTED_VALUE"""),"単身")</f>
        <v>単身</v>
      </c>
      <c r="AB578" s="6"/>
      <c r="AC578" s="6"/>
      <c r="AD578" s="6" t="str">
        <f aca="false">IFERROR(__xludf.dummyfunction("""COMPUTED_VALUE"""),"会社から近く、広め")</f>
        <v>会社から近く、広め</v>
      </c>
      <c r="AE578" s="6" t="str">
        <f aca="false">IFERROR(__xludf.dummyfunction("""COMPUTED_VALUE"""),"確認しました。")</f>
        <v>確認しました。</v>
      </c>
      <c r="AF578" s="6" t="str">
        <f aca="false">IFERROR(__xludf.dummyfunction("""COMPUTED_VALUE"""),"社宅基準の内容について確認しました")</f>
        <v>社宅基準の内容について確認しました</v>
      </c>
      <c r="AG578" s="6" t="str">
        <f aca="false">IFERROR(__xludf.dummyfunction("""COMPUTED_VALUE"""),"入居のしおりの内容についてご確認しました")</f>
        <v>入居のしおりの内容についてご確認しました</v>
      </c>
      <c r="AH578" s="6" t="str">
        <f aca="false">IFERROR(__xludf.dummyfunction("""COMPUTED_VALUE"""),"確認しました")</f>
        <v>確認しました</v>
      </c>
      <c r="AI578" s="6"/>
      <c r="AJ578" s="6" t="str">
        <v/>
      </c>
      <c r="AK578" s="6" t="str">
        <v/>
      </c>
      <c r="AL578" s="6" t="str">
        <v/>
      </c>
      <c r="AM578" s="6" t="str">
        <v/>
      </c>
      <c r="AN578" s="6" t="n">
        <f aca="false">FALSE()</f>
        <v>0</v>
      </c>
    </row>
    <row r="579" customFormat="false" ht="52.5" hidden="false" customHeight="true" outlineLevel="0" collapsed="false">
      <c r="A579" s="6" t="str">
        <f aca="false">IFERROR(__xludf.dummyfunction("""COMPUTED_VALUE"""),"2026/04/17 10:42:18")</f>
        <v>2026/04/17 10:42:18</v>
      </c>
      <c r="B579" s="6"/>
      <c r="C579" s="6" t="str">
        <f aca="false">IFERROR(__xludf.dummyfunction("""COMPUTED_VALUE"""),"72717")</f>
        <v>72717</v>
      </c>
      <c r="D579" s="6"/>
      <c r="E579" s="6"/>
      <c r="F579" s="6"/>
      <c r="G579" s="6" t="str">
        <f aca="false">IFERROR(__xludf.dummyfunction("""COMPUTED_VALUE"""),"2026/04/30")</f>
        <v>2026/04/30</v>
      </c>
      <c r="H579" s="6" t="str">
        <f aca="false">IFERROR(__xludf.dummyfunction("""COMPUTED_VALUE"""),"必要")</f>
        <v>必要</v>
      </c>
      <c r="I579" s="6" t="str">
        <f aca="false">IFERROR(__xludf.dummyfunction("""COMPUTED_VALUE"""),"男性")</f>
        <v>男性</v>
      </c>
      <c r="J579" s="6" t="str">
        <f aca="false">IFERROR(__xludf.dummyfunction("""COMPUTED_VALUE"""),"日本")</f>
        <v>日本</v>
      </c>
      <c r="K579" s="6" t="str">
        <f aca="false">IFERROR(__xludf.dummyfunction("""COMPUTED_VALUE"""),"7")</f>
        <v>7</v>
      </c>
      <c r="L579" s="6" t="str">
        <f aca="false">IFERROR(__xludf.dummyfunction("""COMPUTED_VALUE"""),"冷蔵庫（単身用）、電子レンジ、洗濯機、PC、ウォーターサーバー、テレビ、モニター")</f>
        <v>冷蔵庫（単身用）、電子レンジ、洗濯機、PC、ウォーターサーバー、テレビ、モニター</v>
      </c>
      <c r="M579" s="6" t="str">
        <f aca="false">IFERROR(__xludf.dummyfunction("""COMPUTED_VALUE"""),"布団（マットレス）、L字デスク（横120、縦100、高さ130）、カーテン")</f>
        <v>布団（マットレス）、L字デスク（横120、縦100、高さ130）、カーテン</v>
      </c>
      <c r="N579" s="6"/>
      <c r="O579" s="6" t="str">
        <f aca="false">IFERROR(__xludf.dummyfunction("""COMPUTED_VALUE"""),"不要")</f>
        <v>不要</v>
      </c>
      <c r="P579" s="6"/>
      <c r="Q579" s="6"/>
      <c r="R579" s="6"/>
      <c r="S579" s="6" t="str">
        <f aca="false">IFERROR(__xludf.dummyfunction("""COMPUTED_VALUE"""),"家具家電なし社宅")</f>
        <v>家具家電なし社宅</v>
      </c>
      <c r="T579" s="6" t="str">
        <f aca="false">IFERROR(__xludf.dummyfunction("""COMPUTED_VALUE"""),"利用しない")</f>
        <v>利用しない</v>
      </c>
      <c r="U579" s="6"/>
      <c r="V579" s="6" t="str">
        <f aca="false">IFERROR(__xludf.dummyfunction("""COMPUTED_VALUE"""),"徒歩, 社用バス")</f>
        <v>徒歩, 社用バス</v>
      </c>
      <c r="W579" s="6"/>
      <c r="X579" s="6" t="str">
        <f aca="false">IFERROR(__xludf.dummyfunction("""COMPUTED_VALUE"""),"株式会社オープンアップネクストエンジニア様の社宅")</f>
        <v>株式会社オープンアップネクストエンジニア様の社宅</v>
      </c>
      <c r="Y579" s="6" t="str">
        <f aca="false">IFERROR(__xludf.dummyfunction("""COMPUTED_VALUE"""),"利用なし")</f>
        <v>利用なし</v>
      </c>
      <c r="Z579" s="6" t="str">
        <f aca="false">IFERROR(__xludf.dummyfunction("""COMPUTED_VALUE"""),"希望する")</f>
        <v>希望する</v>
      </c>
      <c r="AA579" s="6" t="str">
        <f aca="false">IFERROR(__xludf.dummyfunction("""COMPUTED_VALUE"""),"単身")</f>
        <v>単身</v>
      </c>
      <c r="AB579" s="6"/>
      <c r="AC579" s="6"/>
      <c r="AD579" s="6"/>
      <c r="AE579" s="6" t="str">
        <f aca="false">IFERROR(__xludf.dummyfunction("""COMPUTED_VALUE"""),"確認しました。")</f>
        <v>確認しました。</v>
      </c>
      <c r="AF579" s="6" t="str">
        <f aca="false">IFERROR(__xludf.dummyfunction("""COMPUTED_VALUE"""),"社宅基準の内容について確認しました")</f>
        <v>社宅基準の内容について確認しました</v>
      </c>
      <c r="AG579" s="6" t="str">
        <f aca="false">IFERROR(__xludf.dummyfunction("""COMPUTED_VALUE"""),"入居のしおりの内容についてご確認しました")</f>
        <v>入居のしおりの内容についてご確認しました</v>
      </c>
      <c r="AH579" s="6" t="str">
        <f aca="false">IFERROR(__xludf.dummyfunction("""COMPUTED_VALUE"""),"確認しました")</f>
        <v>確認しました</v>
      </c>
      <c r="AI579" s="6"/>
      <c r="AJ579" s="6" t="str">
        <v/>
      </c>
      <c r="AK579" s="6" t="str">
        <v/>
      </c>
      <c r="AL579" s="6" t="str">
        <v/>
      </c>
      <c r="AM579" s="6" t="str">
        <v/>
      </c>
      <c r="AN579" s="6" t="n">
        <f aca="false">FALSE()</f>
        <v>0</v>
      </c>
    </row>
    <row r="580" customFormat="false" ht="52.5" hidden="false" customHeight="true" outlineLevel="0" collapsed="false">
      <c r="A580" s="6" t="str">
        <f aca="false">IFERROR(__xludf.dummyfunction("""COMPUTED_VALUE"""),"2026/04/17 11:52:30")</f>
        <v>2026/04/17 11:52:30</v>
      </c>
      <c r="B580" s="6"/>
      <c r="C580" s="6" t="str">
        <f aca="false">IFERROR(__xludf.dummyfunction("""COMPUTED_VALUE"""),"72725")</f>
        <v>72725</v>
      </c>
      <c r="D580" s="6"/>
      <c r="E580" s="6"/>
      <c r="F580" s="6"/>
      <c r="G580" s="6" t="str">
        <f aca="false">IFERROR(__xludf.dummyfunction("""COMPUTED_VALUE"""),"2026/05/07")</f>
        <v>2026/05/07</v>
      </c>
      <c r="H580" s="6" t="str">
        <f aca="false">IFERROR(__xludf.dummyfunction("""COMPUTED_VALUE"""),"必要")</f>
        <v>必要</v>
      </c>
      <c r="I580" s="6" t="str">
        <f aca="false">IFERROR(__xludf.dummyfunction("""COMPUTED_VALUE"""),"男性")</f>
        <v>男性</v>
      </c>
      <c r="J580" s="6" t="str">
        <f aca="false">IFERROR(__xludf.dummyfunction("""COMPUTED_VALUE"""),"日本")</f>
        <v>日本</v>
      </c>
      <c r="K580" s="6" t="str">
        <f aca="false">IFERROR(__xludf.dummyfunction("""COMPUTED_VALUE"""),"60")</f>
        <v>60</v>
      </c>
      <c r="L580" s="6" t="str">
        <f aca="false">IFERROR(__xludf.dummyfunction("""COMPUTED_VALUE"""),"テレビ、BDプレーヤー、加湿空気清浄機、乾燥機")</f>
        <v>テレビ、BDプレーヤー、加湿空気清浄機、乾燥機</v>
      </c>
      <c r="M580" s="6" t="str">
        <f aca="false">IFERROR(__xludf.dummyfunction("""COMPUTED_VALUE"""),"机(70x70x50cm)、椅子(70x130cm)、布団一式、座椅子")</f>
        <v>机(70x70x50cm)、椅子(70x130cm)、布団一式、座椅子</v>
      </c>
      <c r="N580" s="6" t="str">
        <f aca="false">IFERROR(__xludf.dummyfunction("""COMPUTED_VALUE"""),"自転車")</f>
        <v>自転車</v>
      </c>
      <c r="O580" s="6" t="str">
        <f aca="false">IFERROR(__xludf.dummyfunction("""COMPUTED_VALUE"""),"不要")</f>
        <v>不要</v>
      </c>
      <c r="P580" s="6"/>
      <c r="Q580" s="6"/>
      <c r="R580" s="6"/>
      <c r="S580" s="6" t="str">
        <f aca="false">IFERROR(__xludf.dummyfunction("""COMPUTED_VALUE"""),"家具家電付き社宅")</f>
        <v>家具家電付き社宅</v>
      </c>
      <c r="T580" s="6" t="str">
        <f aca="false">IFERROR(__xludf.dummyfunction("""COMPUTED_VALUE"""),"利用する")</f>
        <v>利用する</v>
      </c>
      <c r="U580" s="6" t="str">
        <f aca="false">IFERROR(__xludf.dummyfunction("""COMPUTED_VALUE"""),"テレビ台、ローテーブル、電子レンジ、全自動洗濯機、冷凍冷蔵庫(170ℓ)")</f>
        <v>テレビ台、ローテーブル、電子レンジ、全自動洗濯機、冷凍冷蔵庫(170ℓ)</v>
      </c>
      <c r="V580" s="6" t="str">
        <f aca="false">IFERROR(__xludf.dummyfunction("""COMPUTED_VALUE"""),"徒歩, 自転車")</f>
        <v>徒歩, 自転車</v>
      </c>
      <c r="W580" s="6"/>
      <c r="X580" s="6" t="str">
        <f aca="false">IFERROR(__xludf.dummyfunction("""COMPUTED_VALUE"""),"株式会社オープンアップネクストエンジニア様の社宅")</f>
        <v>株式会社オープンアップネクストエンジニア様の社宅</v>
      </c>
      <c r="Y580" s="6" t="str">
        <f aca="false">IFERROR(__xludf.dummyfunction("""COMPUTED_VALUE"""),"利用なし")</f>
        <v>利用なし</v>
      </c>
      <c r="Z580" s="6" t="str">
        <f aca="false">IFERROR(__xludf.dummyfunction("""COMPUTED_VALUE"""),"希望する")</f>
        <v>希望する</v>
      </c>
      <c r="AA580" s="6" t="str">
        <f aca="false">IFERROR(__xludf.dummyfunction("""COMPUTED_VALUE"""),"単身")</f>
        <v>単身</v>
      </c>
      <c r="AB580" s="6"/>
      <c r="AC580" s="6"/>
      <c r="AD580" s="6" t="str">
        <f aca="false">IFERROR(__xludf.dummyfunction("""COMPUTED_VALUE"""),"希望住宅があり、弊社営業に伝えています。")</f>
        <v>希望住宅があり、弊社営業に伝えています。</v>
      </c>
      <c r="AE580" s="6" t="str">
        <f aca="false">IFERROR(__xludf.dummyfunction("""COMPUTED_VALUE"""),"確認しました。")</f>
        <v>確認しました。</v>
      </c>
      <c r="AF580" s="6" t="str">
        <f aca="false">IFERROR(__xludf.dummyfunction("""COMPUTED_VALUE"""),"社宅基準の内容について確認しました")</f>
        <v>社宅基準の内容について確認しました</v>
      </c>
      <c r="AG580" s="6" t="str">
        <f aca="false">IFERROR(__xludf.dummyfunction("""COMPUTED_VALUE"""),"入居のしおりの内容についてご確認しました")</f>
        <v>入居のしおりの内容についてご確認しました</v>
      </c>
      <c r="AH580" s="6" t="str">
        <f aca="false">IFERROR(__xludf.dummyfunction("""COMPUTED_VALUE"""),"確認しました")</f>
        <v>確認しました</v>
      </c>
      <c r="AI580" s="6"/>
      <c r="AJ580" s="6" t="str">
        <v/>
      </c>
      <c r="AK580" s="6" t="str">
        <v/>
      </c>
      <c r="AL580" s="6" t="str">
        <v/>
      </c>
      <c r="AM580" s="6" t="str">
        <v/>
      </c>
      <c r="AN580" s="6" t="n">
        <f aca="false">FALSE()</f>
        <v>0</v>
      </c>
    </row>
    <row r="581" customFormat="false" ht="52.5" hidden="false" customHeight="true" outlineLevel="0" collapsed="false">
      <c r="A581" s="6" t="str">
        <f aca="false">IFERROR(__xludf.dummyfunction("""COMPUTED_VALUE"""),"2026/04/17 12:27:01")</f>
        <v>2026/04/17 12:27:01</v>
      </c>
      <c r="B581" s="6"/>
      <c r="C581" s="6" t="str">
        <f aca="false">IFERROR(__xludf.dummyfunction("""COMPUTED_VALUE"""),"72583")</f>
        <v>72583</v>
      </c>
      <c r="D581" s="6"/>
      <c r="E581" s="6"/>
      <c r="F581" s="6"/>
      <c r="G581" s="6" t="str">
        <f aca="false">IFERROR(__xludf.dummyfunction("""COMPUTED_VALUE"""),"2026/05/16")</f>
        <v>2026/05/16</v>
      </c>
      <c r="H581" s="6" t="str">
        <f aca="false">IFERROR(__xludf.dummyfunction("""COMPUTED_VALUE"""),"必要")</f>
        <v>必要</v>
      </c>
      <c r="I581" s="6" t="str">
        <f aca="false">IFERROR(__xludf.dummyfunction("""COMPUTED_VALUE"""),"男性")</f>
        <v>男性</v>
      </c>
      <c r="J581" s="6" t="str">
        <f aca="false">IFERROR(__xludf.dummyfunction("""COMPUTED_VALUE"""),"日本")</f>
        <v>日本</v>
      </c>
      <c r="K581" s="6" t="str">
        <f aca="false">IFERROR(__xludf.dummyfunction("""COMPUTED_VALUE"""),"15")</f>
        <v>15</v>
      </c>
      <c r="L581" s="6" t="str">
        <f aca="false">IFERROR(__xludf.dummyfunction("""COMPUTED_VALUE"""),"PC")</f>
        <v>PC</v>
      </c>
      <c r="M581" s="6" t="str">
        <f aca="false">IFERROR(__xludf.dummyfunction("""COMPUTED_VALUE"""),"無し")</f>
        <v>無し</v>
      </c>
      <c r="N581" s="6"/>
      <c r="O581" s="6" t="str">
        <f aca="false">IFERROR(__xludf.dummyfunction("""COMPUTED_VALUE"""),"不要")</f>
        <v>不要</v>
      </c>
      <c r="P581" s="6"/>
      <c r="Q581" s="6"/>
      <c r="R581" s="6"/>
      <c r="S581" s="6" t="str">
        <f aca="false">IFERROR(__xludf.dummyfunction("""COMPUTED_VALUE"""),"家具家電なし社宅")</f>
        <v>家具家電なし社宅</v>
      </c>
      <c r="T581" s="6" t="str">
        <f aca="false">IFERROR(__xludf.dummyfunction("""COMPUTED_VALUE"""),"利用しない")</f>
        <v>利用しない</v>
      </c>
      <c r="U581" s="6"/>
      <c r="V581" s="6" t="str">
        <f aca="false">IFERROR(__xludf.dummyfunction("""COMPUTED_VALUE"""),"徒歩, 電車")</f>
        <v>徒歩, 電車</v>
      </c>
      <c r="W581" s="6"/>
      <c r="X581" s="6" t="str">
        <f aca="false">IFERROR(__xludf.dummyfunction("""COMPUTED_VALUE"""),"実家")</f>
        <v>実家</v>
      </c>
      <c r="Y581" s="6"/>
      <c r="Z581" s="6" t="str">
        <f aca="false">IFERROR(__xludf.dummyfunction("""COMPUTED_VALUE"""),"希望しない")</f>
        <v>希望しない</v>
      </c>
      <c r="AA581" s="6" t="str">
        <f aca="false">IFERROR(__xludf.dummyfunction("""COMPUTED_VALUE"""),"単身")</f>
        <v>単身</v>
      </c>
      <c r="AB581" s="6"/>
      <c r="AC581" s="6"/>
      <c r="AD581" s="6" t="str">
        <f aca="false">IFERROR(__xludf.dummyfunction("""COMPUTED_VALUE"""),"バストイレ別、ネット完備、1Kでお願いしたいです。")</f>
        <v>バストイレ別、ネット完備、1Kでお願いしたいです。</v>
      </c>
      <c r="AE581" s="6" t="str">
        <f aca="false">IFERROR(__xludf.dummyfunction("""COMPUTED_VALUE"""),"確認しました。")</f>
        <v>確認しました。</v>
      </c>
      <c r="AF581" s="6" t="str">
        <f aca="false">IFERROR(__xludf.dummyfunction("""COMPUTED_VALUE"""),"社宅基準の内容について確認しました")</f>
        <v>社宅基準の内容について確認しました</v>
      </c>
      <c r="AG581" s="6" t="str">
        <f aca="false">IFERROR(__xludf.dummyfunction("""COMPUTED_VALUE"""),"入居のしおりの内容についてご確認しました")</f>
        <v>入居のしおりの内容についてご確認しました</v>
      </c>
      <c r="AH581" s="6" t="str">
        <f aca="false">IFERROR(__xludf.dummyfunction("""COMPUTED_VALUE"""),"確認しました")</f>
        <v>確認しました</v>
      </c>
      <c r="AI581" s="6"/>
      <c r="AJ581" s="6" t="str">
        <v/>
      </c>
      <c r="AK581" s="6" t="str">
        <v/>
      </c>
      <c r="AL581" s="6" t="str">
        <v/>
      </c>
      <c r="AM581" s="6" t="str">
        <v/>
      </c>
      <c r="AN581" s="6" t="n">
        <f aca="false">FALSE()</f>
        <v>0</v>
      </c>
    </row>
    <row r="582" customFormat="false" ht="52.5" hidden="false" customHeight="true" outlineLevel="0" collapsed="false">
      <c r="A582" s="6" t="str">
        <f aca="false">IFERROR(__xludf.dummyfunction("""COMPUTED_VALUE"""),"2026/04/17 12:51:56")</f>
        <v>2026/04/17 12:51:56</v>
      </c>
      <c r="B582" s="6"/>
      <c r="C582" s="6" t="str">
        <f aca="false">IFERROR(__xludf.dummyfunction("""COMPUTED_VALUE"""),"72707")</f>
        <v>72707</v>
      </c>
      <c r="D582" s="6"/>
      <c r="E582" s="6"/>
      <c r="F582" s="6"/>
      <c r="G582" s="6" t="str">
        <f aca="false">IFERROR(__xludf.dummyfunction("""COMPUTED_VALUE"""),"2026/05/29")</f>
        <v>2026/05/29</v>
      </c>
      <c r="H582" s="6" t="str">
        <f aca="false">IFERROR(__xludf.dummyfunction("""COMPUTED_VALUE"""),"必要")</f>
        <v>必要</v>
      </c>
      <c r="I582" s="6" t="str">
        <f aca="false">IFERROR(__xludf.dummyfunction("""COMPUTED_VALUE"""),"女性")</f>
        <v>女性</v>
      </c>
      <c r="J582" s="6" t="str">
        <f aca="false">IFERROR(__xludf.dummyfunction("""COMPUTED_VALUE"""),"日本")</f>
        <v>日本</v>
      </c>
      <c r="K582" s="6" t="str">
        <f aca="false">IFERROR(__xludf.dummyfunction("""COMPUTED_VALUE"""),"50")</f>
        <v>50</v>
      </c>
      <c r="L582" s="6" t="str">
        <f aca="false">IFERROR(__xludf.dummyfunction("""COMPUTED_VALUE"""),"なし")</f>
        <v>なし</v>
      </c>
      <c r="M582" s="6" t="str">
        <f aca="false">IFERROR(__xludf.dummyfunction("""COMPUTED_VALUE"""),"ベッド シングルサイズ
タンス 縦約2m 横約1m
タンス 縦約1.5m 横約3m
服引っ掛け 縦約2m")</f>
        <v>ベッド シングルサイズ
タンス 縦約2m 横約1m
タンス 縦約1.5m 横約3m
服引っ掛け 縦約2m</v>
      </c>
      <c r="N582" s="6" t="str">
        <f aca="false">IFERROR(__xludf.dummyfunction("""COMPUTED_VALUE"""),"自転車")</f>
        <v>自転車</v>
      </c>
      <c r="O582" s="6" t="str">
        <f aca="false">IFERROR(__xludf.dummyfunction("""COMPUTED_VALUE"""),"不要")</f>
        <v>不要</v>
      </c>
      <c r="P582" s="6"/>
      <c r="Q582" s="6"/>
      <c r="R582" s="6"/>
      <c r="S582" s="6" t="str">
        <f aca="false">IFERROR(__xludf.dummyfunction("""COMPUTED_VALUE"""),"家具家電なし社宅")</f>
        <v>家具家電なし社宅</v>
      </c>
      <c r="T582" s="6" t="str">
        <f aca="false">IFERROR(__xludf.dummyfunction("""COMPUTED_VALUE"""),"利用しない")</f>
        <v>利用しない</v>
      </c>
      <c r="U582" s="6"/>
      <c r="V582" s="6" t="str">
        <f aca="false">IFERROR(__xludf.dummyfunction("""COMPUTED_VALUE"""),"電車")</f>
        <v>電車</v>
      </c>
      <c r="W582" s="6"/>
      <c r="X582" s="6" t="str">
        <f aca="false">IFERROR(__xludf.dummyfunction("""COMPUTED_VALUE"""),"実家")</f>
        <v>実家</v>
      </c>
      <c r="Y582" s="6"/>
      <c r="Z582" s="6" t="str">
        <f aca="false">IFERROR(__xludf.dummyfunction("""COMPUTED_VALUE"""),"希望する")</f>
        <v>希望する</v>
      </c>
      <c r="AA582" s="6" t="str">
        <f aca="false">IFERROR(__xludf.dummyfunction("""COMPUTED_VALUE"""),"単身")</f>
        <v>単身</v>
      </c>
      <c r="AB582" s="6"/>
      <c r="AC582" s="6"/>
      <c r="AD582" s="6" t="str">
        <f aca="false">IFERROR(__xludf.dummyfunction("""COMPUTED_VALUE"""),"9畳以上の部屋
10万円以内
高円寺駅周辺
駅から徒歩15分圏内
バストイレ別
独立洗面所あり
都市ガス
駐輪場あり
オートロック
24時間ゴミ出し可")</f>
        <v>9畳以上の部屋
10万円以内
高円寺駅周辺
駅から徒歩15分圏内
バストイレ別
独立洗面所あり
都市ガス
駐輪場あり
オートロック
24時間ゴミ出し可</v>
      </c>
      <c r="AE582" s="6" t="str">
        <f aca="false">IFERROR(__xludf.dummyfunction("""COMPUTED_VALUE"""),"確認しました。")</f>
        <v>確認しました。</v>
      </c>
      <c r="AF582" s="6" t="str">
        <f aca="false">IFERROR(__xludf.dummyfunction("""COMPUTED_VALUE"""),"社宅基準の内容について確認しました")</f>
        <v>社宅基準の内容について確認しました</v>
      </c>
      <c r="AG582" s="6" t="str">
        <f aca="false">IFERROR(__xludf.dummyfunction("""COMPUTED_VALUE"""),"入居のしおりの内容についてご確認しました")</f>
        <v>入居のしおりの内容についてご確認しました</v>
      </c>
      <c r="AH582" s="6" t="str">
        <f aca="false">IFERROR(__xludf.dummyfunction("""COMPUTED_VALUE"""),"確認しました")</f>
        <v>確認しました</v>
      </c>
      <c r="AI582" s="6"/>
      <c r="AJ582" s="6" t="str">
        <v/>
      </c>
      <c r="AK582" s="6" t="str">
        <v/>
      </c>
      <c r="AL582" s="6" t="str">
        <v/>
      </c>
      <c r="AM582" s="6" t="str">
        <v/>
      </c>
      <c r="AN582" s="6" t="n">
        <f aca="false">FALSE()</f>
        <v>0</v>
      </c>
    </row>
    <row r="583" customFormat="false" ht="52.5" hidden="false" customHeight="true" outlineLevel="0" collapsed="false">
      <c r="A583" s="6" t="str">
        <f aca="false">IFERROR(__xludf.dummyfunction("""COMPUTED_VALUE"""),"2026/04/17 18:36:59")</f>
        <v>2026/04/17 18:36:59</v>
      </c>
      <c r="B583" s="6"/>
      <c r="C583" s="6" t="str">
        <f aca="false">IFERROR(__xludf.dummyfunction("""COMPUTED_VALUE"""),"72709")</f>
        <v>72709</v>
      </c>
      <c r="D583" s="6"/>
      <c r="E583" s="6"/>
      <c r="F583" s="6"/>
      <c r="G583" s="6" t="str">
        <f aca="false">IFERROR(__xludf.dummyfunction("""COMPUTED_VALUE"""),"2026/05/28")</f>
        <v>2026/05/28</v>
      </c>
      <c r="H583" s="6" t="str">
        <f aca="false">IFERROR(__xludf.dummyfunction("""COMPUTED_VALUE"""),"必要")</f>
        <v>必要</v>
      </c>
      <c r="I583" s="6" t="str">
        <f aca="false">IFERROR(__xludf.dummyfunction("""COMPUTED_VALUE"""),"男性")</f>
        <v>男性</v>
      </c>
      <c r="J583" s="6" t="str">
        <f aca="false">IFERROR(__xludf.dummyfunction("""COMPUTED_VALUE"""),"日本")</f>
        <v>日本</v>
      </c>
      <c r="K583" s="6" t="str">
        <f aca="false">IFERROR(__xludf.dummyfunction("""COMPUTED_VALUE"""),"6")</f>
        <v>6</v>
      </c>
      <c r="L583" s="6" t="str">
        <f aca="false">IFERROR(__xludf.dummyfunction("""COMPUTED_VALUE"""),"なし")</f>
        <v>なし</v>
      </c>
      <c r="M583" s="6" t="str">
        <f aca="false">IFERROR(__xludf.dummyfunction("""COMPUTED_VALUE"""),"こたつ、布団2枚(シングル)、毛布2枚")</f>
        <v>こたつ、布団2枚(シングル)、毛布2枚</v>
      </c>
      <c r="N583" s="6"/>
      <c r="O583" s="6" t="str">
        <f aca="false">IFERROR(__xludf.dummyfunction("""COMPUTED_VALUE"""),"不要")</f>
        <v>不要</v>
      </c>
      <c r="P583" s="6"/>
      <c r="Q583" s="6"/>
      <c r="R583" s="6"/>
      <c r="S583" s="6" t="str">
        <f aca="false">IFERROR(__xludf.dummyfunction("""COMPUTED_VALUE"""),"家具家電付き社宅")</f>
        <v>家具家電付き社宅</v>
      </c>
      <c r="T583" s="6" t="str">
        <f aca="false">IFERROR(__xludf.dummyfunction("""COMPUTED_VALUE"""),"利用しない")</f>
        <v>利用しない</v>
      </c>
      <c r="U583" s="6"/>
      <c r="V583" s="6" t="str">
        <f aca="false">IFERROR(__xludf.dummyfunction("""COMPUTED_VALUE"""),"徒歩, 社用バス")</f>
        <v>徒歩, 社用バス</v>
      </c>
      <c r="W583" s="6"/>
      <c r="X583" s="6" t="str">
        <f aca="false">IFERROR(__xludf.dummyfunction("""COMPUTED_VALUE"""),"実家")</f>
        <v>実家</v>
      </c>
      <c r="Y583" s="6"/>
      <c r="Z583" s="6" t="str">
        <f aca="false">IFERROR(__xludf.dummyfunction("""COMPUTED_VALUE"""),"希望する")</f>
        <v>希望する</v>
      </c>
      <c r="AA583" s="6" t="str">
        <f aca="false">IFERROR(__xludf.dummyfunction("""COMPUTED_VALUE"""),"単身")</f>
        <v>単身</v>
      </c>
      <c r="AB583" s="6"/>
      <c r="AC583" s="6"/>
      <c r="AD583" s="6" t="str">
        <f aca="false">IFERROR(__xludf.dummyfunction("""COMPUTED_VALUE"""),"可能であれば駅から近い物件が希望です。")</f>
        <v>可能であれば駅から近い物件が希望です。</v>
      </c>
      <c r="AE583" s="6" t="str">
        <f aca="false">IFERROR(__xludf.dummyfunction("""COMPUTED_VALUE"""),"確認しました。")</f>
        <v>確認しました。</v>
      </c>
      <c r="AF583" s="6" t="str">
        <f aca="false">IFERROR(__xludf.dummyfunction("""COMPUTED_VALUE"""),"社宅基準の内容について確認しました")</f>
        <v>社宅基準の内容について確認しました</v>
      </c>
      <c r="AG583" s="6" t="str">
        <f aca="false">IFERROR(__xludf.dummyfunction("""COMPUTED_VALUE"""),"入居のしおりの内容についてご確認しました")</f>
        <v>入居のしおりの内容についてご確認しました</v>
      </c>
      <c r="AH583" s="6" t="str">
        <f aca="false">IFERROR(__xludf.dummyfunction("""COMPUTED_VALUE"""),"確認しました")</f>
        <v>確認しました</v>
      </c>
      <c r="AI583" s="6"/>
      <c r="AJ583" s="6" t="str">
        <v/>
      </c>
      <c r="AK583" s="6" t="str">
        <v/>
      </c>
      <c r="AL583" s="6" t="str">
        <v/>
      </c>
      <c r="AM583" s="6" t="str">
        <v/>
      </c>
      <c r="AN583" s="6" t="n">
        <f aca="false">FALSE()</f>
        <v>0</v>
      </c>
    </row>
    <row r="584" customFormat="false" ht="52.5" hidden="false" customHeight="true" outlineLevel="0" collapsed="false">
      <c r="A584" s="6" t="str">
        <f aca="false">IFERROR(__xludf.dummyfunction("""COMPUTED_VALUE"""),"2026/04/17 19:04:02")</f>
        <v>2026/04/17 19:04:02</v>
      </c>
      <c r="B584" s="6"/>
      <c r="C584" s="6" t="str">
        <f aca="false">IFERROR(__xludf.dummyfunction("""COMPUTED_VALUE"""),"72577")</f>
        <v>72577</v>
      </c>
      <c r="D584" s="6"/>
      <c r="E584" s="6"/>
      <c r="F584" s="6"/>
      <c r="G584" s="6" t="str">
        <f aca="false">IFERROR(__xludf.dummyfunction("""COMPUTED_VALUE"""),"2026/04/30")</f>
        <v>2026/04/30</v>
      </c>
      <c r="H584" s="6" t="str">
        <f aca="false">IFERROR(__xludf.dummyfunction("""COMPUTED_VALUE"""),"必要")</f>
        <v>必要</v>
      </c>
      <c r="I584" s="6" t="str">
        <f aca="false">IFERROR(__xludf.dummyfunction("""COMPUTED_VALUE"""),"男性")</f>
        <v>男性</v>
      </c>
      <c r="J584" s="6" t="str">
        <f aca="false">IFERROR(__xludf.dummyfunction("""COMPUTED_VALUE"""),"日本")</f>
        <v>日本</v>
      </c>
      <c r="K584" s="6" t="str">
        <f aca="false">IFERROR(__xludf.dummyfunction("""COMPUTED_VALUE"""),"16")</f>
        <v>16</v>
      </c>
      <c r="L584" s="6" t="str">
        <f aca="false">IFERROR(__xludf.dummyfunction("""COMPUTED_VALUE"""),"ドラム式洗濯機幅565×奥行き538×高さ898
冷蔵庫2ドア
空気清浄機
ウォーターサーバー
電子レンジ")</f>
        <v>ドラム式洗濯機幅565×奥行き538×高さ898
冷蔵庫2ドア
空気清浄機
ウォーターサーバー
電子レンジ</v>
      </c>
      <c r="M584" s="6" t="str">
        <f aca="false">IFERROR(__xludf.dummyfunction("""COMPUTED_VALUE"""),"椅子
卓
折りたたみベッド
物干し竿
")</f>
        <v>椅子
卓
折りたたみベッド
物干し竿
</v>
      </c>
      <c r="N584" s="6"/>
      <c r="O584" s="6" t="str">
        <f aca="false">IFERROR(__xludf.dummyfunction("""COMPUTED_VALUE"""),"必要")</f>
        <v>必要</v>
      </c>
      <c r="P584" s="6" t="str">
        <f aca="false">IFERROR(__xludf.dummyfunction("""COMPUTED_VALUE"""),"これから取る予定のため不明")</f>
        <v>これから取る予定のため不明</v>
      </c>
      <c r="Q584" s="6" t="str">
        <f aca="false">IFERROR(__xludf.dummyfunction("""COMPUTED_VALUE"""),"不明")</f>
        <v>不明</v>
      </c>
      <c r="R584" s="6" t="str">
        <f aca="false">IFERROR(__xludf.dummyfunction("""COMPUTED_VALUE"""),"不明")</f>
        <v>不明</v>
      </c>
      <c r="S584" s="6" t="str">
        <f aca="false">IFERROR(__xludf.dummyfunction("""COMPUTED_VALUE"""),"家具家電なし社宅")</f>
        <v>家具家電なし社宅</v>
      </c>
      <c r="T584" s="6" t="str">
        <f aca="false">IFERROR(__xludf.dummyfunction("""COMPUTED_VALUE"""),"利用しない")</f>
        <v>利用しない</v>
      </c>
      <c r="U584" s="6"/>
      <c r="V584" s="6" t="str">
        <f aca="false">IFERROR(__xludf.dummyfunction("""COMPUTED_VALUE"""),"自転車")</f>
        <v>自転車</v>
      </c>
      <c r="W584" s="6"/>
      <c r="X584" s="6" t="str">
        <f aca="false">IFERROR(__xludf.dummyfunction("""COMPUTED_VALUE"""),"株式会社オープンアップネクストエンジニア様の社宅")</f>
        <v>株式会社オープンアップネクストエンジニア様の社宅</v>
      </c>
      <c r="Y584" s="6" t="str">
        <f aca="false">IFERROR(__xludf.dummyfunction("""COMPUTED_VALUE"""),"利用なし")</f>
        <v>利用なし</v>
      </c>
      <c r="Z584" s="6" t="str">
        <f aca="false">IFERROR(__xludf.dummyfunction("""COMPUTED_VALUE"""),"希望する")</f>
        <v>希望する</v>
      </c>
      <c r="AA584" s="6" t="str">
        <f aca="false">IFERROR(__xludf.dummyfunction("""COMPUTED_VALUE"""),"単身")</f>
        <v>単身</v>
      </c>
      <c r="AB584" s="6"/>
      <c r="AC584" s="6"/>
      <c r="AD584" s="6" t="str">
        <f aca="false">IFERROR(__xludf.dummyfunction("""COMPUTED_VALUE"""),"できればIHがいいです")</f>
        <v>できればIHがいいです</v>
      </c>
      <c r="AE584" s="6" t="str">
        <f aca="false">IFERROR(__xludf.dummyfunction("""COMPUTED_VALUE"""),"確認しました。")</f>
        <v>確認しました。</v>
      </c>
      <c r="AF584" s="6" t="str">
        <f aca="false">IFERROR(__xludf.dummyfunction("""COMPUTED_VALUE"""),"社宅基準の内容について確認しました")</f>
        <v>社宅基準の内容について確認しました</v>
      </c>
      <c r="AG584" s="6" t="str">
        <f aca="false">IFERROR(__xludf.dummyfunction("""COMPUTED_VALUE"""),"入居のしおりの内容についてご確認しました")</f>
        <v>入居のしおりの内容についてご確認しました</v>
      </c>
      <c r="AH584" s="6" t="str">
        <f aca="false">IFERROR(__xludf.dummyfunction("""COMPUTED_VALUE"""),"確認しました")</f>
        <v>確認しました</v>
      </c>
      <c r="AI584" s="6"/>
      <c r="AJ584" s="6" t="str">
        <v/>
      </c>
      <c r="AK584" s="6" t="str">
        <v/>
      </c>
      <c r="AL584" s="6" t="str">
        <v/>
      </c>
      <c r="AM584" s="6" t="str">
        <v/>
      </c>
      <c r="AN584" s="6" t="n">
        <f aca="false">FALSE()</f>
        <v>0</v>
      </c>
    </row>
    <row r="585" customFormat="false" ht="52.5" hidden="false" customHeight="true" outlineLevel="0" collapsed="false">
      <c r="A585" s="6" t="str">
        <f aca="false">IFERROR(__xludf.dummyfunction("""COMPUTED_VALUE"""),"2026/04/17 20:20:17")</f>
        <v>2026/04/17 20:20:17</v>
      </c>
      <c r="B585" s="6"/>
      <c r="C585" s="6" t="str">
        <f aca="false">IFERROR(__xludf.dummyfunction("""COMPUTED_VALUE"""),"72745")</f>
        <v>72745</v>
      </c>
      <c r="D585" s="6"/>
      <c r="E585" s="6"/>
      <c r="F585" s="6"/>
      <c r="G585" s="6" t="str">
        <f aca="false">IFERROR(__xludf.dummyfunction("""COMPUTED_VALUE"""),"2026/05/01")</f>
        <v>2026/05/01</v>
      </c>
      <c r="H585" s="6" t="str">
        <f aca="false">IFERROR(__xludf.dummyfunction("""COMPUTED_VALUE"""),"必要")</f>
        <v>必要</v>
      </c>
      <c r="I585" s="6" t="str">
        <f aca="false">IFERROR(__xludf.dummyfunction("""COMPUTED_VALUE"""),"男性")</f>
        <v>男性</v>
      </c>
      <c r="J585" s="6" t="str">
        <f aca="false">IFERROR(__xludf.dummyfunction("""COMPUTED_VALUE"""),"日本")</f>
        <v>日本</v>
      </c>
      <c r="K585" s="6" t="str">
        <f aca="false">IFERROR(__xludf.dummyfunction("""COMPUTED_VALUE"""),"20")</f>
        <v>20</v>
      </c>
      <c r="L585" s="6" t="str">
        <f aca="false">IFERROR(__xludf.dummyfunction("""COMPUTED_VALUE"""),"テレビ、冷蔵庫(単身用)、ドラム式洗濯機(幅577mm、奥行586mm、高さ980mm)、ウォーターサーバー、電子レンジ、オーブントースター、モニター、ゲーミングPC")</f>
        <v>テレビ、冷蔵庫(単身用)、ドラム式洗濯機(幅577mm、奥行586mm、高さ980mm)、ウォーターサーバー、電子レンジ、オーブントースター、モニター、ゲーミングPC</v>
      </c>
      <c r="M585" s="6" t="str">
        <f aca="false">IFERROR(__xludf.dummyfunction("""COMPUTED_VALUE"""),"テレビラック(幅854mm、奥行384mm、高さ300mm)、衣装棚(幅526mm、奥行360mm、高さ816mm)、収納棚(幅560mm、奥行360mm、高さ450mm)")</f>
        <v>テレビラック(幅854mm、奥行384mm、高さ300mm)、衣装棚(幅526mm、奥行360mm、高さ816mm)、収納棚(幅560mm、奥行360mm、高さ450mm)</v>
      </c>
      <c r="N585" s="6" t="str">
        <f aca="false">IFERROR(__xludf.dummyfunction("""COMPUTED_VALUE"""),"自転車")</f>
        <v>自転車</v>
      </c>
      <c r="O585" s="6" t="str">
        <f aca="false">IFERROR(__xludf.dummyfunction("""COMPUTED_VALUE"""),"不要")</f>
        <v>不要</v>
      </c>
      <c r="P585" s="6"/>
      <c r="Q585" s="6"/>
      <c r="R585" s="6"/>
      <c r="S585" s="6" t="str">
        <f aca="false">IFERROR(__xludf.dummyfunction("""COMPUTED_VALUE"""),"家具家電なし社宅")</f>
        <v>家具家電なし社宅</v>
      </c>
      <c r="T585" s="6" t="str">
        <f aca="false">IFERROR(__xludf.dummyfunction("""COMPUTED_VALUE"""),"利用しない")</f>
        <v>利用しない</v>
      </c>
      <c r="U585" s="6"/>
      <c r="V585" s="6" t="str">
        <f aca="false">IFERROR(__xludf.dummyfunction("""COMPUTED_VALUE"""),"徒歩, 自転車")</f>
        <v>徒歩, 自転車</v>
      </c>
      <c r="W585" s="6"/>
      <c r="X585" s="6" t="str">
        <f aca="false">IFERROR(__xludf.dummyfunction("""COMPUTED_VALUE"""),"ご自身で契約中の物件")</f>
        <v>ご自身で契約中の物件</v>
      </c>
      <c r="Y585" s="6"/>
      <c r="Z585" s="6" t="str">
        <f aca="false">IFERROR(__xludf.dummyfunction("""COMPUTED_VALUE"""),"希望する")</f>
        <v>希望する</v>
      </c>
      <c r="AA585" s="6" t="str">
        <f aca="false">IFERROR(__xludf.dummyfunction("""COMPUTED_VALUE"""),"単身")</f>
        <v>単身</v>
      </c>
      <c r="AB585" s="6"/>
      <c r="AC585" s="6"/>
      <c r="AD585" s="6" t="str">
        <f aca="false">IFERROR(__xludf.dummyfunction("""COMPUTED_VALUE"""),"セパレートタイプ、なるべく高い階層、築年数が浅い所")</f>
        <v>セパレートタイプ、なるべく高い階層、築年数が浅い所</v>
      </c>
      <c r="AE585" s="6" t="str">
        <f aca="false">IFERROR(__xludf.dummyfunction("""COMPUTED_VALUE"""),"確認しました。")</f>
        <v>確認しました。</v>
      </c>
      <c r="AF585" s="6" t="str">
        <f aca="false">IFERROR(__xludf.dummyfunction("""COMPUTED_VALUE"""),"社宅基準の内容について確認しました")</f>
        <v>社宅基準の内容について確認しました</v>
      </c>
      <c r="AG585" s="6" t="str">
        <f aca="false">IFERROR(__xludf.dummyfunction("""COMPUTED_VALUE"""),"入居のしおりの内容についてご確認しました")</f>
        <v>入居のしおりの内容についてご確認しました</v>
      </c>
      <c r="AH585" s="6" t="str">
        <f aca="false">IFERROR(__xludf.dummyfunction("""COMPUTED_VALUE"""),"確認しました")</f>
        <v>確認しました</v>
      </c>
      <c r="AI585" s="6"/>
      <c r="AJ585" s="6" t="str">
        <v/>
      </c>
      <c r="AK585" s="6" t="str">
        <v/>
      </c>
      <c r="AL585" s="6" t="str">
        <v/>
      </c>
      <c r="AM585" s="6" t="str">
        <v/>
      </c>
      <c r="AN585" s="6" t="n">
        <f aca="false">FALSE()</f>
        <v>0</v>
      </c>
    </row>
    <row r="586" customFormat="false" ht="52.5" hidden="false" customHeight="true" outlineLevel="0" collapsed="false">
      <c r="A586" s="6" t="str">
        <f aca="false">IFERROR(__xludf.dummyfunction("""COMPUTED_VALUE"""),"2026/04/18 6:57:24")</f>
        <v>2026/04/18 6:57:24</v>
      </c>
      <c r="B586" s="6"/>
      <c r="C586" s="6" t="str">
        <f aca="false">IFERROR(__xludf.dummyfunction("""COMPUTED_VALUE"""),"72724")</f>
        <v>72724</v>
      </c>
      <c r="D586" s="6"/>
      <c r="E586" s="6"/>
      <c r="F586" s="6"/>
      <c r="G586" s="6" t="str">
        <f aca="false">IFERROR(__xludf.dummyfunction("""COMPUTED_VALUE"""),"2026/05/01")</f>
        <v>2026/05/01</v>
      </c>
      <c r="H586" s="6" t="str">
        <f aca="false">IFERROR(__xludf.dummyfunction("""COMPUTED_VALUE"""),"必要")</f>
        <v>必要</v>
      </c>
      <c r="I586" s="6" t="str">
        <f aca="false">IFERROR(__xludf.dummyfunction("""COMPUTED_VALUE"""),"男性")</f>
        <v>男性</v>
      </c>
      <c r="J586" s="6" t="str">
        <f aca="false">IFERROR(__xludf.dummyfunction("""COMPUTED_VALUE"""),"日本")</f>
        <v>日本</v>
      </c>
      <c r="K586" s="6" t="str">
        <f aca="false">IFERROR(__xludf.dummyfunction("""COMPUTED_VALUE"""),"10")</f>
        <v>10</v>
      </c>
      <c r="L586" s="6" t="str">
        <f aca="false">IFERROR(__xludf.dummyfunction("""COMPUTED_VALUE"""),"ウォーターサーバ(300mm×400mm×1200mm)")</f>
        <v>ウォーターサーバ(300mm×400mm×1200mm)</v>
      </c>
      <c r="M586" s="6" t="str">
        <f aca="false">IFERROR(__xludf.dummyfunction("""COMPUTED_VALUE"""),"なし")</f>
        <v>なし</v>
      </c>
      <c r="N586" s="6" t="str">
        <f aca="false">IFERROR(__xludf.dummyfunction("""COMPUTED_VALUE"""),"なし")</f>
        <v>なし</v>
      </c>
      <c r="O586" s="6" t="str">
        <f aca="false">IFERROR(__xludf.dummyfunction("""COMPUTED_VALUE"""),"必要")</f>
        <v>必要</v>
      </c>
      <c r="P586" s="6" t="str">
        <f aca="false">IFERROR(__xludf.dummyfunction("""COMPUTED_VALUE"""),"ワゴンR")</f>
        <v>ワゴンR</v>
      </c>
      <c r="Q586" s="6" t="str">
        <f aca="false">IFERROR(__xludf.dummyfunction("""COMPUTED_VALUE"""),"い989")</f>
        <v>い989</v>
      </c>
      <c r="R586" s="6" t="str">
        <f aca="false">IFERROR(__xludf.dummyfunction("""COMPUTED_VALUE"""),"紫")</f>
        <v>紫</v>
      </c>
      <c r="S586" s="6" t="str">
        <f aca="false">IFERROR(__xludf.dummyfunction("""COMPUTED_VALUE"""),"家具家電付き社宅")</f>
        <v>家具家電付き社宅</v>
      </c>
      <c r="T586" s="6" t="str">
        <f aca="false">IFERROR(__xludf.dummyfunction("""COMPUTED_VALUE"""),"利用しない")</f>
        <v>利用しない</v>
      </c>
      <c r="U586" s="6"/>
      <c r="V586" s="6" t="str">
        <f aca="false">IFERROR(__xludf.dummyfunction("""COMPUTED_VALUE"""),"徒歩")</f>
        <v>徒歩</v>
      </c>
      <c r="W586" s="6"/>
      <c r="X586" s="6" t="str">
        <f aca="false">IFERROR(__xludf.dummyfunction("""COMPUTED_VALUE"""),"株式会社オープンアップネクストエンジニア様の社宅")</f>
        <v>株式会社オープンアップネクストエンジニア様の社宅</v>
      </c>
      <c r="Y586" s="6" t="str">
        <f aca="false">IFERROR(__xludf.dummyfunction("""COMPUTED_VALUE"""),"利用なし")</f>
        <v>利用なし</v>
      </c>
      <c r="Z586" s="6" t="str">
        <f aca="false">IFERROR(__xludf.dummyfunction("""COMPUTED_VALUE"""),"希望する")</f>
        <v>希望する</v>
      </c>
      <c r="AA586" s="6" t="str">
        <f aca="false">IFERROR(__xludf.dummyfunction("""COMPUTED_VALUE"""),"単身")</f>
        <v>単身</v>
      </c>
      <c r="AB586" s="6"/>
      <c r="AC586" s="6"/>
      <c r="AD586" s="6" t="str">
        <f aca="false">IFERROR(__xludf.dummyfunction("""COMPUTED_VALUE"""),"承知致しました。")</f>
        <v>承知致しました。</v>
      </c>
      <c r="AE586" s="6" t="str">
        <f aca="false">IFERROR(__xludf.dummyfunction("""COMPUTED_VALUE"""),"確認しました。")</f>
        <v>確認しました。</v>
      </c>
      <c r="AF586" s="6" t="str">
        <f aca="false">IFERROR(__xludf.dummyfunction("""COMPUTED_VALUE"""),"社宅基準の内容について確認しました")</f>
        <v>社宅基準の内容について確認しました</v>
      </c>
      <c r="AG586" s="6" t="str">
        <f aca="false">IFERROR(__xludf.dummyfunction("""COMPUTED_VALUE"""),"入居のしおりの内容についてご確認しました")</f>
        <v>入居のしおりの内容についてご確認しました</v>
      </c>
      <c r="AH586" s="6" t="str">
        <f aca="false">IFERROR(__xludf.dummyfunction("""COMPUTED_VALUE"""),"確認しました")</f>
        <v>確認しました</v>
      </c>
      <c r="AI586" s="6"/>
      <c r="AJ586" s="6" t="str">
        <v/>
      </c>
      <c r="AK586" s="6" t="str">
        <v/>
      </c>
      <c r="AL586" s="6" t="str">
        <v/>
      </c>
      <c r="AM586" s="6" t="str">
        <v/>
      </c>
      <c r="AN586" s="6" t="n">
        <f aca="false">FALSE()</f>
        <v>0</v>
      </c>
    </row>
    <row r="587" customFormat="false" ht="52.5" hidden="false" customHeight="true" outlineLevel="0" collapsed="false">
      <c r="A587" s="6" t="str">
        <f aca="false">IFERROR(__xludf.dummyfunction("""COMPUTED_VALUE"""),"2026/04/18 15:05:36")</f>
        <v>2026/04/18 15:05:36</v>
      </c>
      <c r="B587" s="6"/>
      <c r="C587" s="6" t="str">
        <f aca="false">IFERROR(__xludf.dummyfunction("""COMPUTED_VALUE"""),"72740")</f>
        <v>72740</v>
      </c>
      <c r="D587" s="6"/>
      <c r="E587" s="6"/>
      <c r="F587" s="6"/>
      <c r="G587" s="6" t="str">
        <f aca="false">IFERROR(__xludf.dummyfunction("""COMPUTED_VALUE"""),"2026/06/30")</f>
        <v>2026/06/30</v>
      </c>
      <c r="H587" s="6" t="str">
        <f aca="false">IFERROR(__xludf.dummyfunction("""COMPUTED_VALUE"""),"必要")</f>
        <v>必要</v>
      </c>
      <c r="I587" s="6" t="str">
        <f aca="false">IFERROR(__xludf.dummyfunction("""COMPUTED_VALUE"""),"男性")</f>
        <v>男性</v>
      </c>
      <c r="J587" s="6" t="str">
        <f aca="false">IFERROR(__xludf.dummyfunction("""COMPUTED_VALUE"""),"日本")</f>
        <v>日本</v>
      </c>
      <c r="K587" s="6" t="str">
        <f aca="false">IFERROR(__xludf.dummyfunction("""COMPUTED_VALUE"""),"30")</f>
        <v>30</v>
      </c>
      <c r="L587" s="6" t="str">
        <f aca="false">IFERROR(__xludf.dummyfunction("""COMPUTED_VALUE"""),"テレビ、デスクトップPC、電子レンジ、冷蔵庫(２ドア)、洗濯機(通常型)、炊飯器、ノンオイルフライヤー、高圧洗浄機、空気洗浄機、オーブントースター、マッサージ器、ゲーム機など")</f>
        <v>テレビ、デスクトップPC、電子レンジ、冷蔵庫(２ドア)、洗濯機(通常型)、炊飯器、ノンオイルフライヤー、高圧洗浄機、空気洗浄機、オーブントースター、マッサージ器、ゲーム機など</v>
      </c>
      <c r="M587" s="6" t="str">
        <f aca="false">IFERROR(__xludf.dummyfunction("""COMPUTED_VALUE"""),"ベット、作業机、突っ張り棒棚など")</f>
        <v>ベット、作業机、突っ張り棒棚など</v>
      </c>
      <c r="N587" s="6" t="str">
        <f aca="false">IFERROR(__xludf.dummyfunction("""COMPUTED_VALUE"""),"自転車")</f>
        <v>自転車</v>
      </c>
      <c r="O587" s="6" t="str">
        <f aca="false">IFERROR(__xludf.dummyfunction("""COMPUTED_VALUE"""),"不要")</f>
        <v>不要</v>
      </c>
      <c r="P587" s="6"/>
      <c r="Q587" s="6"/>
      <c r="R587" s="6"/>
      <c r="S587" s="6" t="str">
        <f aca="false">IFERROR(__xludf.dummyfunction("""COMPUTED_VALUE"""),"家具家電なし社宅")</f>
        <v>家具家電なし社宅</v>
      </c>
      <c r="T587" s="6" t="str">
        <f aca="false">IFERROR(__xludf.dummyfunction("""COMPUTED_VALUE"""),"利用しない")</f>
        <v>利用しない</v>
      </c>
      <c r="U587" s="6"/>
      <c r="V587" s="6" t="str">
        <f aca="false">IFERROR(__xludf.dummyfunction("""COMPUTED_VALUE"""),"電車, バス")</f>
        <v>電車, バス</v>
      </c>
      <c r="W587" s="6"/>
      <c r="X587" s="6" t="str">
        <f aca="false">IFERROR(__xludf.dummyfunction("""COMPUTED_VALUE"""),"株式会社オープンアップネクストエンジニア様の社宅")</f>
        <v>株式会社オープンアップネクストエンジニア様の社宅</v>
      </c>
      <c r="Y587" s="6" t="str">
        <f aca="false">IFERROR(__xludf.dummyfunction("""COMPUTED_VALUE"""),"なし")</f>
        <v>なし</v>
      </c>
      <c r="Z587" s="6" t="str">
        <f aca="false">IFERROR(__xludf.dummyfunction("""COMPUTED_VALUE"""),"希望する")</f>
        <v>希望する</v>
      </c>
      <c r="AA587" s="6" t="str">
        <f aca="false">IFERROR(__xludf.dummyfunction("""COMPUTED_VALUE"""),"単身")</f>
        <v>単身</v>
      </c>
      <c r="AB587" s="6"/>
      <c r="AC587" s="6"/>
      <c r="AD587" s="6" t="str">
        <f aca="false">IFERROR(__xludf.dummyfunction("""COMPUTED_VALUE"""),"・現在住んでいる部屋と同じ程度の広さ
・階層は３階以上
・同じエリア((南海電車)難波駅、(御堂筋線)大国町駅、(堺筋線)恵美須町)、(南海電車)今宮戎駅）辺り
・オートロック
・室内に洗濯機を置きたい
・周囲の音は、許容できるけど、匂いが強いところはやめてほしい
・駐輪所があればいいが、なければ、部屋の前などに自転車を置けるならOK
")</f>
        <v>・現在住んでいる部屋と同じ程度の広さ
・階層は３階以上
・同じエリア((南海電車)難波駅、(御堂筋線)大国町駅、(堺筋線)恵美須町)、(南海電車)今宮戎駅）辺り
・オートロック
・室内に洗濯機を置きたい
・周囲の音は、許容できるけど、匂いが強いところはやめてほしい
・駐輪所があればいいが、なければ、部屋の前などに自転車を置けるならOK
</v>
      </c>
      <c r="AE587" s="6" t="str">
        <f aca="false">IFERROR(__xludf.dummyfunction("""COMPUTED_VALUE"""),"確認しました。")</f>
        <v>確認しました。</v>
      </c>
      <c r="AF587" s="6" t="str">
        <f aca="false">IFERROR(__xludf.dummyfunction("""COMPUTED_VALUE"""),"社宅基準の内容について確認しました")</f>
        <v>社宅基準の内容について確認しました</v>
      </c>
      <c r="AG587" s="6" t="str">
        <f aca="false">IFERROR(__xludf.dummyfunction("""COMPUTED_VALUE"""),"入居のしおりの内容についてご確認しました")</f>
        <v>入居のしおりの内容についてご確認しました</v>
      </c>
      <c r="AH587" s="6" t="str">
        <f aca="false">IFERROR(__xludf.dummyfunction("""COMPUTED_VALUE"""),"確認しました")</f>
        <v>確認しました</v>
      </c>
      <c r="AI587" s="6"/>
      <c r="AJ587" s="6" t="str">
        <v/>
      </c>
      <c r="AK587" s="6" t="str">
        <v/>
      </c>
      <c r="AL587" s="6" t="str">
        <v/>
      </c>
      <c r="AM587" s="6" t="str">
        <v/>
      </c>
      <c r="AN587" s="6" t="n">
        <f aca="false">FALSE()</f>
        <v>0</v>
      </c>
    </row>
    <row r="588" customFormat="false" ht="52.5" hidden="false" customHeight="true" outlineLevel="0" collapsed="false">
      <c r="A588" s="6" t="str">
        <f aca="false">IFERROR(__xludf.dummyfunction("""COMPUTED_VALUE"""),"2026/04/18 19:28:36")</f>
        <v>2026/04/18 19:28:36</v>
      </c>
      <c r="B588" s="6"/>
      <c r="C588" s="6" t="str">
        <f aca="false">IFERROR(__xludf.dummyfunction("""COMPUTED_VALUE"""),"72720")</f>
        <v>72720</v>
      </c>
      <c r="D588" s="6"/>
      <c r="E588" s="6"/>
      <c r="F588" s="6"/>
      <c r="G588" s="6" t="str">
        <f aca="false">IFERROR(__xludf.dummyfunction("""COMPUTED_VALUE"""),"2026/05/05")</f>
        <v>2026/05/05</v>
      </c>
      <c r="H588" s="6" t="str">
        <f aca="false">IFERROR(__xludf.dummyfunction("""COMPUTED_VALUE"""),"不要")</f>
        <v>不要</v>
      </c>
      <c r="I588" s="6" t="str">
        <f aca="false">IFERROR(__xludf.dummyfunction("""COMPUTED_VALUE"""),"男性")</f>
        <v>男性</v>
      </c>
      <c r="J588" s="6" t="str">
        <f aca="false">IFERROR(__xludf.dummyfunction("""COMPUTED_VALUE"""),"日本")</f>
        <v>日本</v>
      </c>
      <c r="K588" s="6"/>
      <c r="L588" s="6"/>
      <c r="M588" s="6"/>
      <c r="N588" s="6"/>
      <c r="O588" s="6" t="str">
        <f aca="false">IFERROR(__xludf.dummyfunction("""COMPUTED_VALUE"""),"必要")</f>
        <v>必要</v>
      </c>
      <c r="P588" s="6" t="str">
        <f aca="false">IFERROR(__xludf.dummyfunction("""COMPUTED_VALUE"""),"HONDA ACTY ")</f>
        <v>HONDA ACTY </v>
      </c>
      <c r="Q588" s="6" t="str">
        <f aca="false">IFERROR(__xludf.dummyfunction("""COMPUTED_VALUE"""),"て85-14")</f>
        <v>て85-14</v>
      </c>
      <c r="R588" s="6" t="str">
        <f aca="false">IFERROR(__xludf.dummyfunction("""COMPUTED_VALUE"""),"白")</f>
        <v>白</v>
      </c>
      <c r="S588" s="6" t="str">
        <f aca="false">IFERROR(__xludf.dummyfunction("""COMPUTED_VALUE"""),"家具家電付き社宅")</f>
        <v>家具家電付き社宅</v>
      </c>
      <c r="T588" s="6" t="str">
        <f aca="false">IFERROR(__xludf.dummyfunction("""COMPUTED_VALUE"""),"利用しない")</f>
        <v>利用しない</v>
      </c>
      <c r="U588" s="6"/>
      <c r="V588" s="6" t="str">
        <f aca="false">IFERROR(__xludf.dummyfunction("""COMPUTED_VALUE"""),"自動車")</f>
        <v>自動車</v>
      </c>
      <c r="W588" s="6"/>
      <c r="X588" s="6" t="str">
        <f aca="false">IFERROR(__xludf.dummyfunction("""COMPUTED_VALUE"""),"実家")</f>
        <v>実家</v>
      </c>
      <c r="Y588" s="6"/>
      <c r="Z588" s="6" t="str">
        <f aca="false">IFERROR(__xludf.dummyfunction("""COMPUTED_VALUE"""),"希望する")</f>
        <v>希望する</v>
      </c>
      <c r="AA588" s="6" t="str">
        <f aca="false">IFERROR(__xludf.dummyfunction("""COMPUTED_VALUE"""),"単身")</f>
        <v>単身</v>
      </c>
      <c r="AB588" s="6"/>
      <c r="AC588" s="6"/>
      <c r="AD588" s="6"/>
      <c r="AE588" s="6" t="str">
        <f aca="false">IFERROR(__xludf.dummyfunction("""COMPUTED_VALUE"""),"確認しました。")</f>
        <v>確認しました。</v>
      </c>
      <c r="AF588" s="6" t="str">
        <f aca="false">IFERROR(__xludf.dummyfunction("""COMPUTED_VALUE"""),"社宅基準の内容について確認しました")</f>
        <v>社宅基準の内容について確認しました</v>
      </c>
      <c r="AG588" s="6" t="str">
        <f aca="false">IFERROR(__xludf.dummyfunction("""COMPUTED_VALUE"""),"入居のしおりの内容についてご確認しました")</f>
        <v>入居のしおりの内容についてご確認しました</v>
      </c>
      <c r="AH588" s="6" t="str">
        <f aca="false">IFERROR(__xludf.dummyfunction("""COMPUTED_VALUE"""),"確認しました")</f>
        <v>確認しました</v>
      </c>
      <c r="AI588" s="6"/>
      <c r="AJ588" s="6" t="str">
        <v/>
      </c>
      <c r="AK588" s="6" t="str">
        <v/>
      </c>
      <c r="AL588" s="6" t="str">
        <v/>
      </c>
      <c r="AM588" s="6" t="str">
        <v/>
      </c>
      <c r="AN588" s="6" t="n">
        <f aca="false">FALSE()</f>
        <v>0</v>
      </c>
    </row>
    <row r="589" customFormat="false" ht="52.5" hidden="false" customHeight="true" outlineLevel="0" collapsed="false">
      <c r="A589" s="6" t="str">
        <f aca="false">IFERROR(__xludf.dummyfunction("""COMPUTED_VALUE"""),"2026/04/19 0:01:23")</f>
        <v>2026/04/19 0:01:23</v>
      </c>
      <c r="B589" s="6"/>
      <c r="C589" s="6" t="str">
        <f aca="false">IFERROR(__xludf.dummyfunction("""COMPUTED_VALUE"""),"72692")</f>
        <v>72692</v>
      </c>
      <c r="D589" s="6"/>
      <c r="E589" s="6"/>
      <c r="F589" s="6"/>
      <c r="G589" s="6" t="str">
        <f aca="false">IFERROR(__xludf.dummyfunction("""COMPUTED_VALUE"""),"2026/05/06")</f>
        <v>2026/05/06</v>
      </c>
      <c r="H589" s="6" t="str">
        <f aca="false">IFERROR(__xludf.dummyfunction("""COMPUTED_VALUE"""),"必要")</f>
        <v>必要</v>
      </c>
      <c r="I589" s="6" t="str">
        <f aca="false">IFERROR(__xludf.dummyfunction("""COMPUTED_VALUE"""),"男性")</f>
        <v>男性</v>
      </c>
      <c r="J589" s="6" t="str">
        <f aca="false">IFERROR(__xludf.dummyfunction("""COMPUTED_VALUE"""),"日本")</f>
        <v>日本</v>
      </c>
      <c r="K589" s="6" t="str">
        <f aca="false">IFERROR(__xludf.dummyfunction("""COMPUTED_VALUE"""),"10")</f>
        <v>10</v>
      </c>
      <c r="L589" s="6" t="str">
        <f aca="false">IFERROR(__xludf.dummyfunction("""COMPUTED_VALUE"""),"テレビ（24V型）、扇風機")</f>
        <v>テレビ（24V型）、扇風機</v>
      </c>
      <c r="M589" s="6" t="str">
        <f aca="false">IFERROR(__xludf.dummyfunction("""COMPUTED_VALUE"""),"机（幅1200ｍｍ×奥行550ｍｍ×高さ720ｍｍ）")</f>
        <v>机（幅1200ｍｍ×奥行550ｍｍ×高さ720ｍｍ）</v>
      </c>
      <c r="N589" s="6"/>
      <c r="O589" s="6" t="str">
        <f aca="false">IFERROR(__xludf.dummyfunction("""COMPUTED_VALUE"""),"必要")</f>
        <v>必要</v>
      </c>
      <c r="P589" s="6" t="str">
        <f aca="false">IFERROR(__xludf.dummyfunction("""COMPUTED_VALUE"""),"オーリス")</f>
        <v>オーリス</v>
      </c>
      <c r="Q589" s="6" t="str">
        <f aca="false">IFERROR(__xludf.dummyfunction("""COMPUTED_VALUE"""),"ほ32-85")</f>
        <v>ほ32-85</v>
      </c>
      <c r="R589" s="6" t="str">
        <f aca="false">IFERROR(__xludf.dummyfunction("""COMPUTED_VALUE"""),"赤")</f>
        <v>赤</v>
      </c>
      <c r="S589" s="6" t="str">
        <f aca="false">IFERROR(__xludf.dummyfunction("""COMPUTED_VALUE"""),"家具家電付き社宅")</f>
        <v>家具家電付き社宅</v>
      </c>
      <c r="T589" s="6" t="str">
        <f aca="false">IFERROR(__xludf.dummyfunction("""COMPUTED_VALUE"""),"利用する")</f>
        <v>利用する</v>
      </c>
      <c r="U589" s="6" t="str">
        <f aca="false">IFERROR(__xludf.dummyfunction("""COMPUTED_VALUE"""),"ベッド、ベッド用マットレス、炊飯器、電気湯沸かしポット")</f>
        <v>ベッド、ベッド用マットレス、炊飯器、電気湯沸かしポット</v>
      </c>
      <c r="V589" s="6" t="str">
        <f aca="false">IFERROR(__xludf.dummyfunction("""COMPUTED_VALUE"""),"自動車, 電車")</f>
        <v>自動車, 電車</v>
      </c>
      <c r="W589" s="6"/>
      <c r="X589" s="6" t="str">
        <f aca="false">IFERROR(__xludf.dummyfunction("""COMPUTED_VALUE"""),"実家")</f>
        <v>実家</v>
      </c>
      <c r="Y589" s="6"/>
      <c r="Z589" s="6" t="str">
        <f aca="false">IFERROR(__xludf.dummyfunction("""COMPUTED_VALUE"""),"希望する")</f>
        <v>希望する</v>
      </c>
      <c r="AA589" s="6" t="str">
        <f aca="false">IFERROR(__xludf.dummyfunction("""COMPUTED_VALUE"""),"単身")</f>
        <v>単身</v>
      </c>
      <c r="AB589" s="6"/>
      <c r="AC589" s="6"/>
      <c r="AD589" s="6"/>
      <c r="AE589" s="6" t="str">
        <f aca="false">IFERROR(__xludf.dummyfunction("""COMPUTED_VALUE"""),"確認しました。")</f>
        <v>確認しました。</v>
      </c>
      <c r="AF589" s="6" t="str">
        <f aca="false">IFERROR(__xludf.dummyfunction("""COMPUTED_VALUE"""),"社宅基準の内容について確認しました")</f>
        <v>社宅基準の内容について確認しました</v>
      </c>
      <c r="AG589" s="6" t="str">
        <f aca="false">IFERROR(__xludf.dummyfunction("""COMPUTED_VALUE"""),"入居のしおりの内容についてご確認しました")</f>
        <v>入居のしおりの内容についてご確認しました</v>
      </c>
      <c r="AH589" s="6" t="str">
        <f aca="false">IFERROR(__xludf.dummyfunction("""COMPUTED_VALUE"""),"確認しました")</f>
        <v>確認しました</v>
      </c>
      <c r="AI589" s="6"/>
      <c r="AJ589" s="6" t="str">
        <v/>
      </c>
      <c r="AK589" s="6" t="str">
        <v/>
      </c>
      <c r="AL589" s="6" t="str">
        <v/>
      </c>
      <c r="AM589" s="6" t="str">
        <v/>
      </c>
      <c r="AN589" s="6" t="n">
        <f aca="false">FALSE()</f>
        <v>0</v>
      </c>
    </row>
    <row r="590" customFormat="false" ht="52.5" hidden="false" customHeight="true" outlineLevel="0" collapsed="false">
      <c r="A590" s="6" t="str">
        <f aca="false">IFERROR(__xludf.dummyfunction("""COMPUTED_VALUE"""),"2026/04/19 20:09:27")</f>
        <v>2026/04/19 20:09:27</v>
      </c>
      <c r="B590" s="6"/>
      <c r="C590" s="6" t="str">
        <f aca="false">IFERROR(__xludf.dummyfunction("""COMPUTED_VALUE"""),"72728")</f>
        <v>72728</v>
      </c>
      <c r="D590" s="6"/>
      <c r="E590" s="6"/>
      <c r="F590" s="6"/>
      <c r="G590" s="6" t="str">
        <f aca="false">IFERROR(__xludf.dummyfunction("""COMPUTED_VALUE"""),"2026/05/10")</f>
        <v>2026/05/10</v>
      </c>
      <c r="H590" s="6" t="str">
        <f aca="false">IFERROR(__xludf.dummyfunction("""COMPUTED_VALUE"""),"必要")</f>
        <v>必要</v>
      </c>
      <c r="I590" s="6" t="str">
        <f aca="false">IFERROR(__xludf.dummyfunction("""COMPUTED_VALUE"""),"女性")</f>
        <v>女性</v>
      </c>
      <c r="J590" s="6" t="str">
        <f aca="false">IFERROR(__xludf.dummyfunction("""COMPUTED_VALUE"""),"日本")</f>
        <v>日本</v>
      </c>
      <c r="K590" s="6" t="str">
        <f aca="false">IFERROR(__xludf.dummyfunction("""COMPUTED_VALUE"""),"15")</f>
        <v>15</v>
      </c>
      <c r="L590" s="6" t="str">
        <f aca="false">IFERROR(__xludf.dummyfunction("""COMPUTED_VALUE"""),"冷蔵庫2ドア、洗濯機、電子レンジ、トースター")</f>
        <v>冷蔵庫2ドア、洗濯機、電子レンジ、トースター</v>
      </c>
      <c r="M590" s="6" t="str">
        <f aca="false">IFERROR(__xludf.dummyfunction("""COMPUTED_VALUE"""),"なし")</f>
        <v>なし</v>
      </c>
      <c r="N590" s="6"/>
      <c r="O590" s="6" t="str">
        <f aca="false">IFERROR(__xludf.dummyfunction("""COMPUTED_VALUE"""),"必要")</f>
        <v>必要</v>
      </c>
      <c r="P590" s="6" t="str">
        <f aca="false">IFERROR(__xludf.dummyfunction("""COMPUTED_VALUE"""),"トヨタ　ライズ")</f>
        <v>トヨタ　ライズ</v>
      </c>
      <c r="Q590" s="6" t="str">
        <f aca="false">IFERROR(__xludf.dummyfunction("""COMPUTED_VALUE"""),"ら8800")</f>
        <v>ら8800</v>
      </c>
      <c r="R590" s="6" t="str">
        <f aca="false">IFERROR(__xludf.dummyfunction("""COMPUTED_VALUE"""),"白")</f>
        <v>白</v>
      </c>
      <c r="S590" s="6" t="str">
        <f aca="false">IFERROR(__xludf.dummyfunction("""COMPUTED_VALUE"""),"家具家電なし社宅")</f>
        <v>家具家電なし社宅</v>
      </c>
      <c r="T590" s="6" t="str">
        <f aca="false">IFERROR(__xludf.dummyfunction("""COMPUTED_VALUE"""),"利用しない")</f>
        <v>利用しない</v>
      </c>
      <c r="U590" s="6"/>
      <c r="V590" s="6" t="str">
        <f aca="false">IFERROR(__xludf.dummyfunction("""COMPUTED_VALUE"""),"徒歩")</f>
        <v>徒歩</v>
      </c>
      <c r="W590" s="6"/>
      <c r="X590" s="6" t="str">
        <f aca="false">IFERROR(__xludf.dummyfunction("""COMPUTED_VALUE"""),"ご自身で契約中の物件")</f>
        <v>ご自身で契約中の物件</v>
      </c>
      <c r="Y590" s="6"/>
      <c r="Z590" s="6" t="str">
        <f aca="false">IFERROR(__xludf.dummyfunction("""COMPUTED_VALUE"""),"希望する")</f>
        <v>希望する</v>
      </c>
      <c r="AA590" s="6" t="str">
        <f aca="false">IFERROR(__xludf.dummyfunction("""COMPUTED_VALUE"""),"単身")</f>
        <v>単身</v>
      </c>
      <c r="AB590" s="6"/>
      <c r="AC590" s="6"/>
      <c r="AD590" s="6"/>
      <c r="AE590" s="6" t="str">
        <f aca="false">IFERROR(__xludf.dummyfunction("""COMPUTED_VALUE"""),"確認しました。")</f>
        <v>確認しました。</v>
      </c>
      <c r="AF590" s="6" t="str">
        <f aca="false">IFERROR(__xludf.dummyfunction("""COMPUTED_VALUE"""),"社宅基準の内容について確認しました")</f>
        <v>社宅基準の内容について確認しました</v>
      </c>
      <c r="AG590" s="6" t="str">
        <f aca="false">IFERROR(__xludf.dummyfunction("""COMPUTED_VALUE"""),"入居のしおりの内容についてご確認しました")</f>
        <v>入居のしおりの内容についてご確認しました</v>
      </c>
      <c r="AH590" s="6" t="str">
        <f aca="false">IFERROR(__xludf.dummyfunction("""COMPUTED_VALUE"""),"確認しました")</f>
        <v>確認しました</v>
      </c>
      <c r="AI590" s="6"/>
      <c r="AJ590" s="6" t="str">
        <v/>
      </c>
      <c r="AK590" s="6" t="str">
        <v/>
      </c>
      <c r="AL590" s="6" t="str">
        <v/>
      </c>
      <c r="AM590" s="6" t="str">
        <v/>
      </c>
      <c r="AN590" s="6" t="n">
        <f aca="false">FALSE()</f>
        <v>0</v>
      </c>
    </row>
    <row r="591" customFormat="false" ht="52.5" hidden="false" customHeight="true" outlineLevel="0" collapsed="false">
      <c r="A591" s="6" t="str">
        <f aca="false">IFERROR(__xludf.dummyfunction("""COMPUTED_VALUE"""),"2026/04/19 21:50:25")</f>
        <v>2026/04/19 21:50:25</v>
      </c>
      <c r="B591" s="6"/>
      <c r="C591" s="6" t="str">
        <f aca="false">IFERROR(__xludf.dummyfunction("""COMPUTED_VALUE"""),"72562")</f>
        <v>72562</v>
      </c>
      <c r="D591" s="6"/>
      <c r="E591" s="6"/>
      <c r="F591" s="6"/>
      <c r="G591" s="6" t="str">
        <f aca="false">IFERROR(__xludf.dummyfunction("""COMPUTED_VALUE"""),"2026/08/12")</f>
        <v>2026/08/12</v>
      </c>
      <c r="H591" s="6" t="str">
        <f aca="false">IFERROR(__xludf.dummyfunction("""COMPUTED_VALUE"""),"必要")</f>
        <v>必要</v>
      </c>
      <c r="I591" s="6" t="str">
        <f aca="false">IFERROR(__xludf.dummyfunction("""COMPUTED_VALUE"""),"男性")</f>
        <v>男性</v>
      </c>
      <c r="J591" s="6" t="str">
        <f aca="false">IFERROR(__xludf.dummyfunction("""COMPUTED_VALUE"""),"日本")</f>
        <v>日本</v>
      </c>
      <c r="K591" s="6" t="str">
        <f aca="false">IFERROR(__xludf.dummyfunction("""COMPUTED_VALUE"""),"15")</f>
        <v>15</v>
      </c>
      <c r="L591" s="6" t="str">
        <f aca="false">IFERROR(__xludf.dummyfunction("""COMPUTED_VALUE"""),"冷蔵庫 単身用、電子レンジ、トースター、洗濯機、炊飯器、パソコン、FHDモニター3枚、プリンター")</f>
        <v>冷蔵庫 単身用、電子レンジ、トースター、洗濯機、炊飯器、パソコン、FHDモニター3枚、プリンター</v>
      </c>
      <c r="M591" s="6" t="str">
        <f aca="false">IFERROR(__xludf.dummyfunction("""COMPUTED_VALUE"""),"机(120,60,75)、折りたたみ机:折りたたみ時(73,5,70)、ワゴン(40,55,60)、棚(60,32,135)、棚(60,47,105)、ベッド(シングル)、収納ケース(52,45,50)")</f>
        <v>机(120,60,75)、折りたたみ机:折りたたみ時(73,5,70)、ワゴン(40,55,60)、棚(60,32,135)、棚(60,47,105)、ベッド(シングル)、収納ケース(52,45,50)</v>
      </c>
      <c r="N591" s="6"/>
      <c r="O591" s="6" t="str">
        <f aca="false">IFERROR(__xludf.dummyfunction("""COMPUTED_VALUE"""),"不要")</f>
        <v>不要</v>
      </c>
      <c r="P591" s="6"/>
      <c r="Q591" s="6"/>
      <c r="R591" s="6"/>
      <c r="S591" s="6" t="str">
        <f aca="false">IFERROR(__xludf.dummyfunction("""COMPUTED_VALUE"""),"家具家電なし社宅")</f>
        <v>家具家電なし社宅</v>
      </c>
      <c r="T591" s="6" t="str">
        <f aca="false">IFERROR(__xludf.dummyfunction("""COMPUTED_VALUE"""),"利用しない")</f>
        <v>利用しない</v>
      </c>
      <c r="U591" s="6"/>
      <c r="V591" s="6" t="str">
        <f aca="false">IFERROR(__xludf.dummyfunction("""COMPUTED_VALUE"""),"徒歩")</f>
        <v>徒歩</v>
      </c>
      <c r="W591" s="6"/>
      <c r="X591" s="6" t="str">
        <f aca="false">IFERROR(__xludf.dummyfunction("""COMPUTED_VALUE"""),"株式会社オープンアップネクストエンジニア様の社宅")</f>
        <v>株式会社オープンアップネクストエンジニア様の社宅</v>
      </c>
      <c r="Y591" s="6" t="str">
        <f aca="false">IFERROR(__xludf.dummyfunction("""COMPUTED_VALUE"""),"利用なし")</f>
        <v>利用なし</v>
      </c>
      <c r="Z591" s="6" t="str">
        <f aca="false">IFERROR(__xludf.dummyfunction("""COMPUTED_VALUE"""),"希望する")</f>
        <v>希望する</v>
      </c>
      <c r="AA591" s="6" t="str">
        <f aca="false">IFERROR(__xludf.dummyfunction("""COMPUTED_VALUE"""),"単身")</f>
        <v>単身</v>
      </c>
      <c r="AB591" s="6"/>
      <c r="AC591" s="6"/>
      <c r="AD591" s="6" t="str">
        <f aca="false">IFERROR(__xludf.dummyfunction("""COMPUTED_VALUE"""),"駐車場は契約上必要な場合は契約をする")</f>
        <v>駐車場は契約上必要な場合は契約をする</v>
      </c>
      <c r="AE591" s="6" t="str">
        <f aca="false">IFERROR(__xludf.dummyfunction("""COMPUTED_VALUE"""),"確認しました。")</f>
        <v>確認しました。</v>
      </c>
      <c r="AF591" s="6" t="str">
        <f aca="false">IFERROR(__xludf.dummyfunction("""COMPUTED_VALUE"""),"社宅基準の内容について確認しました")</f>
        <v>社宅基準の内容について確認しました</v>
      </c>
      <c r="AG591" s="6" t="str">
        <f aca="false">IFERROR(__xludf.dummyfunction("""COMPUTED_VALUE"""),"入居のしおりの内容についてご確認しました")</f>
        <v>入居のしおりの内容についてご確認しました</v>
      </c>
      <c r="AH591" s="6" t="str">
        <f aca="false">IFERROR(__xludf.dummyfunction("""COMPUTED_VALUE"""),"確認しました")</f>
        <v>確認しました</v>
      </c>
      <c r="AI591" s="6"/>
      <c r="AJ591" s="6" t="str">
        <v/>
      </c>
      <c r="AK591" s="6" t="str">
        <v/>
      </c>
      <c r="AL591" s="6" t="str">
        <v/>
      </c>
      <c r="AM591" s="6" t="str">
        <v/>
      </c>
      <c r="AN591" s="6" t="n">
        <f aca="false">FALSE()</f>
        <v>0</v>
      </c>
    </row>
    <row r="592" customFormat="false" ht="52.5" hidden="false" customHeight="true" outlineLevel="0" collapsed="false">
      <c r="A592" s="6" t="str">
        <f aca="false">IFERROR(__xludf.dummyfunction("""COMPUTED_VALUE"""),"2026/04/19 23:18:09")</f>
        <v>2026/04/19 23:18:09</v>
      </c>
      <c r="B592" s="6"/>
      <c r="C592" s="6" t="str">
        <f aca="false">IFERROR(__xludf.dummyfunction("""COMPUTED_VALUE"""),"72732")</f>
        <v>72732</v>
      </c>
      <c r="D592" s="6"/>
      <c r="E592" s="6"/>
      <c r="F592" s="6"/>
      <c r="G592" s="6" t="str">
        <f aca="false">IFERROR(__xludf.dummyfunction("""COMPUTED_VALUE"""),"2026/05/04")</f>
        <v>2026/05/04</v>
      </c>
      <c r="H592" s="6" t="str">
        <f aca="false">IFERROR(__xludf.dummyfunction("""COMPUTED_VALUE"""),"必要")</f>
        <v>必要</v>
      </c>
      <c r="I592" s="6" t="str">
        <f aca="false">IFERROR(__xludf.dummyfunction("""COMPUTED_VALUE"""),"女性")</f>
        <v>女性</v>
      </c>
      <c r="J592" s="6" t="str">
        <f aca="false">IFERROR(__xludf.dummyfunction("""COMPUTED_VALUE"""),"日本")</f>
        <v>日本</v>
      </c>
      <c r="K592" s="6" t="str">
        <f aca="false">IFERROR(__xludf.dummyfunction("""COMPUTED_VALUE"""),"30")</f>
        <v>30</v>
      </c>
      <c r="L592" s="6" t="str">
        <f aca="false">IFERROR(__xludf.dummyfunction("""COMPUTED_VALUE"""),"ホームベーカリー ウォーターサーバー 扇風機 ")</f>
        <v>ホームベーカリー ウォーターサーバー 扇風機 </v>
      </c>
      <c r="M592" s="6" t="str">
        <f aca="false">IFERROR(__xludf.dummyfunction("""COMPUTED_VALUE"""),"3段ワゴン大小 1個ずつ 棚①横61 奥行 30 高さ87.5 棚② 横 42 奥行 30 高さ 87.5 3段ボックス 横 44.5 奥行 38 高さ61.5   5段ボックス横36 奥行 40 高さ 100 ")</f>
        <v>3段ワゴン大小 1個ずつ 棚①横61 奥行 30 高さ87.5 棚② 横 42 奥行 30 高さ 87.5 3段ボックス 横 44.5 奥行 38 高さ61.5   5段ボックス横36 奥行 40 高さ 100 </v>
      </c>
      <c r="N592" s="6" t="str">
        <f aca="false">IFERROR(__xludf.dummyfunction("""COMPUTED_VALUE"""),"自転車 ")</f>
        <v>自転車 </v>
      </c>
      <c r="O592" s="6" t="str">
        <f aca="false">IFERROR(__xludf.dummyfunction("""COMPUTED_VALUE"""),"不要")</f>
        <v>不要</v>
      </c>
      <c r="P592" s="6"/>
      <c r="Q592" s="6"/>
      <c r="R592" s="6"/>
      <c r="S592" s="6" t="str">
        <f aca="false">IFERROR(__xludf.dummyfunction("""COMPUTED_VALUE"""),"家具家電なし社宅")</f>
        <v>家具家電なし社宅</v>
      </c>
      <c r="T592" s="6" t="str">
        <f aca="false">IFERROR(__xludf.dummyfunction("""COMPUTED_VALUE"""),"利用しない")</f>
        <v>利用しない</v>
      </c>
      <c r="U592" s="6"/>
      <c r="V592" s="6" t="str">
        <f aca="false">IFERROR(__xludf.dummyfunction("""COMPUTED_VALUE"""),"徒歩, 自転車")</f>
        <v>徒歩, 自転車</v>
      </c>
      <c r="W592" s="6"/>
      <c r="X592" s="6" t="str">
        <f aca="false">IFERROR(__xludf.dummyfunction("""COMPUTED_VALUE"""),"実家")</f>
        <v>実家</v>
      </c>
      <c r="Y592" s="6"/>
      <c r="Z592" s="6" t="str">
        <f aca="false">IFERROR(__xludf.dummyfunction("""COMPUTED_VALUE"""),"希望しない")</f>
        <v>希望しない</v>
      </c>
      <c r="AA592" s="6" t="str">
        <f aca="false">IFERROR(__xludf.dummyfunction("""COMPUTED_VALUE"""),"単身")</f>
        <v>単身</v>
      </c>
      <c r="AB592" s="6"/>
      <c r="AC592" s="6"/>
      <c r="AD592" s="6" t="str">
        <f aca="false">IFERROR(__xludf.dummyfunction("""COMPUTED_VALUE"""),"できればオートロック付き がいいです。")</f>
        <v>できればオートロック付き がいいです。</v>
      </c>
      <c r="AE592" s="6" t="str">
        <f aca="false">IFERROR(__xludf.dummyfunction("""COMPUTED_VALUE"""),"確認しました。")</f>
        <v>確認しました。</v>
      </c>
      <c r="AF592" s="6" t="str">
        <f aca="false">IFERROR(__xludf.dummyfunction("""COMPUTED_VALUE"""),"社宅基準の内容について確認しました")</f>
        <v>社宅基準の内容について確認しました</v>
      </c>
      <c r="AG592" s="6" t="str">
        <f aca="false">IFERROR(__xludf.dummyfunction("""COMPUTED_VALUE"""),"入居のしおりの内容についてご確認しました")</f>
        <v>入居のしおりの内容についてご確認しました</v>
      </c>
      <c r="AH592" s="6" t="str">
        <f aca="false">IFERROR(__xludf.dummyfunction("""COMPUTED_VALUE"""),"確認しました")</f>
        <v>確認しました</v>
      </c>
      <c r="AI592" s="6"/>
      <c r="AJ592" s="6" t="str">
        <v/>
      </c>
      <c r="AK592" s="6" t="str">
        <v/>
      </c>
      <c r="AL592" s="6" t="str">
        <v/>
      </c>
      <c r="AM592" s="6" t="str">
        <v/>
      </c>
      <c r="AN592" s="6" t="n">
        <f aca="false">FALSE()</f>
        <v>0</v>
      </c>
    </row>
    <row r="593" customFormat="false" ht="52.5" hidden="false" customHeight="true" outlineLevel="0" collapsed="false">
      <c r="A593" s="6" t="str">
        <f aca="false">IFERROR(__xludf.dummyfunction("""COMPUTED_VALUE"""),"2026/04/20 12:36:45")</f>
        <v>2026/04/20 12:36:45</v>
      </c>
      <c r="B593" s="6"/>
      <c r="C593" s="6" t="str">
        <f aca="false">IFERROR(__xludf.dummyfunction("""COMPUTED_VALUE"""),"72761")</f>
        <v>72761</v>
      </c>
      <c r="D593" s="6"/>
      <c r="E593" s="6"/>
      <c r="F593" s="6"/>
      <c r="G593" s="6" t="str">
        <f aca="false">IFERROR(__xludf.dummyfunction("""COMPUTED_VALUE"""),"2026/04/30")</f>
        <v>2026/04/30</v>
      </c>
      <c r="H593" s="6" t="str">
        <f aca="false">IFERROR(__xludf.dummyfunction("""COMPUTED_VALUE"""),"必要")</f>
        <v>必要</v>
      </c>
      <c r="I593" s="6" t="str">
        <f aca="false">IFERROR(__xludf.dummyfunction("""COMPUTED_VALUE"""),"男性")</f>
        <v>男性</v>
      </c>
      <c r="J593" s="6" t="str">
        <f aca="false">IFERROR(__xludf.dummyfunction("""COMPUTED_VALUE"""),"日本")</f>
        <v>日本</v>
      </c>
      <c r="K593" s="6" t="str">
        <f aca="false">IFERROR(__xludf.dummyfunction("""COMPUTED_VALUE"""),"15")</f>
        <v>15</v>
      </c>
      <c r="L593" s="6" t="str">
        <f aca="false">IFERROR(__xludf.dummyfunction("""COMPUTED_VALUE"""),"無し")</f>
        <v>無し</v>
      </c>
      <c r="M593" s="6" t="str">
        <f aca="false">IFERROR(__xludf.dummyfunction("""COMPUTED_VALUE"""),"無し")</f>
        <v>無し</v>
      </c>
      <c r="N593" s="6"/>
      <c r="O593" s="6" t="str">
        <f aca="false">IFERROR(__xludf.dummyfunction("""COMPUTED_VALUE"""),"不要")</f>
        <v>不要</v>
      </c>
      <c r="P593" s="6"/>
      <c r="Q593" s="6"/>
      <c r="R593" s="6"/>
      <c r="S593" s="6" t="str">
        <f aca="false">IFERROR(__xludf.dummyfunction("""COMPUTED_VALUE"""),"家具家電付き社宅")</f>
        <v>家具家電付き社宅</v>
      </c>
      <c r="T593" s="6" t="str">
        <f aca="false">IFERROR(__xludf.dummyfunction("""COMPUTED_VALUE"""),"利用しない")</f>
        <v>利用しない</v>
      </c>
      <c r="U593" s="6"/>
      <c r="V593" s="6" t="str">
        <f aca="false">IFERROR(__xludf.dummyfunction("""COMPUTED_VALUE"""),"徒歩, 電車")</f>
        <v>徒歩, 電車</v>
      </c>
      <c r="W593" s="6"/>
      <c r="X593" s="6" t="str">
        <f aca="false">IFERROR(__xludf.dummyfunction("""COMPUTED_VALUE"""),"実家")</f>
        <v>実家</v>
      </c>
      <c r="Y593" s="6"/>
      <c r="Z593" s="6" t="str">
        <f aca="false">IFERROR(__xludf.dummyfunction("""COMPUTED_VALUE"""),"希望する")</f>
        <v>希望する</v>
      </c>
      <c r="AA593" s="6" t="str">
        <f aca="false">IFERROR(__xludf.dummyfunction("""COMPUTED_VALUE"""),"単身")</f>
        <v>単身</v>
      </c>
      <c r="AB593" s="6"/>
      <c r="AC593" s="6"/>
      <c r="AD593" s="6"/>
      <c r="AE593" s="6" t="str">
        <f aca="false">IFERROR(__xludf.dummyfunction("""COMPUTED_VALUE"""),"確認しました。")</f>
        <v>確認しました。</v>
      </c>
      <c r="AF593" s="6" t="str">
        <f aca="false">IFERROR(__xludf.dummyfunction("""COMPUTED_VALUE"""),"社宅基準の内容について確認しました")</f>
        <v>社宅基準の内容について確認しました</v>
      </c>
      <c r="AG593" s="6" t="str">
        <f aca="false">IFERROR(__xludf.dummyfunction("""COMPUTED_VALUE"""),"入居のしおりの内容についてご確認しました")</f>
        <v>入居のしおりの内容についてご確認しました</v>
      </c>
      <c r="AH593" s="6" t="str">
        <f aca="false">IFERROR(__xludf.dummyfunction("""COMPUTED_VALUE"""),"確認しました")</f>
        <v>確認しました</v>
      </c>
      <c r="AI593" s="6"/>
      <c r="AJ593" s="6" t="str">
        <v/>
      </c>
      <c r="AK593" s="6" t="str">
        <v/>
      </c>
      <c r="AL593" s="6" t="str">
        <v/>
      </c>
      <c r="AM593" s="6" t="str">
        <v/>
      </c>
      <c r="AN593" s="6" t="n">
        <f aca="false">FALSE()</f>
        <v>0</v>
      </c>
    </row>
    <row r="594" customFormat="false" ht="52.5" hidden="false" customHeight="true" outlineLevel="0" collapsed="false">
      <c r="A594" s="6" t="str">
        <f aca="false">IFERROR(__xludf.dummyfunction("""COMPUTED_VALUE"""),"2026/04/20 20:12:34")</f>
        <v>2026/04/20 20:12:34</v>
      </c>
      <c r="B594" s="6"/>
      <c r="C594" s="6" t="str">
        <f aca="false">IFERROR(__xludf.dummyfunction("""COMPUTED_VALUE"""),"72755")</f>
        <v>72755</v>
      </c>
      <c r="D594" s="6"/>
      <c r="E594" s="6"/>
      <c r="F594" s="6"/>
      <c r="G594" s="6" t="str">
        <f aca="false">IFERROR(__xludf.dummyfunction("""COMPUTED_VALUE"""),"2026/05/05")</f>
        <v>2026/05/05</v>
      </c>
      <c r="H594" s="6" t="str">
        <f aca="false">IFERROR(__xludf.dummyfunction("""COMPUTED_VALUE"""),"不要")</f>
        <v>不要</v>
      </c>
      <c r="I594" s="6" t="str">
        <f aca="false">IFERROR(__xludf.dummyfunction("""COMPUTED_VALUE"""),"女性")</f>
        <v>女性</v>
      </c>
      <c r="J594" s="6" t="str">
        <f aca="false">IFERROR(__xludf.dummyfunction("""COMPUTED_VALUE"""),"日本")</f>
        <v>日本</v>
      </c>
      <c r="K594" s="6"/>
      <c r="L594" s="6"/>
      <c r="M594" s="6"/>
      <c r="N594" s="6"/>
      <c r="O594" s="6" t="str">
        <f aca="false">IFERROR(__xludf.dummyfunction("""COMPUTED_VALUE"""),"必要")</f>
        <v>必要</v>
      </c>
      <c r="P594" s="6" t="str">
        <f aca="false">IFERROR(__xludf.dummyfunction("""COMPUTED_VALUE"""),"ミニクーパー")</f>
        <v>ミニクーパー</v>
      </c>
      <c r="Q594" s="6" t="str">
        <f aca="false">IFERROR(__xludf.dummyfunction("""COMPUTED_VALUE"""),"ほ31-09")</f>
        <v>ほ31-09</v>
      </c>
      <c r="R594" s="6" t="str">
        <f aca="false">IFERROR(__xludf.dummyfunction("""COMPUTED_VALUE"""),"緑")</f>
        <v>緑</v>
      </c>
      <c r="S594" s="6" t="str">
        <f aca="false">IFERROR(__xludf.dummyfunction("""COMPUTED_VALUE"""),"家具家電なし社宅")</f>
        <v>家具家電なし社宅</v>
      </c>
      <c r="T594" s="6" t="str">
        <f aca="false">IFERROR(__xludf.dummyfunction("""COMPUTED_VALUE"""),"利用しない")</f>
        <v>利用しない</v>
      </c>
      <c r="U594" s="6"/>
      <c r="V594" s="6" t="str">
        <f aca="false">IFERROR(__xludf.dummyfunction("""COMPUTED_VALUE"""),"自動車, 自転車")</f>
        <v>自動車, 自転車</v>
      </c>
      <c r="W594" s="6"/>
      <c r="X594" s="6" t="str">
        <f aca="false">IFERROR(__xludf.dummyfunction("""COMPUTED_VALUE"""),"実家")</f>
        <v>実家</v>
      </c>
      <c r="Y594" s="6"/>
      <c r="Z594" s="6" t="str">
        <f aca="false">IFERROR(__xludf.dummyfunction("""COMPUTED_VALUE"""),"希望しない")</f>
        <v>希望しない</v>
      </c>
      <c r="AA594" s="6" t="str">
        <f aca="false">IFERROR(__xludf.dummyfunction("""COMPUTED_VALUE"""),"単身")</f>
        <v>単身</v>
      </c>
      <c r="AB594" s="6"/>
      <c r="AC594" s="6"/>
      <c r="AD594" s="6"/>
      <c r="AE594" s="6" t="str">
        <f aca="false">IFERROR(__xludf.dummyfunction("""COMPUTED_VALUE"""),"確認しました。")</f>
        <v>確認しました。</v>
      </c>
      <c r="AF594" s="6" t="str">
        <f aca="false">IFERROR(__xludf.dummyfunction("""COMPUTED_VALUE"""),"社宅基準の内容について確認しました")</f>
        <v>社宅基準の内容について確認しました</v>
      </c>
      <c r="AG594" s="6" t="str">
        <f aca="false">IFERROR(__xludf.dummyfunction("""COMPUTED_VALUE"""),"入居のしおりの内容についてご確認しました")</f>
        <v>入居のしおりの内容についてご確認しました</v>
      </c>
      <c r="AH594" s="6" t="str">
        <f aca="false">IFERROR(__xludf.dummyfunction("""COMPUTED_VALUE"""),"確認しました")</f>
        <v>確認しました</v>
      </c>
      <c r="AI594" s="6"/>
      <c r="AJ594" s="6" t="str">
        <v/>
      </c>
      <c r="AK594" s="6" t="str">
        <v/>
      </c>
      <c r="AL594" s="6" t="str">
        <v/>
      </c>
      <c r="AM594" s="6" t="str">
        <v/>
      </c>
      <c r="AN594" s="6" t="n">
        <f aca="false">FALSE()</f>
        <v>0</v>
      </c>
    </row>
    <row r="595" customFormat="false" ht="52.5" hidden="false" customHeight="true" outlineLevel="0" collapsed="false">
      <c r="A595" s="6" t="str">
        <f aca="false">IFERROR(__xludf.dummyfunction("""COMPUTED_VALUE"""),"2026/04/20 20:14:51")</f>
        <v>2026/04/20 20:14:51</v>
      </c>
      <c r="B595" s="6"/>
      <c r="C595" s="6" t="str">
        <f aca="false">IFERROR(__xludf.dummyfunction("""COMPUTED_VALUE"""),"72748")</f>
        <v>72748</v>
      </c>
      <c r="D595" s="6"/>
      <c r="E595" s="6"/>
      <c r="F595" s="6"/>
      <c r="G595" s="6" t="str">
        <f aca="false">IFERROR(__xludf.dummyfunction("""COMPUTED_VALUE"""),"2026/05/01")</f>
        <v>2026/05/01</v>
      </c>
      <c r="H595" s="6" t="str">
        <f aca="false">IFERROR(__xludf.dummyfunction("""COMPUTED_VALUE"""),"必要")</f>
        <v>必要</v>
      </c>
      <c r="I595" s="6" t="str">
        <f aca="false">IFERROR(__xludf.dummyfunction("""COMPUTED_VALUE"""),"男性")</f>
        <v>男性</v>
      </c>
      <c r="J595" s="6" t="str">
        <f aca="false">IFERROR(__xludf.dummyfunction("""COMPUTED_VALUE"""),"日本")</f>
        <v>日本</v>
      </c>
      <c r="K595" s="6" t="str">
        <f aca="false">IFERROR(__xludf.dummyfunction("""COMPUTED_VALUE"""),"15")</f>
        <v>15</v>
      </c>
      <c r="L595" s="6" t="str">
        <f aca="false">IFERROR(__xludf.dummyfunction("""COMPUTED_VALUE"""),"単身用(2ドア）、普通の洗濯機")</f>
        <v>単身用(2ドア）、普通の洗濯機</v>
      </c>
      <c r="M595" s="6" t="str">
        <f aca="false">IFERROR(__xludf.dummyfunction("""COMPUTED_VALUE"""),"机、横105.縦75.高さ35   ベッド、ダブル   ソファー3人掛け")</f>
        <v>机、横105.縦75.高さ35   ベッド、ダブル   ソファー3人掛け</v>
      </c>
      <c r="N595" s="6" t="str">
        <f aca="false">IFERROR(__xludf.dummyfunction("""COMPUTED_VALUE"""),"なし")</f>
        <v>なし</v>
      </c>
      <c r="O595" s="6" t="str">
        <f aca="false">IFERROR(__xludf.dummyfunction("""COMPUTED_VALUE"""),"必要")</f>
        <v>必要</v>
      </c>
      <c r="P595" s="6" t="str">
        <f aca="false">IFERROR(__xludf.dummyfunction("""COMPUTED_VALUE"""),"ダイハツコンテ")</f>
        <v>ダイハツコンテ</v>
      </c>
      <c r="Q595" s="6" t="str">
        <f aca="false">IFERROR(__xludf.dummyfunction("""COMPUTED_VALUE"""),"の50-96")</f>
        <v>の50-96</v>
      </c>
      <c r="R595" s="6" t="str">
        <f aca="false">IFERROR(__xludf.dummyfunction("""COMPUTED_VALUE"""),"ブラウン")</f>
        <v>ブラウン</v>
      </c>
      <c r="S595" s="6" t="str">
        <f aca="false">IFERROR(__xludf.dummyfunction("""COMPUTED_VALUE"""),"家具家電なし社宅")</f>
        <v>家具家電なし社宅</v>
      </c>
      <c r="T595" s="6" t="str">
        <f aca="false">IFERROR(__xludf.dummyfunction("""COMPUTED_VALUE"""),"利用する")</f>
        <v>利用する</v>
      </c>
      <c r="U595" s="6" t="str">
        <f aca="false">IFERROR(__xludf.dummyfunction("""COMPUTED_VALUE"""),"冷蔵庫と洗濯機を今既にレンタルしているため今レンタルしている家具をそのまま継続して使わせていただきたいです。")</f>
        <v>冷蔵庫と洗濯機を今既にレンタルしているため今レンタルしている家具をそのまま継続して使わせていただきたいです。</v>
      </c>
      <c r="V595" s="6" t="str">
        <f aca="false">IFERROR(__xludf.dummyfunction("""COMPUTED_VALUE"""),"自動車, 自転車")</f>
        <v>自動車, 自転車</v>
      </c>
      <c r="W595" s="6"/>
      <c r="X595" s="6" t="str">
        <f aca="false">IFERROR(__xludf.dummyfunction("""COMPUTED_VALUE"""),"株式会社オープンアップネクストエンジニア様の社宅")</f>
        <v>株式会社オープンアップネクストエンジニア様の社宅</v>
      </c>
      <c r="Y595" s="6" t="str">
        <f aca="false">IFERROR(__xludf.dummyfunction("""COMPUTED_VALUE"""),"冷蔵庫、洗濯機
新社宅へ引き継ぎ希望")</f>
        <v>冷蔵庫、洗濯機
新社宅へ引き継ぎ希望</v>
      </c>
      <c r="Z595" s="6" t="str">
        <f aca="false">IFERROR(__xludf.dummyfunction("""COMPUTED_VALUE"""),"希望する")</f>
        <v>希望する</v>
      </c>
      <c r="AA595" s="6" t="str">
        <f aca="false">IFERROR(__xludf.dummyfunction("""COMPUTED_VALUE"""),"家族")</f>
        <v>家族</v>
      </c>
      <c r="AB595" s="6" t="str">
        <f aca="false">IFERROR(__xludf.dummyfunction("""COMPUTED_VALUE"""),"氏名：組坂 遥
フリガナ：クミサカ ハルカ
生年月日：1991年1月28日
携帯番号：080-5613-9797
続柄：妻")</f>
        <v>氏名：組坂 遥
フリガナ：クミサカ ハルカ
生年月日：1991年1月28日
携帯番号：080-5613-9797
続柄：妻</v>
      </c>
      <c r="AC595" s="6"/>
      <c r="AD595" s="6"/>
      <c r="AE595" s="6" t="str">
        <f aca="false">IFERROR(__xludf.dummyfunction("""COMPUTED_VALUE"""),"確認しました。")</f>
        <v>確認しました。</v>
      </c>
      <c r="AF595" s="6" t="str">
        <f aca="false">IFERROR(__xludf.dummyfunction("""COMPUTED_VALUE"""),"社宅基準の内容について確認しました")</f>
        <v>社宅基準の内容について確認しました</v>
      </c>
      <c r="AG595" s="6" t="str">
        <f aca="false">IFERROR(__xludf.dummyfunction("""COMPUTED_VALUE"""),"入居のしおりの内容についてご確認しました")</f>
        <v>入居のしおりの内容についてご確認しました</v>
      </c>
      <c r="AH595" s="6" t="str">
        <f aca="false">IFERROR(__xludf.dummyfunction("""COMPUTED_VALUE"""),"確認しました")</f>
        <v>確認しました</v>
      </c>
      <c r="AI595" s="6"/>
      <c r="AJ595" s="6" t="str">
        <v/>
      </c>
      <c r="AK595" s="6" t="str">
        <v/>
      </c>
      <c r="AL595" s="6" t="str">
        <v/>
      </c>
      <c r="AM595" s="6" t="str">
        <v/>
      </c>
      <c r="AN595" s="6" t="n">
        <f aca="false">FALSE()</f>
        <v>0</v>
      </c>
    </row>
    <row r="596" customFormat="false" ht="52.5" hidden="false" customHeight="true" outlineLevel="0" collapsed="false">
      <c r="A596" s="6" t="str">
        <f aca="false">IFERROR(__xludf.dummyfunction("""COMPUTED_VALUE"""),"2026/04/21 10:48:41")</f>
        <v>2026/04/21 10:48:41</v>
      </c>
      <c r="B596" s="6"/>
      <c r="C596" s="6" t="str">
        <f aca="false">IFERROR(__xludf.dummyfunction("""COMPUTED_VALUE"""),"72793")</f>
        <v>72793</v>
      </c>
      <c r="D596" s="6"/>
      <c r="E596" s="6"/>
      <c r="F596" s="6"/>
      <c r="G596" s="6" t="str">
        <f aca="false">IFERROR(__xludf.dummyfunction("""COMPUTED_VALUE"""),"2026/05/05")</f>
        <v>2026/05/05</v>
      </c>
      <c r="H596" s="6" t="str">
        <f aca="false">IFERROR(__xludf.dummyfunction("""COMPUTED_VALUE"""),"必要")</f>
        <v>必要</v>
      </c>
      <c r="I596" s="6" t="str">
        <f aca="false">IFERROR(__xludf.dummyfunction("""COMPUTED_VALUE"""),"男性")</f>
        <v>男性</v>
      </c>
      <c r="J596" s="6" t="str">
        <f aca="false">IFERROR(__xludf.dummyfunction("""COMPUTED_VALUE"""),"日本")</f>
        <v>日本</v>
      </c>
      <c r="K596" s="6" t="str">
        <f aca="false">IFERROR(__xludf.dummyfunction("""COMPUTED_VALUE"""),"5")</f>
        <v>5</v>
      </c>
      <c r="L596" s="6" t="str">
        <f aca="false">IFERROR(__xludf.dummyfunction("""COMPUTED_VALUE"""),"なし")</f>
        <v>なし</v>
      </c>
      <c r="M596" s="6" t="str">
        <f aca="false">IFERROR(__xludf.dummyfunction("""COMPUTED_VALUE"""),"棚(横幅45cm・奥行30cm・高さ90cm)が2つ")</f>
        <v>棚(横幅45cm・奥行30cm・高さ90cm)が2つ</v>
      </c>
      <c r="N596" s="6" t="str">
        <f aca="false">IFERROR(__xludf.dummyfunction("""COMPUTED_VALUE"""),"キャリーバッグ、自転車、椅子、寝具")</f>
        <v>キャリーバッグ、自転車、椅子、寝具</v>
      </c>
      <c r="O596" s="6" t="str">
        <f aca="false">IFERROR(__xludf.dummyfunction("""COMPUTED_VALUE"""),"不要")</f>
        <v>不要</v>
      </c>
      <c r="P596" s="6"/>
      <c r="Q596" s="6"/>
      <c r="R596" s="6"/>
      <c r="S596" s="6" t="str">
        <f aca="false">IFERROR(__xludf.dummyfunction("""COMPUTED_VALUE"""),"家具家電付き社宅")</f>
        <v>家具家電付き社宅</v>
      </c>
      <c r="T596" s="6" t="str">
        <f aca="false">IFERROR(__xludf.dummyfunction("""COMPUTED_VALUE"""),"利用しない")</f>
        <v>利用しない</v>
      </c>
      <c r="U596" s="6"/>
      <c r="V596" s="6" t="str">
        <f aca="false">IFERROR(__xludf.dummyfunction("""COMPUTED_VALUE"""),"徒歩, 電車")</f>
        <v>徒歩, 電車</v>
      </c>
      <c r="W596" s="6"/>
      <c r="X596" s="6" t="str">
        <f aca="false">IFERROR(__xludf.dummyfunction("""COMPUTED_VALUE"""),"実家")</f>
        <v>実家</v>
      </c>
      <c r="Y596" s="6"/>
      <c r="Z596" s="6" t="str">
        <f aca="false">IFERROR(__xludf.dummyfunction("""COMPUTED_VALUE"""),"希望する")</f>
        <v>希望する</v>
      </c>
      <c r="AA596" s="6" t="str">
        <f aca="false">IFERROR(__xludf.dummyfunction("""COMPUTED_VALUE"""),"単身")</f>
        <v>単身</v>
      </c>
      <c r="AB596" s="6"/>
      <c r="AC596" s="6"/>
      <c r="AD596" s="6"/>
      <c r="AE596" s="6" t="str">
        <f aca="false">IFERROR(__xludf.dummyfunction("""COMPUTED_VALUE"""),"確認しました。")</f>
        <v>確認しました。</v>
      </c>
      <c r="AF596" s="6" t="str">
        <f aca="false">IFERROR(__xludf.dummyfunction("""COMPUTED_VALUE"""),"社宅基準の内容について確認しました")</f>
        <v>社宅基準の内容について確認しました</v>
      </c>
      <c r="AG596" s="6" t="str">
        <f aca="false">IFERROR(__xludf.dummyfunction("""COMPUTED_VALUE"""),"入居のしおりの内容についてご確認しました")</f>
        <v>入居のしおりの内容についてご確認しました</v>
      </c>
      <c r="AH596" s="6" t="str">
        <f aca="false">IFERROR(__xludf.dummyfunction("""COMPUTED_VALUE"""),"確認しました")</f>
        <v>確認しました</v>
      </c>
      <c r="AI596" s="6"/>
      <c r="AJ596" s="6" t="str">
        <v/>
      </c>
      <c r="AK596" s="6" t="str">
        <v/>
      </c>
      <c r="AL596" s="6" t="str">
        <v/>
      </c>
      <c r="AM596" s="6" t="str">
        <v/>
      </c>
      <c r="AN596" s="6" t="n">
        <f aca="false">FALSE()</f>
        <v>0</v>
      </c>
    </row>
    <row r="597" customFormat="false" ht="52.5" hidden="false" customHeight="true" outlineLevel="0" collapsed="false">
      <c r="A597" s="6" t="str">
        <f aca="false">IFERROR(__xludf.dummyfunction("""COMPUTED_VALUE"""),"2026/04/21 12:31:13")</f>
        <v>2026/04/21 12:31:13</v>
      </c>
      <c r="B597" s="6"/>
      <c r="C597" s="6" t="str">
        <f aca="false">IFERROR(__xludf.dummyfunction("""COMPUTED_VALUE"""),"72563")</f>
        <v>72563</v>
      </c>
      <c r="D597" s="6"/>
      <c r="E597" s="6"/>
      <c r="F597" s="6"/>
      <c r="G597" s="6" t="str">
        <f aca="false">IFERROR(__xludf.dummyfunction("""COMPUTED_VALUE"""),"2026/07/26")</f>
        <v>2026/07/26</v>
      </c>
      <c r="H597" s="6" t="str">
        <f aca="false">IFERROR(__xludf.dummyfunction("""COMPUTED_VALUE"""),"必要")</f>
        <v>必要</v>
      </c>
      <c r="I597" s="6" t="str">
        <f aca="false">IFERROR(__xludf.dummyfunction("""COMPUTED_VALUE"""),"男性")</f>
        <v>男性</v>
      </c>
      <c r="J597" s="6" t="str">
        <f aca="false">IFERROR(__xludf.dummyfunction("""COMPUTED_VALUE"""),"日本")</f>
        <v>日本</v>
      </c>
      <c r="K597" s="6" t="str">
        <f aca="false">IFERROR(__xludf.dummyfunction("""COMPUTED_VALUE"""),"50")</f>
        <v>50</v>
      </c>
      <c r="L597" s="6" t="str">
        <f aca="false">IFERROR(__xludf.dummyfunction("""COMPUTED_VALUE"""),"冷蔵庫と洗濯機はレンタル、電子レンジ")</f>
        <v>冷蔵庫と洗濯機はレンタル、電子レンジ</v>
      </c>
      <c r="M597" s="6" t="str">
        <f aca="false">IFERROR(__xludf.dummyfunction("""COMPUTED_VALUE"""),"ちいさなテーブル60×40×10")</f>
        <v>ちいさなテーブル60×40×10</v>
      </c>
      <c r="N597" s="6" t="str">
        <f aca="false">IFERROR(__xludf.dummyfunction("""COMPUTED_VALUE"""),"なし")</f>
        <v>なし</v>
      </c>
      <c r="O597" s="6" t="str">
        <f aca="false">IFERROR(__xludf.dummyfunction("""COMPUTED_VALUE"""),"必要")</f>
        <v>必要</v>
      </c>
      <c r="P597" s="6" t="str">
        <f aca="false">IFERROR(__xludf.dummyfunction("""COMPUTED_VALUE"""),"ミラコット")</f>
        <v>ミラコット</v>
      </c>
      <c r="Q597" s="6" t="str">
        <f aca="false">IFERROR(__xludf.dummyfunction("""COMPUTED_VALUE"""),"ち   78")</f>
        <v>ち   78</v>
      </c>
      <c r="R597" s="6" t="str">
        <f aca="false">IFERROR(__xludf.dummyfunction("""COMPUTED_VALUE"""),"うす緑")</f>
        <v>うす緑</v>
      </c>
      <c r="S597" s="6" t="str">
        <f aca="false">IFERROR(__xludf.dummyfunction("""COMPUTED_VALUE"""),"家具家電なし社宅")</f>
        <v>家具家電なし社宅</v>
      </c>
      <c r="T597" s="6" t="str">
        <f aca="false">IFERROR(__xludf.dummyfunction("""COMPUTED_VALUE"""),"利用する")</f>
        <v>利用する</v>
      </c>
      <c r="U597" s="6" t="str">
        <f aca="false">IFERROR(__xludf.dummyfunction("""COMPUTED_VALUE"""),"洗濯機、冷蔵庫 今のものをそのまま")</f>
        <v>洗濯機、冷蔵庫 今のものをそのまま</v>
      </c>
      <c r="V597" s="6" t="str">
        <f aca="false">IFERROR(__xludf.dummyfunction("""COMPUTED_VALUE"""),"徒歩")</f>
        <v>徒歩</v>
      </c>
      <c r="W597" s="6"/>
      <c r="X597" s="6" t="str">
        <f aca="false">IFERROR(__xludf.dummyfunction("""COMPUTED_VALUE"""),"株式会社オープンアップネクストエンジニア様の社宅")</f>
        <v>株式会社オープンアップネクストエンジニア様の社宅</v>
      </c>
      <c r="Y597" s="6" t="str">
        <f aca="false">IFERROR(__xludf.dummyfunction("""COMPUTED_VALUE"""),"引継利用")</f>
        <v>引継利用</v>
      </c>
      <c r="Z597" s="6" t="str">
        <f aca="false">IFERROR(__xludf.dummyfunction("""COMPUTED_VALUE"""),"希望する")</f>
        <v>希望する</v>
      </c>
      <c r="AA597" s="6" t="str">
        <f aca="false">IFERROR(__xludf.dummyfunction("""COMPUTED_VALUE"""),"単身")</f>
        <v>単身</v>
      </c>
      <c r="AB597" s="6"/>
      <c r="AC597" s="6"/>
      <c r="AD597" s="6" t="str">
        <f aca="false">IFERROR(__xludf.dummyfunction("""COMPUTED_VALUE"""),"現在の住まいから東側")</f>
        <v>現在の住まいから東側</v>
      </c>
      <c r="AE597" s="6" t="str">
        <f aca="false">IFERROR(__xludf.dummyfunction("""COMPUTED_VALUE"""),"確認しました。")</f>
        <v>確認しました。</v>
      </c>
      <c r="AF597" s="6" t="str">
        <f aca="false">IFERROR(__xludf.dummyfunction("""COMPUTED_VALUE"""),"社宅基準の内容について確認しました")</f>
        <v>社宅基準の内容について確認しました</v>
      </c>
      <c r="AG597" s="6" t="str">
        <f aca="false">IFERROR(__xludf.dummyfunction("""COMPUTED_VALUE"""),"入居のしおりの内容についてご確認しました")</f>
        <v>入居のしおりの内容についてご確認しました</v>
      </c>
      <c r="AH597" s="6" t="str">
        <f aca="false">IFERROR(__xludf.dummyfunction("""COMPUTED_VALUE"""),"確認しました")</f>
        <v>確認しました</v>
      </c>
      <c r="AI597" s="6"/>
      <c r="AJ597" s="6" t="str">
        <v/>
      </c>
      <c r="AK597" s="6" t="str">
        <v/>
      </c>
      <c r="AL597" s="6" t="str">
        <v/>
      </c>
      <c r="AM597" s="6" t="str">
        <v/>
      </c>
      <c r="AN597" s="6" t="n">
        <f aca="false">FALSE()</f>
        <v>0</v>
      </c>
    </row>
    <row r="598" customFormat="false" ht="52.5" hidden="false" customHeight="true" outlineLevel="0" collapsed="false">
      <c r="A598" s="6" t="str">
        <f aca="false">IFERROR(__xludf.dummyfunction("""COMPUTED_VALUE"""),"2026/04/21 13:51:49")</f>
        <v>2026/04/21 13:51:49</v>
      </c>
      <c r="B598" s="6"/>
      <c r="C598" s="6" t="str">
        <f aca="false">IFERROR(__xludf.dummyfunction("""COMPUTED_VALUE"""),"72810")</f>
        <v>72810</v>
      </c>
      <c r="D598" s="6"/>
      <c r="E598" s="6"/>
      <c r="F598" s="6"/>
      <c r="G598" s="6" t="str">
        <f aca="false">IFERROR(__xludf.dummyfunction("""COMPUTED_VALUE"""),"2026/05/01")</f>
        <v>2026/05/01</v>
      </c>
      <c r="H598" s="6" t="str">
        <f aca="false">IFERROR(__xludf.dummyfunction("""COMPUTED_VALUE"""),"必要")</f>
        <v>必要</v>
      </c>
      <c r="I598" s="6" t="str">
        <f aca="false">IFERROR(__xludf.dummyfunction("""COMPUTED_VALUE"""),"男性")</f>
        <v>男性</v>
      </c>
      <c r="J598" s="6" t="str">
        <f aca="false">IFERROR(__xludf.dummyfunction("""COMPUTED_VALUE"""),"ベトナム")</f>
        <v>ベトナム</v>
      </c>
      <c r="K598" s="6" t="str">
        <f aca="false">IFERROR(__xludf.dummyfunction("""COMPUTED_VALUE"""),"20")</f>
        <v>20</v>
      </c>
      <c r="L598" s="6" t="str">
        <f aca="false">IFERROR(__xludf.dummyfunction("""COMPUTED_VALUE"""),"冷蔵庫は単身用(2ドア),立洗濯機、電子レンジ")</f>
        <v>冷蔵庫は単身用(2ドア),立洗濯機、電子レンジ</v>
      </c>
      <c r="M598" s="6" t="str">
        <f aca="false">IFERROR(__xludf.dummyfunction("""COMPUTED_VALUE"""),"布団2枚")</f>
        <v>布団2枚</v>
      </c>
      <c r="N598" s="6" t="str">
        <f aca="false">IFERROR(__xludf.dummyfunction("""COMPUTED_VALUE"""),"自転車2台")</f>
        <v>自転車2台</v>
      </c>
      <c r="O598" s="6" t="str">
        <f aca="false">IFERROR(__xludf.dummyfunction("""COMPUTED_VALUE"""),"不要")</f>
        <v>不要</v>
      </c>
      <c r="P598" s="6"/>
      <c r="Q598" s="6"/>
      <c r="R598" s="6"/>
      <c r="S598" s="6" t="str">
        <f aca="false">IFERROR(__xludf.dummyfunction("""COMPUTED_VALUE"""),"家具家電なし社宅")</f>
        <v>家具家電なし社宅</v>
      </c>
      <c r="T598" s="6" t="str">
        <f aca="false">IFERROR(__xludf.dummyfunction("""COMPUTED_VALUE"""),"利用しない")</f>
        <v>利用しない</v>
      </c>
      <c r="U598" s="6"/>
      <c r="V598" s="6" t="str">
        <f aca="false">IFERROR(__xludf.dummyfunction("""COMPUTED_VALUE"""),"徒歩, 自転車, 電車, バス")</f>
        <v>徒歩, 自転車, 電車, バス</v>
      </c>
      <c r="W598" s="6"/>
      <c r="X598" s="6" t="str">
        <f aca="false">IFERROR(__xludf.dummyfunction("""COMPUTED_VALUE"""),"ご自身で契約中の物件")</f>
        <v>ご自身で契約中の物件</v>
      </c>
      <c r="Y598" s="6"/>
      <c r="Z598" s="6" t="str">
        <f aca="false">IFERROR(__xludf.dummyfunction("""COMPUTED_VALUE"""),"希望しない")</f>
        <v>希望しない</v>
      </c>
      <c r="AA598" s="6" t="str">
        <f aca="false">IFERROR(__xludf.dummyfunction("""COMPUTED_VALUE"""),"家族")</f>
        <v>家族</v>
      </c>
      <c r="AB598" s="6" t="str">
        <f aca="false">IFERROR(__xludf.dummyfunction("""COMPUTED_VALUE"""),"NGUYEN QUYNH KHANH NHI
グエン　クイン　カン　ニー
1994/10/3
09058519785
妻
")</f>
        <v>NGUYEN QUYNH KHANH NHI
グエン　クイン　カン　ニー
1994/10/3
09058519785
妻
</v>
      </c>
      <c r="AC598" s="6"/>
      <c r="AD598" s="6"/>
      <c r="AE598" s="6" t="str">
        <f aca="false">IFERROR(__xludf.dummyfunction("""COMPUTED_VALUE"""),"確認しました。")</f>
        <v>確認しました。</v>
      </c>
      <c r="AF598" s="6" t="str">
        <f aca="false">IFERROR(__xludf.dummyfunction("""COMPUTED_VALUE"""),"社宅基準の内容について確認しました")</f>
        <v>社宅基準の内容について確認しました</v>
      </c>
      <c r="AG598" s="6" t="str">
        <f aca="false">IFERROR(__xludf.dummyfunction("""COMPUTED_VALUE"""),"入居のしおりの内容についてご確認しました")</f>
        <v>入居のしおりの内容についてご確認しました</v>
      </c>
      <c r="AH598" s="6" t="str">
        <f aca="false">IFERROR(__xludf.dummyfunction("""COMPUTED_VALUE"""),"確認しました")</f>
        <v>確認しました</v>
      </c>
      <c r="AI598" s="6"/>
      <c r="AJ598" s="6" t="str">
        <v/>
      </c>
      <c r="AK598" s="6" t="str">
        <v/>
      </c>
      <c r="AL598" s="6" t="str">
        <v/>
      </c>
      <c r="AM598" s="6" t="str">
        <v/>
      </c>
      <c r="AN598" s="6" t="n">
        <f aca="false">FALSE()</f>
        <v>0</v>
      </c>
    </row>
    <row r="599" customFormat="false" ht="52.5" hidden="false" customHeight="true" outlineLevel="0" collapsed="false">
      <c r="A599" s="6" t="str">
        <f aca="false">IFERROR(__xludf.dummyfunction("""COMPUTED_VALUE"""),"2026/04/21 16:47:33")</f>
        <v>2026/04/21 16:47:33</v>
      </c>
      <c r="B599" s="6"/>
      <c r="C599" s="6" t="str">
        <f aca="false">IFERROR(__xludf.dummyfunction("""COMPUTED_VALUE"""),"72781")</f>
        <v>72781</v>
      </c>
      <c r="D599" s="6"/>
      <c r="E599" s="6"/>
      <c r="F599" s="6"/>
      <c r="G599" s="6" t="str">
        <f aca="false">IFERROR(__xludf.dummyfunction("""COMPUTED_VALUE"""),"2026/05/10")</f>
        <v>2026/05/10</v>
      </c>
      <c r="H599" s="6" t="str">
        <f aca="false">IFERROR(__xludf.dummyfunction("""COMPUTED_VALUE"""),"必要")</f>
        <v>必要</v>
      </c>
      <c r="I599" s="6" t="str">
        <f aca="false">IFERROR(__xludf.dummyfunction("""COMPUTED_VALUE"""),"男性")</f>
        <v>男性</v>
      </c>
      <c r="J599" s="6" t="str">
        <f aca="false">IFERROR(__xludf.dummyfunction("""COMPUTED_VALUE"""),"日本")</f>
        <v>日本</v>
      </c>
      <c r="K599" s="6" t="str">
        <f aca="false">IFERROR(__xludf.dummyfunction("""COMPUTED_VALUE"""),"4")</f>
        <v>4</v>
      </c>
      <c r="L599" s="6" t="str">
        <f aca="false">IFERROR(__xludf.dummyfunction("""COMPUTED_VALUE"""),"なし")</f>
        <v>なし</v>
      </c>
      <c r="M599" s="6" t="str">
        <f aca="false">IFERROR(__xludf.dummyfunction("""COMPUTED_VALUE"""),"ベッド（シングル）")</f>
        <v>ベッド（シングル）</v>
      </c>
      <c r="N599" s="6" t="str">
        <f aca="false">IFERROR(__xludf.dummyfunction("""COMPUTED_VALUE"""),"自転車")</f>
        <v>自転車</v>
      </c>
      <c r="O599" s="6" t="str">
        <f aca="false">IFERROR(__xludf.dummyfunction("""COMPUTED_VALUE"""),"不要")</f>
        <v>不要</v>
      </c>
      <c r="P599" s="6"/>
      <c r="Q599" s="6"/>
      <c r="R599" s="6"/>
      <c r="S599" s="6" t="str">
        <f aca="false">IFERROR(__xludf.dummyfunction("""COMPUTED_VALUE"""),"家具家電付き社宅")</f>
        <v>家具家電付き社宅</v>
      </c>
      <c r="T599" s="6" t="str">
        <f aca="false">IFERROR(__xludf.dummyfunction("""COMPUTED_VALUE"""),"利用しない")</f>
        <v>利用しない</v>
      </c>
      <c r="U599" s="6"/>
      <c r="V599" s="6" t="str">
        <f aca="false">IFERROR(__xludf.dummyfunction("""COMPUTED_VALUE"""),"徒歩, 自動車")</f>
        <v>徒歩, 自動車</v>
      </c>
      <c r="W599" s="6"/>
      <c r="X599" s="6" t="str">
        <f aca="false">IFERROR(__xludf.dummyfunction("""COMPUTED_VALUE"""),"実家")</f>
        <v>実家</v>
      </c>
      <c r="Y599" s="6"/>
      <c r="Z599" s="6" t="str">
        <f aca="false">IFERROR(__xludf.dummyfunction("""COMPUTED_VALUE"""),"希望する")</f>
        <v>希望する</v>
      </c>
      <c r="AA599" s="6" t="str">
        <f aca="false">IFERROR(__xludf.dummyfunction("""COMPUTED_VALUE"""),"単身")</f>
        <v>単身</v>
      </c>
      <c r="AB599" s="6"/>
      <c r="AC599" s="6"/>
      <c r="AD599" s="6"/>
      <c r="AE599" s="6" t="str">
        <f aca="false">IFERROR(__xludf.dummyfunction("""COMPUTED_VALUE"""),"確認しました。")</f>
        <v>確認しました。</v>
      </c>
      <c r="AF599" s="6" t="str">
        <f aca="false">IFERROR(__xludf.dummyfunction("""COMPUTED_VALUE"""),"社宅基準の内容について確認しました")</f>
        <v>社宅基準の内容について確認しました</v>
      </c>
      <c r="AG599" s="6" t="str">
        <f aca="false">IFERROR(__xludf.dummyfunction("""COMPUTED_VALUE"""),"入居のしおりの内容についてご確認しました")</f>
        <v>入居のしおりの内容についてご確認しました</v>
      </c>
      <c r="AH599" s="6" t="str">
        <f aca="false">IFERROR(__xludf.dummyfunction("""COMPUTED_VALUE"""),"確認しました")</f>
        <v>確認しました</v>
      </c>
      <c r="AI599" s="6"/>
      <c r="AJ599" s="6" t="str">
        <v/>
      </c>
      <c r="AK599" s="6" t="str">
        <v/>
      </c>
      <c r="AL599" s="6" t="str">
        <v/>
      </c>
      <c r="AM599" s="6" t="str">
        <v/>
      </c>
      <c r="AN599" s="6" t="n">
        <f aca="false">FALSE()</f>
        <v>0</v>
      </c>
    </row>
    <row r="600" customFormat="false" ht="52.5" hidden="false" customHeight="true" outlineLevel="0" collapsed="false">
      <c r="A600" s="6" t="str">
        <f aca="false">IFERROR(__xludf.dummyfunction("""COMPUTED_VALUE"""),"2026/04/22 10:23:45")</f>
        <v>2026/04/22 10:23:45</v>
      </c>
      <c r="B600" s="6"/>
      <c r="C600" s="6" t="str">
        <f aca="false">IFERROR(__xludf.dummyfunction("""COMPUTED_VALUE"""),"72864")</f>
        <v>72864</v>
      </c>
      <c r="D600" s="6"/>
      <c r="E600" s="6"/>
      <c r="F600" s="6"/>
      <c r="G600" s="6" t="str">
        <f aca="false">IFERROR(__xludf.dummyfunction("""COMPUTED_VALUE"""),"2026/05/25")</f>
        <v>2026/05/25</v>
      </c>
      <c r="H600" s="6" t="str">
        <f aca="false">IFERROR(__xludf.dummyfunction("""COMPUTED_VALUE"""),"必要")</f>
        <v>必要</v>
      </c>
      <c r="I600" s="6" t="str">
        <f aca="false">IFERROR(__xludf.dummyfunction("""COMPUTED_VALUE"""),"女性")</f>
        <v>女性</v>
      </c>
      <c r="J600" s="6" t="str">
        <f aca="false">IFERROR(__xludf.dummyfunction("""COMPUTED_VALUE"""),"日本")</f>
        <v>日本</v>
      </c>
      <c r="K600" s="6" t="str">
        <f aca="false">IFERROR(__xludf.dummyfunction("""COMPUTED_VALUE"""),"30")</f>
        <v>30</v>
      </c>
      <c r="L600" s="6" t="str">
        <f aca="false">IFERROR(__xludf.dummyfunction("""COMPUTED_VALUE"""),"電子レンジ、炊飯器")</f>
        <v>電子レンジ、炊飯器</v>
      </c>
      <c r="M600" s="6" t="str">
        <f aca="false">IFERROR(__xludf.dummyfunction("""COMPUTED_VALUE"""),"机")</f>
        <v>机</v>
      </c>
      <c r="N600" s="6" t="str">
        <f aca="false">IFERROR(__xludf.dummyfunction("""COMPUTED_VALUE"""),"自転車")</f>
        <v>自転車</v>
      </c>
      <c r="O600" s="6" t="str">
        <f aca="false">IFERROR(__xludf.dummyfunction("""COMPUTED_VALUE"""),"不要")</f>
        <v>不要</v>
      </c>
      <c r="P600" s="6"/>
      <c r="Q600" s="6"/>
      <c r="R600" s="6"/>
      <c r="S600" s="6" t="str">
        <f aca="false">IFERROR(__xludf.dummyfunction("""COMPUTED_VALUE"""),"家具家電なし社宅")</f>
        <v>家具家電なし社宅</v>
      </c>
      <c r="T600" s="6" t="str">
        <f aca="false">IFERROR(__xludf.dummyfunction("""COMPUTED_VALUE"""),"利用しない")</f>
        <v>利用しない</v>
      </c>
      <c r="U600" s="6"/>
      <c r="V600" s="6" t="str">
        <f aca="false">IFERROR(__xludf.dummyfunction("""COMPUTED_VALUE"""),"自転車, 電車, 社用バス")</f>
        <v>自転車, 電車, 社用バス</v>
      </c>
      <c r="W600" s="6"/>
      <c r="X600" s="6" t="str">
        <f aca="false">IFERROR(__xludf.dummyfunction("""COMPUTED_VALUE"""),"実家")</f>
        <v>実家</v>
      </c>
      <c r="Y600" s="6"/>
      <c r="Z600" s="6" t="str">
        <f aca="false">IFERROR(__xludf.dummyfunction("""COMPUTED_VALUE"""),"希望する")</f>
        <v>希望する</v>
      </c>
      <c r="AA600" s="6" t="str">
        <f aca="false">IFERROR(__xludf.dummyfunction("""COMPUTED_VALUE"""),"単身")</f>
        <v>単身</v>
      </c>
      <c r="AB600" s="6"/>
      <c r="AC600" s="6"/>
      <c r="AD600" s="6" t="str">
        <f aca="false">IFERROR(__xludf.dummyfunction("""COMPUTED_VALUE"""),"住所：奈良県大和郡山市山田町1289-8
氏名：杉本　美奈
フリガナ：スギモト　ミナ
生年月日：1972年6月11日
電話番号：08053589751
続柄：母")</f>
        <v>住所：奈良県大和郡山市山田町1289-8
氏名：杉本　美奈
フリガナ：スギモト　ミナ
生年月日：1972年6月11日
電話番号：08053589751
続柄：母</v>
      </c>
      <c r="AE600" s="6" t="str">
        <f aca="false">IFERROR(__xludf.dummyfunction("""COMPUTED_VALUE"""),"確認しました。")</f>
        <v>確認しました。</v>
      </c>
      <c r="AF600" s="6" t="str">
        <f aca="false">IFERROR(__xludf.dummyfunction("""COMPUTED_VALUE"""),"社宅基準の内容について確認しました")</f>
        <v>社宅基準の内容について確認しました</v>
      </c>
      <c r="AG600" s="6" t="str">
        <f aca="false">IFERROR(__xludf.dummyfunction("""COMPUTED_VALUE"""),"入居のしおりの内容についてご確認しました")</f>
        <v>入居のしおりの内容についてご確認しました</v>
      </c>
      <c r="AH600" s="6" t="str">
        <f aca="false">IFERROR(__xludf.dummyfunction("""COMPUTED_VALUE"""),"確認しました")</f>
        <v>確認しました</v>
      </c>
      <c r="AI600" s="6"/>
      <c r="AJ600" s="6" t="str">
        <v/>
      </c>
      <c r="AK600" s="6" t="str">
        <v/>
      </c>
      <c r="AL600" s="6" t="str">
        <v/>
      </c>
      <c r="AM600" s="6" t="str">
        <v/>
      </c>
      <c r="AN600" s="6" t="n">
        <f aca="false">FALSE()</f>
        <v>0</v>
      </c>
    </row>
    <row r="601" customFormat="false" ht="52.5" hidden="false" customHeight="true" outlineLevel="0" collapsed="false">
      <c r="A601" s="6" t="str">
        <f aca="false">IFERROR(__xludf.dummyfunction("""COMPUTED_VALUE"""),"2026/04/22 11:03:43")</f>
        <v>2026/04/22 11:03:43</v>
      </c>
      <c r="B601" s="6"/>
      <c r="C601" s="6" t="str">
        <f aca="false">IFERROR(__xludf.dummyfunction("""COMPUTED_VALUE"""),"72868")</f>
        <v>72868</v>
      </c>
      <c r="D601" s="6"/>
      <c r="E601" s="6"/>
      <c r="F601" s="6"/>
      <c r="G601" s="6" t="str">
        <f aca="false">IFERROR(__xludf.dummyfunction("""COMPUTED_VALUE"""),"2026/04/26")</f>
        <v>2026/04/26</v>
      </c>
      <c r="H601" s="6" t="str">
        <f aca="false">IFERROR(__xludf.dummyfunction("""COMPUTED_VALUE"""),"不要")</f>
        <v>不要</v>
      </c>
      <c r="I601" s="6" t="str">
        <f aca="false">IFERROR(__xludf.dummyfunction("""COMPUTED_VALUE"""),"女性")</f>
        <v>女性</v>
      </c>
      <c r="J601" s="6" t="str">
        <f aca="false">IFERROR(__xludf.dummyfunction("""COMPUTED_VALUE"""),"日本")</f>
        <v>日本</v>
      </c>
      <c r="K601" s="6"/>
      <c r="L601" s="6"/>
      <c r="M601" s="6"/>
      <c r="N601" s="6"/>
      <c r="O601" s="6" t="str">
        <f aca="false">IFERROR(__xludf.dummyfunction("""COMPUTED_VALUE"""),"不要")</f>
        <v>不要</v>
      </c>
      <c r="P601" s="6"/>
      <c r="Q601" s="6"/>
      <c r="R601" s="6"/>
      <c r="S601" s="6" t="str">
        <f aca="false">IFERROR(__xludf.dummyfunction("""COMPUTED_VALUE"""),"家具家電付き社宅")</f>
        <v>家具家電付き社宅</v>
      </c>
      <c r="T601" s="6" t="str">
        <f aca="false">IFERROR(__xludf.dummyfunction("""COMPUTED_VALUE"""),"利用しない")</f>
        <v>利用しない</v>
      </c>
      <c r="U601" s="6"/>
      <c r="V601" s="6" t="str">
        <f aca="false">IFERROR(__xludf.dummyfunction("""COMPUTED_VALUE"""),"徒歩, 電車, 社用バス")</f>
        <v>徒歩, 電車, 社用バス</v>
      </c>
      <c r="W601" s="6"/>
      <c r="X601" s="6" t="str">
        <f aca="false">IFERROR(__xludf.dummyfunction("""COMPUTED_VALUE"""),"実家")</f>
        <v>実家</v>
      </c>
      <c r="Y601" s="6"/>
      <c r="Z601" s="6" t="str">
        <f aca="false">IFERROR(__xludf.dummyfunction("""COMPUTED_VALUE"""),"希望する")</f>
        <v>希望する</v>
      </c>
      <c r="AA601" s="6" t="str">
        <f aca="false">IFERROR(__xludf.dummyfunction("""COMPUTED_VALUE"""),"単身")</f>
        <v>単身</v>
      </c>
      <c r="AB601" s="6"/>
      <c r="AC601" s="6"/>
      <c r="AD601" s="6"/>
      <c r="AE601" s="6" t="str">
        <f aca="false">IFERROR(__xludf.dummyfunction("""COMPUTED_VALUE"""),"確認しました。")</f>
        <v>確認しました。</v>
      </c>
      <c r="AF601" s="6" t="str">
        <f aca="false">IFERROR(__xludf.dummyfunction("""COMPUTED_VALUE"""),"社宅基準の内容について確認しました")</f>
        <v>社宅基準の内容について確認しました</v>
      </c>
      <c r="AG601" s="6" t="str">
        <f aca="false">IFERROR(__xludf.dummyfunction("""COMPUTED_VALUE"""),"入居のしおりの内容についてご確認しました")</f>
        <v>入居のしおりの内容についてご確認しました</v>
      </c>
      <c r="AH601" s="6" t="str">
        <f aca="false">IFERROR(__xludf.dummyfunction("""COMPUTED_VALUE"""),"確認しました")</f>
        <v>確認しました</v>
      </c>
      <c r="AI601" s="6"/>
      <c r="AJ601" s="6" t="str">
        <v/>
      </c>
      <c r="AK601" s="6" t="str">
        <v/>
      </c>
      <c r="AL601" s="6" t="str">
        <v/>
      </c>
      <c r="AM601" s="6" t="str">
        <v/>
      </c>
      <c r="AN601" s="6" t="n">
        <f aca="false">FALSE()</f>
        <v>0</v>
      </c>
    </row>
    <row r="602" customFormat="false" ht="52.5" hidden="false" customHeight="true" outlineLevel="0" collapsed="false">
      <c r="A602" s="6" t="str">
        <f aca="false">IFERROR(__xludf.dummyfunction("""COMPUTED_VALUE"""),"2026/04/22 13:13:24")</f>
        <v>2026/04/22 13:13:24</v>
      </c>
      <c r="B602" s="6"/>
      <c r="C602" s="6" t="str">
        <f aca="false">IFERROR(__xludf.dummyfunction("""COMPUTED_VALUE"""),"72821")</f>
        <v>72821</v>
      </c>
      <c r="D602" s="6"/>
      <c r="E602" s="6"/>
      <c r="F602" s="6"/>
      <c r="G602" s="6" t="str">
        <f aca="false">IFERROR(__xludf.dummyfunction("""COMPUTED_VALUE"""),"2026/05/22")</f>
        <v>2026/05/22</v>
      </c>
      <c r="H602" s="6" t="str">
        <f aca="false">IFERROR(__xludf.dummyfunction("""COMPUTED_VALUE"""),"必要")</f>
        <v>必要</v>
      </c>
      <c r="I602" s="6" t="str">
        <f aca="false">IFERROR(__xludf.dummyfunction("""COMPUTED_VALUE"""),"男性")</f>
        <v>男性</v>
      </c>
      <c r="J602" s="6" t="str">
        <f aca="false">IFERROR(__xludf.dummyfunction("""COMPUTED_VALUE"""),"日本")</f>
        <v>日本</v>
      </c>
      <c r="K602" s="6" t="str">
        <f aca="false">IFERROR(__xludf.dummyfunction("""COMPUTED_VALUE"""),"10")</f>
        <v>10</v>
      </c>
      <c r="L602" s="6" t="str">
        <f aca="false">IFERROR(__xludf.dummyfunction("""COMPUTED_VALUE"""),"ウォーターサーバー、PC、モニター2台")</f>
        <v>ウォーターサーバー、PC、モニター2台</v>
      </c>
      <c r="M602" s="6" t="str">
        <f aca="false">IFERROR(__xludf.dummyfunction("""COMPUTED_VALUE"""),"机（横幅100cm・奥行50cm・高さ75cm）、ゲーミングチェア")</f>
        <v>机（横幅100cm・奥行50cm・高さ75cm）、ゲーミングチェア</v>
      </c>
      <c r="N602" s="6" t="str">
        <f aca="false">IFERROR(__xludf.dummyfunction("""COMPUTED_VALUE"""),"マットレス")</f>
        <v>マットレス</v>
      </c>
      <c r="O602" s="6" t="str">
        <f aca="false">IFERROR(__xludf.dummyfunction("""COMPUTED_VALUE"""),"不要")</f>
        <v>不要</v>
      </c>
      <c r="P602" s="6"/>
      <c r="Q602" s="6"/>
      <c r="R602" s="6"/>
      <c r="S602" s="6" t="str">
        <f aca="false">IFERROR(__xludf.dummyfunction("""COMPUTED_VALUE"""),"家具家電なし社宅")</f>
        <v>家具家電なし社宅</v>
      </c>
      <c r="T602" s="6" t="str">
        <f aca="false">IFERROR(__xludf.dummyfunction("""COMPUTED_VALUE"""),"利用しない")</f>
        <v>利用しない</v>
      </c>
      <c r="U602" s="6"/>
      <c r="V602" s="6" t="str">
        <f aca="false">IFERROR(__xludf.dummyfunction("""COMPUTED_VALUE"""),"徒歩, 自転車, 電車, バス")</f>
        <v>徒歩, 自転車, 電車, バス</v>
      </c>
      <c r="W602" s="6"/>
      <c r="X602" s="6" t="str">
        <f aca="false">IFERROR(__xludf.dummyfunction("""COMPUTED_VALUE"""),"株式会社オープンアップネクストエンジニア様の社宅")</f>
        <v>株式会社オープンアップネクストエンジニア様の社宅</v>
      </c>
      <c r="Y602" s="6" t="str">
        <f aca="false">IFERROR(__xludf.dummyfunction("""COMPUTED_VALUE"""),"利用なし")</f>
        <v>利用なし</v>
      </c>
      <c r="Z602" s="6" t="str">
        <f aca="false">IFERROR(__xludf.dummyfunction("""COMPUTED_VALUE"""),"希望する")</f>
        <v>希望する</v>
      </c>
      <c r="AA602" s="6" t="str">
        <f aca="false">IFERROR(__xludf.dummyfunction("""COMPUTED_VALUE"""),"単身")</f>
        <v>単身</v>
      </c>
      <c r="AB602" s="6"/>
      <c r="AC602" s="6"/>
      <c r="AD602" s="6"/>
      <c r="AE602" s="6" t="str">
        <f aca="false">IFERROR(__xludf.dummyfunction("""COMPUTED_VALUE"""),"確認しました。")</f>
        <v>確認しました。</v>
      </c>
      <c r="AF602" s="6" t="str">
        <f aca="false">IFERROR(__xludf.dummyfunction("""COMPUTED_VALUE"""),"社宅基準の内容について確認しました")</f>
        <v>社宅基準の内容について確認しました</v>
      </c>
      <c r="AG602" s="6" t="str">
        <f aca="false">IFERROR(__xludf.dummyfunction("""COMPUTED_VALUE"""),"入居のしおりの内容についてご確認しました")</f>
        <v>入居のしおりの内容についてご確認しました</v>
      </c>
      <c r="AH602" s="6" t="str">
        <f aca="false">IFERROR(__xludf.dummyfunction("""COMPUTED_VALUE"""),"確認しました")</f>
        <v>確認しました</v>
      </c>
      <c r="AI602" s="6"/>
      <c r="AJ602" s="6" t="str">
        <v/>
      </c>
      <c r="AK602" s="6" t="str">
        <v/>
      </c>
      <c r="AL602" s="6" t="str">
        <v/>
      </c>
      <c r="AM602" s="6" t="str">
        <v/>
      </c>
      <c r="AN602" s="6" t="n">
        <f aca="false">FALSE()</f>
        <v>0</v>
      </c>
    </row>
    <row r="603" customFormat="false" ht="52.5" hidden="false" customHeight="true" outlineLevel="0" collapsed="false">
      <c r="A603" s="6" t="str">
        <f aca="false">IFERROR(__xludf.dummyfunction("""COMPUTED_VALUE"""),"2026/04/22 14:28:24")</f>
        <v>2026/04/22 14:28:24</v>
      </c>
      <c r="B603" s="6"/>
      <c r="C603" s="6" t="str">
        <f aca="false">IFERROR(__xludf.dummyfunction("""COMPUTED_VALUE"""),"72833")</f>
        <v>72833</v>
      </c>
      <c r="D603" s="6"/>
      <c r="E603" s="6"/>
      <c r="F603" s="6"/>
      <c r="G603" s="6" t="str">
        <f aca="false">IFERROR(__xludf.dummyfunction("""COMPUTED_VALUE"""),"2026/05/06")</f>
        <v>2026/05/06</v>
      </c>
      <c r="H603" s="6" t="str">
        <f aca="false">IFERROR(__xludf.dummyfunction("""COMPUTED_VALUE"""),"必要")</f>
        <v>必要</v>
      </c>
      <c r="I603" s="6" t="str">
        <f aca="false">IFERROR(__xludf.dummyfunction("""COMPUTED_VALUE"""),"男性")</f>
        <v>男性</v>
      </c>
      <c r="J603" s="6" t="str">
        <f aca="false">IFERROR(__xludf.dummyfunction("""COMPUTED_VALUE"""),"日本")</f>
        <v>日本</v>
      </c>
      <c r="K603" s="6" t="str">
        <f aca="false">IFERROR(__xludf.dummyfunction("""COMPUTED_VALUE"""),"8")</f>
        <v>8</v>
      </c>
      <c r="L603" s="6" t="str">
        <f aca="false">IFERROR(__xludf.dummyfunction("""COMPUTED_VALUE"""),"家電なし")</f>
        <v>家電なし</v>
      </c>
      <c r="M603" s="6" t="str">
        <f aca="false">IFERROR(__xludf.dummyfunction("""COMPUTED_VALUE"""),"家具なし")</f>
        <v>家具なし</v>
      </c>
      <c r="N603" s="6" t="str">
        <f aca="false">IFERROR(__xludf.dummyfunction("""COMPUTED_VALUE"""),"3Dプリンター")</f>
        <v>3Dプリンター</v>
      </c>
      <c r="O603" s="6" t="str">
        <f aca="false">IFERROR(__xludf.dummyfunction("""COMPUTED_VALUE"""),"不要")</f>
        <v>不要</v>
      </c>
      <c r="P603" s="6"/>
      <c r="Q603" s="6"/>
      <c r="R603" s="6"/>
      <c r="S603" s="6" t="str">
        <f aca="false">IFERROR(__xludf.dummyfunction("""COMPUTED_VALUE"""),"家具家電なし社宅")</f>
        <v>家具家電なし社宅</v>
      </c>
      <c r="T603" s="6" t="str">
        <f aca="false">IFERROR(__xludf.dummyfunction("""COMPUTED_VALUE"""),"利用する")</f>
        <v>利用する</v>
      </c>
      <c r="U603" s="6" t="str">
        <f aca="false">IFERROR(__xludf.dummyfunction("""COMPUTED_VALUE"""),"エアコン　カーテン　ベッド　ベッド用マットレス　冷凍冷蔵庫　ガスコンロ　電子レンジ　電気湯沸かしポット　炊飯器")</f>
        <v>エアコン　カーテン　ベッド　ベッド用マットレス　冷凍冷蔵庫　ガスコンロ　電子レンジ　電気湯沸かしポット　炊飯器</v>
      </c>
      <c r="V603" s="6" t="str">
        <f aca="false">IFERROR(__xludf.dummyfunction("""COMPUTED_VALUE"""),"徒歩")</f>
        <v>徒歩</v>
      </c>
      <c r="W603" s="6"/>
      <c r="X603" s="6" t="str">
        <f aca="false">IFERROR(__xludf.dummyfunction("""COMPUTED_VALUE"""),"実家")</f>
        <v>実家</v>
      </c>
      <c r="Y603" s="6"/>
      <c r="Z603" s="6" t="str">
        <f aca="false">IFERROR(__xludf.dummyfunction("""COMPUTED_VALUE"""),"希望する")</f>
        <v>希望する</v>
      </c>
      <c r="AA603" s="6" t="str">
        <f aca="false">IFERROR(__xludf.dummyfunction("""COMPUTED_VALUE"""),"単身")</f>
        <v>単身</v>
      </c>
      <c r="AB603" s="6"/>
      <c r="AC603" s="6"/>
      <c r="AD603" s="6" t="str">
        <f aca="false">IFERROR(__xludf.dummyfunction("""COMPUTED_VALUE"""),"ネット回線が安定する物件を希望します")</f>
        <v>ネット回線が安定する物件を希望します</v>
      </c>
      <c r="AE603" s="6" t="str">
        <f aca="false">IFERROR(__xludf.dummyfunction("""COMPUTED_VALUE"""),"確認しました。")</f>
        <v>確認しました。</v>
      </c>
      <c r="AF603" s="6" t="str">
        <f aca="false">IFERROR(__xludf.dummyfunction("""COMPUTED_VALUE"""),"社宅基準の内容について確認しました")</f>
        <v>社宅基準の内容について確認しました</v>
      </c>
      <c r="AG603" s="6" t="str">
        <f aca="false">IFERROR(__xludf.dummyfunction("""COMPUTED_VALUE"""),"入居のしおりの内容についてご確認しました")</f>
        <v>入居のしおりの内容についてご確認しました</v>
      </c>
      <c r="AH603" s="6" t="str">
        <f aca="false">IFERROR(__xludf.dummyfunction("""COMPUTED_VALUE"""),"確認しました")</f>
        <v>確認しました</v>
      </c>
      <c r="AI603" s="6"/>
      <c r="AJ603" s="6" t="str">
        <v/>
      </c>
      <c r="AK603" s="6" t="str">
        <v/>
      </c>
      <c r="AL603" s="6" t="str">
        <v/>
      </c>
      <c r="AM603" s="6" t="str">
        <v/>
      </c>
      <c r="AN603" s="6" t="n">
        <f aca="false">FALSE()</f>
        <v>0</v>
      </c>
    </row>
    <row r="604" customFormat="false" ht="52.5" hidden="false" customHeight="true" outlineLevel="0" collapsed="false">
      <c r="A604" s="6" t="str">
        <f aca="false">IFERROR(__xludf.dummyfunction("""COMPUTED_VALUE"""),"2026/04/22 15:50:38")</f>
        <v>2026/04/22 15:50:38</v>
      </c>
      <c r="B604" s="6"/>
      <c r="C604" s="6" t="str">
        <f aca="false">IFERROR(__xludf.dummyfunction("""COMPUTED_VALUE"""),"72884")</f>
        <v>72884</v>
      </c>
      <c r="D604" s="6"/>
      <c r="E604" s="6"/>
      <c r="F604" s="6"/>
      <c r="G604" s="6" t="str">
        <f aca="false">IFERROR(__xludf.dummyfunction("""COMPUTED_VALUE"""),"2026/05/09")</f>
        <v>2026/05/09</v>
      </c>
      <c r="H604" s="6" t="str">
        <f aca="false">IFERROR(__xludf.dummyfunction("""COMPUTED_VALUE"""),"不要")</f>
        <v>不要</v>
      </c>
      <c r="I604" s="6" t="str">
        <f aca="false">IFERROR(__xludf.dummyfunction("""COMPUTED_VALUE"""),"男性")</f>
        <v>男性</v>
      </c>
      <c r="J604" s="6" t="str">
        <f aca="false">IFERROR(__xludf.dummyfunction("""COMPUTED_VALUE"""),"日本")</f>
        <v>日本</v>
      </c>
      <c r="K604" s="6"/>
      <c r="L604" s="6"/>
      <c r="M604" s="6"/>
      <c r="N604" s="6"/>
      <c r="O604" s="6" t="str">
        <f aca="false">IFERROR(__xludf.dummyfunction("""COMPUTED_VALUE"""),"必要")</f>
        <v>必要</v>
      </c>
      <c r="P604" s="6" t="str">
        <f aca="false">IFERROR(__xludf.dummyfunction("""COMPUTED_VALUE"""),"レクサス")</f>
        <v>レクサス</v>
      </c>
      <c r="Q604" s="6" t="str">
        <f aca="false">IFERROR(__xludf.dummyfunction("""COMPUTED_VALUE"""),"つ81-38")</f>
        <v>つ81-38</v>
      </c>
      <c r="R604" s="6" t="str">
        <f aca="false">IFERROR(__xludf.dummyfunction("""COMPUTED_VALUE"""),"黒色")</f>
        <v>黒色</v>
      </c>
      <c r="S604" s="6" t="str">
        <f aca="false">IFERROR(__xludf.dummyfunction("""COMPUTED_VALUE"""),"家具家電付き社宅")</f>
        <v>家具家電付き社宅</v>
      </c>
      <c r="T604" s="6" t="str">
        <f aca="false">IFERROR(__xludf.dummyfunction("""COMPUTED_VALUE"""),"利用しない")</f>
        <v>利用しない</v>
      </c>
      <c r="U604" s="6"/>
      <c r="V604" s="6" t="str">
        <f aca="false">IFERROR(__xludf.dummyfunction("""COMPUTED_VALUE"""),"徒歩")</f>
        <v>徒歩</v>
      </c>
      <c r="W604" s="6"/>
      <c r="X604" s="6" t="str">
        <f aca="false">IFERROR(__xludf.dummyfunction("""COMPUTED_VALUE"""),"実家")</f>
        <v>実家</v>
      </c>
      <c r="Y604" s="6"/>
      <c r="Z604" s="6" t="str">
        <f aca="false">IFERROR(__xludf.dummyfunction("""COMPUTED_VALUE"""),"希望する")</f>
        <v>希望する</v>
      </c>
      <c r="AA604" s="6" t="str">
        <f aca="false">IFERROR(__xludf.dummyfunction("""COMPUTED_VALUE"""),"単身")</f>
        <v>単身</v>
      </c>
      <c r="AB604" s="6"/>
      <c r="AC604" s="6"/>
      <c r="AD604" s="6"/>
      <c r="AE604" s="6" t="str">
        <f aca="false">IFERROR(__xludf.dummyfunction("""COMPUTED_VALUE"""),"確認しました。")</f>
        <v>確認しました。</v>
      </c>
      <c r="AF604" s="6" t="str">
        <f aca="false">IFERROR(__xludf.dummyfunction("""COMPUTED_VALUE"""),"社宅基準の内容について確認しました")</f>
        <v>社宅基準の内容について確認しました</v>
      </c>
      <c r="AG604" s="6" t="str">
        <f aca="false">IFERROR(__xludf.dummyfunction("""COMPUTED_VALUE"""),"入居のしおりの内容についてご確認しました")</f>
        <v>入居のしおりの内容についてご確認しました</v>
      </c>
      <c r="AH604" s="6" t="str">
        <f aca="false">IFERROR(__xludf.dummyfunction("""COMPUTED_VALUE"""),"確認しました")</f>
        <v>確認しました</v>
      </c>
      <c r="AI604" s="6"/>
      <c r="AJ604" s="6" t="str">
        <v/>
      </c>
      <c r="AK604" s="6" t="str">
        <v/>
      </c>
      <c r="AL604" s="6" t="str">
        <v/>
      </c>
      <c r="AM604" s="6" t="str">
        <v/>
      </c>
      <c r="AN604" s="6" t="n">
        <f aca="false">FALSE()</f>
        <v>0</v>
      </c>
    </row>
    <row r="605" customFormat="false" ht="52.5" hidden="false" customHeight="true" outlineLevel="0" collapsed="false">
      <c r="A605" s="6" t="str">
        <f aca="false">IFERROR(__xludf.dummyfunction("""COMPUTED_VALUE"""),"2026/04/22 17:46:24")</f>
        <v>2026/04/22 17:46:24</v>
      </c>
      <c r="B605" s="6"/>
      <c r="C605" s="6" t="str">
        <f aca="false">IFERROR(__xludf.dummyfunction("""COMPUTED_VALUE"""),"72904")</f>
        <v>72904</v>
      </c>
      <c r="D605" s="6"/>
      <c r="E605" s="6"/>
      <c r="F605" s="6"/>
      <c r="G605" s="6" t="str">
        <f aca="false">IFERROR(__xludf.dummyfunction("""COMPUTED_VALUE"""),"1991/08/03")</f>
        <v>1991/08/03</v>
      </c>
      <c r="H605" s="6" t="str">
        <f aca="false">IFERROR(__xludf.dummyfunction("""COMPUTED_VALUE"""),"必要")</f>
        <v>必要</v>
      </c>
      <c r="I605" s="6" t="str">
        <f aca="false">IFERROR(__xludf.dummyfunction("""COMPUTED_VALUE"""),"男性")</f>
        <v>男性</v>
      </c>
      <c r="J605" s="6" t="str">
        <f aca="false">IFERROR(__xludf.dummyfunction("""COMPUTED_VALUE"""),"ベトナム")</f>
        <v>ベトナム</v>
      </c>
      <c r="K605" s="6" t="str">
        <f aca="false">IFERROR(__xludf.dummyfunction("""COMPUTED_VALUE"""),"15")</f>
        <v>15</v>
      </c>
      <c r="L605" s="6" t="str">
        <f aca="false">IFERROR(__xludf.dummyfunction("""COMPUTED_VALUE"""),"家族用の冷蔵庫（62*60*170）ドラム式洗濯機(74*64*100、～70㎏)")</f>
        <v>家族用の冷蔵庫（62*60*170）ドラム式洗濯機(74*64*100、～70㎏)</v>
      </c>
      <c r="M605" s="6" t="str">
        <f aca="false">IFERROR(__xludf.dummyfunction("""COMPUTED_VALUE"""),"収納キャビネット（40*33*90）（41*22*112）/ 椅子：4個（40*40*80）/棚（56*45*120）/机（70*100*120）/")</f>
        <v>収納キャビネット（40*33*90）（41*22*112）/ 椅子：4個（40*40*80）/棚（56*45*120）/机（70*100*120）/</v>
      </c>
      <c r="N605" s="6" t="str">
        <f aca="false">IFERROR(__xludf.dummyfunction("""COMPUTED_VALUE"""),"電行自転車/釣りもの")</f>
        <v>電行自転車/釣りもの</v>
      </c>
      <c r="O605" s="6" t="str">
        <f aca="false">IFERROR(__xludf.dummyfunction("""COMPUTED_VALUE"""),"不要")</f>
        <v>不要</v>
      </c>
      <c r="P605" s="6"/>
      <c r="Q605" s="6"/>
      <c r="R605" s="6"/>
      <c r="S605" s="6" t="str">
        <f aca="false">IFERROR(__xludf.dummyfunction("""COMPUTED_VALUE"""),"家具家電なし社宅")</f>
        <v>家具家電なし社宅</v>
      </c>
      <c r="T605" s="6" t="str">
        <f aca="false">IFERROR(__xludf.dummyfunction("""COMPUTED_VALUE"""),"利用しない")</f>
        <v>利用しない</v>
      </c>
      <c r="U605" s="6"/>
      <c r="V605" s="6" t="str">
        <f aca="false">IFERROR(__xludf.dummyfunction("""COMPUTED_VALUE"""),"自動車, 電車")</f>
        <v>自動車, 電車</v>
      </c>
      <c r="W605" s="6"/>
      <c r="X605" s="6" t="str">
        <f aca="false">IFERROR(__xludf.dummyfunction("""COMPUTED_VALUE"""),"株式会社オープンアップネクストエンジニア様の社宅")</f>
        <v>株式会社オープンアップネクストエンジニア様の社宅</v>
      </c>
      <c r="Y605" s="6" t="str">
        <f aca="false">IFERROR(__xludf.dummyfunction("""COMPUTED_VALUE"""),"利用なし")</f>
        <v>利用なし</v>
      </c>
      <c r="Z605" s="6" t="str">
        <f aca="false">IFERROR(__xludf.dummyfunction("""COMPUTED_VALUE"""),"希望しない")</f>
        <v>希望しない</v>
      </c>
      <c r="AA605" s="6" t="str">
        <f aca="false">IFERROR(__xludf.dummyfunction("""COMPUTED_VALUE"""),"家族")</f>
        <v>家族</v>
      </c>
      <c r="AB605" s="6" t="str">
        <f aca="false">IFERROR(__xludf.dummyfunction("""COMPUTED_VALUE"""),"氏名：NGUYEN UT QUE
フリガナ：グエン　ウット　クエ
生年月日：1996/02/23
携帯番号：08058033807
続柄：妻
氏名：PHAN KIM NGAN
フリガナ：ファン　キム　ナン
生年月日：2021/11/16
携帯番号：
続柄：子供
氏名：PHAN CHINH NGHIA
フリガナ：ファン　チン　ギア
生年月日：2024/02/02
携帯番号：
続柄：子供")</f>
        <v>氏名：NGUYEN UT QUE
フリガナ：グエン　ウット　クエ
生年月日：1996/02/23
携帯番号：08058033807
続柄：妻
氏名：PHAN KIM NGAN
フリガナ：ファン　キム　ナン
生年月日：2021/11/16
携帯番号：
続柄：子供
氏名：PHAN CHINH NGHIA
フリガナ：ファン　チン　ギア
生年月日：2024/02/02
携帯番号：
続柄：子供</v>
      </c>
      <c r="AC605" s="6"/>
      <c r="AD605" s="6" t="str">
        <f aca="false">IFERROR(__xludf.dummyfunction("""COMPUTED_VALUE"""),"職場から近くところ、海、スーパ－、公園が近い")</f>
        <v>職場から近くところ、海、スーパ－、公園が近い</v>
      </c>
      <c r="AE605" s="6" t="str">
        <f aca="false">IFERROR(__xludf.dummyfunction("""COMPUTED_VALUE"""),"確認しました。")</f>
        <v>確認しました。</v>
      </c>
      <c r="AF605" s="6" t="str">
        <f aca="false">IFERROR(__xludf.dummyfunction("""COMPUTED_VALUE"""),"社宅基準の内容について確認しました")</f>
        <v>社宅基準の内容について確認しました</v>
      </c>
      <c r="AG605" s="6" t="str">
        <f aca="false">IFERROR(__xludf.dummyfunction("""COMPUTED_VALUE"""),"入居のしおりの内容についてご確認しました")</f>
        <v>入居のしおりの内容についてご確認しました</v>
      </c>
      <c r="AH605" s="6" t="str">
        <f aca="false">IFERROR(__xludf.dummyfunction("""COMPUTED_VALUE"""),"確認しました")</f>
        <v>確認しました</v>
      </c>
      <c r="AI605" s="6"/>
      <c r="AJ605" s="6" t="str">
        <v/>
      </c>
      <c r="AK605" s="6" t="str">
        <v/>
      </c>
      <c r="AL605" s="6" t="str">
        <v/>
      </c>
      <c r="AM605" s="6" t="str">
        <v/>
      </c>
      <c r="AN605" s="6" t="n">
        <f aca="false">FALSE()</f>
        <v>0</v>
      </c>
    </row>
    <row r="606" customFormat="false" ht="52.5" hidden="false" customHeight="true" outlineLevel="0" collapsed="false">
      <c r="A606" s="6" t="str">
        <f aca="false">IFERROR(__xludf.dummyfunction("""COMPUTED_VALUE"""),"2026/04/22 19:11:01")</f>
        <v>2026/04/22 19:11:01</v>
      </c>
      <c r="B606" s="6"/>
      <c r="C606" s="6" t="str">
        <f aca="false">IFERROR(__xludf.dummyfunction("""COMPUTED_VALUE"""),"72866")</f>
        <v>72866</v>
      </c>
      <c r="D606" s="6"/>
      <c r="E606" s="6"/>
      <c r="F606" s="6"/>
      <c r="G606" s="6" t="str">
        <f aca="false">IFERROR(__xludf.dummyfunction("""COMPUTED_VALUE"""),"2026/05/01")</f>
        <v>2026/05/01</v>
      </c>
      <c r="H606" s="6" t="str">
        <f aca="false">IFERROR(__xludf.dummyfunction("""COMPUTED_VALUE"""),"必要")</f>
        <v>必要</v>
      </c>
      <c r="I606" s="6" t="str">
        <f aca="false">IFERROR(__xludf.dummyfunction("""COMPUTED_VALUE"""),"女性")</f>
        <v>女性</v>
      </c>
      <c r="J606" s="6" t="str">
        <f aca="false">IFERROR(__xludf.dummyfunction("""COMPUTED_VALUE"""),"日本")</f>
        <v>日本</v>
      </c>
      <c r="K606" s="6" t="str">
        <f aca="false">IFERROR(__xludf.dummyfunction("""COMPUTED_VALUE"""),"20")</f>
        <v>20</v>
      </c>
      <c r="L606" s="6" t="str">
        <f aca="false">IFERROR(__xludf.dummyfunction("""COMPUTED_VALUE"""),"電子レンジ、炊飯器、2口IH（台あり）、洗濯機（容量7kg）、冷蔵庫（2ドア）、扇風機、冷風機、小型ヒーター")</f>
        <v>電子レンジ、炊飯器、2口IH（台あり）、洗濯機（容量7kg）、冷蔵庫（2ドア）、扇風機、冷風機、小型ヒーター</v>
      </c>
      <c r="M606" s="6" t="str">
        <f aca="false">IFERROR(__xludf.dummyfunction("""COMPUTED_VALUE"""),"折りたたみ式シングルベッド、シングルマットレス、中くらいの棚（カラーボックス）、大きめの組み立て式ロングテーブル（解体済）、折りたためる机3個、折りたためる椅子2個")</f>
        <v>折りたたみ式シングルベッド、シングルマットレス、中くらいの棚（カラーボックス）、大きめの組み立て式ロングテーブル（解体済）、折りたためる机3個、折りたためる椅子2個</v>
      </c>
      <c r="N606" s="6" t="str">
        <f aca="false">IFERROR(__xludf.dummyfunction("""COMPUTED_VALUE"""),"大きいぬいぐるみが一つ、大容量ケースが2つ、中くらいのケースが3〜5個、ダンボールに入らないバッグが1個")</f>
        <v>大きいぬいぐるみが一つ、大容量ケースが2つ、中くらいのケースが3〜5個、ダンボールに入らないバッグが1個</v>
      </c>
      <c r="O606" s="6" t="str">
        <f aca="false">IFERROR(__xludf.dummyfunction("""COMPUTED_VALUE"""),"必要")</f>
        <v>必要</v>
      </c>
      <c r="P606" s="6" t="str">
        <f aca="false">IFERROR(__xludf.dummyfunction("""COMPUTED_VALUE"""),"Nワゴン")</f>
        <v>Nワゴン</v>
      </c>
      <c r="Q606" s="6" t="str">
        <f aca="false">IFERROR(__xludf.dummyfunction("""COMPUTED_VALUE"""),"ふ97-31")</f>
        <v>ふ97-31</v>
      </c>
      <c r="R606" s="6" t="str">
        <f aca="false">IFERROR(__xludf.dummyfunction("""COMPUTED_VALUE"""),"青")</f>
        <v>青</v>
      </c>
      <c r="S606" s="6" t="str">
        <f aca="false">IFERROR(__xludf.dummyfunction("""COMPUTED_VALUE"""),"家具家電なし社宅")</f>
        <v>家具家電なし社宅</v>
      </c>
      <c r="T606" s="6" t="str">
        <f aca="false">IFERROR(__xludf.dummyfunction("""COMPUTED_VALUE"""),"利用しない")</f>
        <v>利用しない</v>
      </c>
      <c r="U606" s="6"/>
      <c r="V606" s="6" t="str">
        <f aca="false">IFERROR(__xludf.dummyfunction("""COMPUTED_VALUE"""),"自動車")</f>
        <v>自動車</v>
      </c>
      <c r="W606" s="6"/>
      <c r="X606" s="6" t="str">
        <f aca="false">IFERROR(__xludf.dummyfunction("""COMPUTED_VALUE"""),"株式会社オープンアップネクストエンジニア様の社宅")</f>
        <v>株式会社オープンアップネクストエンジニア様の社宅</v>
      </c>
      <c r="Y606" s="6" t="str">
        <f aca="false">IFERROR(__xludf.dummyfunction("""COMPUTED_VALUE"""),"利用なし")</f>
        <v>利用なし</v>
      </c>
      <c r="Z606" s="6" t="str">
        <f aca="false">IFERROR(__xludf.dummyfunction("""COMPUTED_VALUE"""),"希望しない")</f>
        <v>希望しない</v>
      </c>
      <c r="AA606" s="6" t="str">
        <f aca="false">IFERROR(__xludf.dummyfunction("""COMPUTED_VALUE"""),"単身")</f>
        <v>単身</v>
      </c>
      <c r="AB606" s="6"/>
      <c r="AC606" s="6"/>
      <c r="AD606" s="6" t="str">
        <f aca="false">IFERROR(__xludf.dummyfunction("""COMPUTED_VALUE"""),"･細い道や狭い駐車場が大の苦手です。初心者なので運転しやすい場所でお願いいたします。
･近くにスーパーなど買い物できる場所がある家をお願いします。
･2階でお願いします。できるだけ虫の出にくい場所が好ましいです。")</f>
        <v>･細い道や狭い駐車場が大の苦手です。初心者なので運転しやすい場所でお願いいたします。
･近くにスーパーなど買い物できる場所がある家をお願いします。
･2階でお願いします。できるだけ虫の出にくい場所が好ましいです。</v>
      </c>
      <c r="AE606" s="6" t="str">
        <f aca="false">IFERROR(__xludf.dummyfunction("""COMPUTED_VALUE"""),"確認しました。")</f>
        <v>確認しました。</v>
      </c>
      <c r="AF606" s="6" t="str">
        <f aca="false">IFERROR(__xludf.dummyfunction("""COMPUTED_VALUE"""),"社宅基準の内容について確認しました")</f>
        <v>社宅基準の内容について確認しました</v>
      </c>
      <c r="AG606" s="6" t="str">
        <f aca="false">IFERROR(__xludf.dummyfunction("""COMPUTED_VALUE"""),"入居のしおりの内容についてご確認しました")</f>
        <v>入居のしおりの内容についてご確認しました</v>
      </c>
      <c r="AH606" s="6" t="str">
        <f aca="false">IFERROR(__xludf.dummyfunction("""COMPUTED_VALUE"""),"確認しました")</f>
        <v>確認しました</v>
      </c>
      <c r="AI606" s="6"/>
      <c r="AJ606" s="6" t="str">
        <v/>
      </c>
      <c r="AK606" s="6" t="str">
        <v/>
      </c>
      <c r="AL606" s="6" t="str">
        <v/>
      </c>
      <c r="AM606" s="6" t="str">
        <v/>
      </c>
      <c r="AN606" s="6" t="n">
        <f aca="false">FALSE()</f>
        <v>0</v>
      </c>
    </row>
    <row r="607" customFormat="false" ht="52.5" hidden="false" customHeight="true" outlineLevel="0" collapsed="false">
      <c r="A607" s="6" t="str">
        <f aca="false">IFERROR(__xludf.dummyfunction("""COMPUTED_VALUE"""),"2026/04/22 20:09:31")</f>
        <v>2026/04/22 20:09:31</v>
      </c>
      <c r="B607" s="6"/>
      <c r="C607" s="6" t="str">
        <f aca="false">IFERROR(__xludf.dummyfunction("""COMPUTED_VALUE"""),"72899")</f>
        <v>72899</v>
      </c>
      <c r="D607" s="6"/>
      <c r="E607" s="6"/>
      <c r="F607" s="6"/>
      <c r="G607" s="6" t="str">
        <f aca="false">IFERROR(__xludf.dummyfunction("""COMPUTED_VALUE"""),"2026/06/01")</f>
        <v>2026/06/01</v>
      </c>
      <c r="H607" s="6" t="str">
        <f aca="false">IFERROR(__xludf.dummyfunction("""COMPUTED_VALUE"""),"不要")</f>
        <v>不要</v>
      </c>
      <c r="I607" s="6" t="str">
        <f aca="false">IFERROR(__xludf.dummyfunction("""COMPUTED_VALUE"""),"男性")</f>
        <v>男性</v>
      </c>
      <c r="J607" s="6" t="str">
        <f aca="false">IFERROR(__xludf.dummyfunction("""COMPUTED_VALUE"""),"日本")</f>
        <v>日本</v>
      </c>
      <c r="K607" s="6"/>
      <c r="L607" s="6"/>
      <c r="M607" s="6"/>
      <c r="N607" s="6"/>
      <c r="O607" s="6" t="str">
        <f aca="false">IFERROR(__xludf.dummyfunction("""COMPUTED_VALUE"""),"不要")</f>
        <v>不要</v>
      </c>
      <c r="P607" s="6"/>
      <c r="Q607" s="6"/>
      <c r="R607" s="6"/>
      <c r="S607" s="6" t="str">
        <f aca="false">IFERROR(__xludf.dummyfunction("""COMPUTED_VALUE"""),"家具家電付き社宅")</f>
        <v>家具家電付き社宅</v>
      </c>
      <c r="T607" s="6" t="str">
        <f aca="false">IFERROR(__xludf.dummyfunction("""COMPUTED_VALUE"""),"利用しない")</f>
        <v>利用しない</v>
      </c>
      <c r="U607" s="6"/>
      <c r="V607" s="6" t="str">
        <f aca="false">IFERROR(__xludf.dummyfunction("""COMPUTED_VALUE"""),"徒歩, 電車, バス")</f>
        <v>徒歩, 電車, バス</v>
      </c>
      <c r="W607" s="6"/>
      <c r="X607" s="6" t="str">
        <f aca="false">IFERROR(__xludf.dummyfunction("""COMPUTED_VALUE"""),"株式会社オープンアップネクストエンジニア様の社宅")</f>
        <v>株式会社オープンアップネクストエンジニア様の社宅</v>
      </c>
      <c r="Y607" s="6" t="str">
        <f aca="false">IFERROR(__xludf.dummyfunction("""COMPUTED_VALUE"""),"なし")</f>
        <v>なし</v>
      </c>
      <c r="Z607" s="6" t="str">
        <f aca="false">IFERROR(__xludf.dummyfunction("""COMPUTED_VALUE"""),"希望しない")</f>
        <v>希望しない</v>
      </c>
      <c r="AA607" s="6" t="str">
        <f aca="false">IFERROR(__xludf.dummyfunction("""COMPUTED_VALUE"""),"単身")</f>
        <v>単身</v>
      </c>
      <c r="AB607" s="6"/>
      <c r="AC607" s="6"/>
      <c r="AD607" s="6" t="str">
        <f aca="false">IFERROR(__xludf.dummyfunction("""COMPUTED_VALUE"""),"レオパじゃないのも希望です。")</f>
        <v>レオパじゃないのも希望です。</v>
      </c>
      <c r="AE607" s="6" t="str">
        <f aca="false">IFERROR(__xludf.dummyfunction("""COMPUTED_VALUE"""),"確認しました。")</f>
        <v>確認しました。</v>
      </c>
      <c r="AF607" s="6" t="str">
        <f aca="false">IFERROR(__xludf.dummyfunction("""COMPUTED_VALUE"""),"社宅基準の内容について確認しました")</f>
        <v>社宅基準の内容について確認しました</v>
      </c>
      <c r="AG607" s="6" t="str">
        <f aca="false">IFERROR(__xludf.dummyfunction("""COMPUTED_VALUE"""),"入居のしおりの内容についてご確認しました")</f>
        <v>入居のしおりの内容についてご確認しました</v>
      </c>
      <c r="AH607" s="6" t="str">
        <f aca="false">IFERROR(__xludf.dummyfunction("""COMPUTED_VALUE"""),"確認しました")</f>
        <v>確認しました</v>
      </c>
      <c r="AI607" s="6"/>
      <c r="AJ607" s="6" t="str">
        <v/>
      </c>
      <c r="AK607" s="6" t="str">
        <v/>
      </c>
      <c r="AL607" s="6" t="str">
        <v/>
      </c>
      <c r="AM607" s="6" t="str">
        <v/>
      </c>
      <c r="AN607" s="6" t="n">
        <f aca="false">FALSE()</f>
        <v>0</v>
      </c>
    </row>
    <row r="608" customFormat="false" ht="52.5" hidden="false" customHeight="true" outlineLevel="0" collapsed="false">
      <c r="A608" s="6" t="str">
        <f aca="false">IFERROR(__xludf.dummyfunction("""COMPUTED_VALUE"""),"2026/04/22 21:42:19")</f>
        <v>2026/04/22 21:42:19</v>
      </c>
      <c r="B608" s="6"/>
      <c r="C608" s="6" t="str">
        <f aca="false">IFERROR(__xludf.dummyfunction("""COMPUTED_VALUE"""),"72918")</f>
        <v>72918</v>
      </c>
      <c r="D608" s="6"/>
      <c r="E608" s="6"/>
      <c r="F608" s="6"/>
      <c r="G608" s="6" t="str">
        <f aca="false">IFERROR(__xludf.dummyfunction("""COMPUTED_VALUE"""),"2026/05/03")</f>
        <v>2026/05/03</v>
      </c>
      <c r="H608" s="6" t="str">
        <f aca="false">IFERROR(__xludf.dummyfunction("""COMPUTED_VALUE"""),"必要")</f>
        <v>必要</v>
      </c>
      <c r="I608" s="6" t="str">
        <f aca="false">IFERROR(__xludf.dummyfunction("""COMPUTED_VALUE"""),"男性")</f>
        <v>男性</v>
      </c>
      <c r="J608" s="6" t="str">
        <f aca="false">IFERROR(__xludf.dummyfunction("""COMPUTED_VALUE"""),"日本")</f>
        <v>日本</v>
      </c>
      <c r="K608" s="6" t="str">
        <f aca="false">IFERROR(__xludf.dummyfunction("""COMPUTED_VALUE"""),"10")</f>
        <v>10</v>
      </c>
      <c r="L608" s="6" t="str">
        <f aca="false">IFERROR(__xludf.dummyfunction("""COMPUTED_VALUE"""),"特になし")</f>
        <v>特になし</v>
      </c>
      <c r="M608" s="6" t="str">
        <f aca="false">IFERROR(__xludf.dummyfunction("""COMPUTED_VALUE"""),"特になし")</f>
        <v>特になし</v>
      </c>
      <c r="N608" s="6"/>
      <c r="O608" s="6" t="str">
        <f aca="false">IFERROR(__xludf.dummyfunction("""COMPUTED_VALUE"""),"不要")</f>
        <v>不要</v>
      </c>
      <c r="P608" s="6"/>
      <c r="Q608" s="6"/>
      <c r="R608" s="6"/>
      <c r="S608" s="6" t="str">
        <f aca="false">IFERROR(__xludf.dummyfunction("""COMPUTED_VALUE"""),"家具家電付き社宅")</f>
        <v>家具家電付き社宅</v>
      </c>
      <c r="T608" s="6" t="str">
        <f aca="false">IFERROR(__xludf.dummyfunction("""COMPUTED_VALUE"""),"利用する")</f>
        <v>利用する</v>
      </c>
      <c r="U608" s="6" t="str">
        <f aca="false">IFERROR(__xludf.dummyfunction("""COMPUTED_VALUE"""),"ベッド、ベッド用マットレス")</f>
        <v>ベッド、ベッド用マットレス</v>
      </c>
      <c r="V608" s="6" t="str">
        <f aca="false">IFERROR(__xludf.dummyfunction("""COMPUTED_VALUE"""),"徒歩, 電車")</f>
        <v>徒歩, 電車</v>
      </c>
      <c r="W608" s="6"/>
      <c r="X608" s="6" t="str">
        <f aca="false">IFERROR(__xludf.dummyfunction("""COMPUTED_VALUE"""),"実家")</f>
        <v>実家</v>
      </c>
      <c r="Y608" s="6"/>
      <c r="Z608" s="6" t="str">
        <f aca="false">IFERROR(__xludf.dummyfunction("""COMPUTED_VALUE"""),"希望する")</f>
        <v>希望する</v>
      </c>
      <c r="AA608" s="6" t="str">
        <f aca="false">IFERROR(__xludf.dummyfunction("""COMPUTED_VALUE"""),"単身")</f>
        <v>単身</v>
      </c>
      <c r="AB608" s="6"/>
      <c r="AC608" s="6"/>
      <c r="AD608" s="6"/>
      <c r="AE608" s="6" t="str">
        <f aca="false">IFERROR(__xludf.dummyfunction("""COMPUTED_VALUE"""),"確認しました。")</f>
        <v>確認しました。</v>
      </c>
      <c r="AF608" s="6" t="str">
        <f aca="false">IFERROR(__xludf.dummyfunction("""COMPUTED_VALUE"""),"社宅基準の内容について確認しました")</f>
        <v>社宅基準の内容について確認しました</v>
      </c>
      <c r="AG608" s="6" t="str">
        <f aca="false">IFERROR(__xludf.dummyfunction("""COMPUTED_VALUE"""),"入居のしおりの内容についてご確認しました")</f>
        <v>入居のしおりの内容についてご確認しました</v>
      </c>
      <c r="AH608" s="6" t="str">
        <f aca="false">IFERROR(__xludf.dummyfunction("""COMPUTED_VALUE"""),"確認しました")</f>
        <v>確認しました</v>
      </c>
      <c r="AI608" s="6"/>
      <c r="AJ608" s="6" t="str">
        <v/>
      </c>
      <c r="AK608" s="6" t="str">
        <v/>
      </c>
      <c r="AL608" s="6" t="str">
        <v/>
      </c>
      <c r="AM608" s="6" t="str">
        <v/>
      </c>
      <c r="AN608" s="6" t="n">
        <f aca="false">FALSE()</f>
        <v>0</v>
      </c>
    </row>
    <row r="609" customFormat="false" ht="52.5" hidden="false" customHeight="true" outlineLevel="0" collapsed="false">
      <c r="A609" s="6" t="str">
        <f aca="false">IFERROR(__xludf.dummyfunction("""COMPUTED_VALUE"""),"2026/04/22 23:27:24")</f>
        <v>2026/04/22 23:27:24</v>
      </c>
      <c r="B609" s="6"/>
      <c r="C609" s="6" t="str">
        <f aca="false">IFERROR(__xludf.dummyfunction("""COMPUTED_VALUE"""),"72920")</f>
        <v>72920</v>
      </c>
      <c r="D609" s="6"/>
      <c r="E609" s="6"/>
      <c r="F609" s="6"/>
      <c r="G609" s="6" t="str">
        <f aca="false">IFERROR(__xludf.dummyfunction("""COMPUTED_VALUE"""),"2026/05/05")</f>
        <v>2026/05/05</v>
      </c>
      <c r="H609" s="6" t="str">
        <f aca="false">IFERROR(__xludf.dummyfunction("""COMPUTED_VALUE"""),"必要")</f>
        <v>必要</v>
      </c>
      <c r="I609" s="6" t="str">
        <f aca="false">IFERROR(__xludf.dummyfunction("""COMPUTED_VALUE"""),"男性")</f>
        <v>男性</v>
      </c>
      <c r="J609" s="6" t="str">
        <f aca="false">IFERROR(__xludf.dummyfunction("""COMPUTED_VALUE"""),"日本")</f>
        <v>日本</v>
      </c>
      <c r="K609" s="6" t="str">
        <f aca="false">IFERROR(__xludf.dummyfunction("""COMPUTED_VALUE"""),"7")</f>
        <v>7</v>
      </c>
      <c r="L609" s="6" t="str">
        <f aca="false">IFERROR(__xludf.dummyfunction("""COMPUTED_VALUE"""),"なし")</f>
        <v>なし</v>
      </c>
      <c r="M609" s="6" t="str">
        <f aca="false">IFERROR(__xludf.dummyfunction("""COMPUTED_VALUE"""),"なし")</f>
        <v>なし</v>
      </c>
      <c r="N609" s="6" t="str">
        <f aca="false">IFERROR(__xludf.dummyfunction("""COMPUTED_VALUE"""),"自転車")</f>
        <v>自転車</v>
      </c>
      <c r="O609" s="6" t="str">
        <f aca="false">IFERROR(__xludf.dummyfunction("""COMPUTED_VALUE"""),"不要")</f>
        <v>不要</v>
      </c>
      <c r="P609" s="6"/>
      <c r="Q609" s="6"/>
      <c r="R609" s="6"/>
      <c r="S609" s="6" t="str">
        <f aca="false">IFERROR(__xludf.dummyfunction("""COMPUTED_VALUE"""),"家具家電付き社宅")</f>
        <v>家具家電付き社宅</v>
      </c>
      <c r="T609" s="6" t="str">
        <f aca="false">IFERROR(__xludf.dummyfunction("""COMPUTED_VALUE"""),"利用する")</f>
        <v>利用する</v>
      </c>
      <c r="U609" s="6" t="str">
        <f aca="false">IFERROR(__xludf.dummyfunction("""COMPUTED_VALUE"""),"寝具一式、炊飯器")</f>
        <v>寝具一式、炊飯器</v>
      </c>
      <c r="V609" s="6" t="str">
        <f aca="false">IFERROR(__xludf.dummyfunction("""COMPUTED_VALUE"""),"徒歩, 自転車, 電車")</f>
        <v>徒歩, 自転車, 電車</v>
      </c>
      <c r="W609" s="6"/>
      <c r="X609" s="6" t="str">
        <f aca="false">IFERROR(__xludf.dummyfunction("""COMPUTED_VALUE"""),"株式会社オープンアップネクストエンジニア様の社宅")</f>
        <v>株式会社オープンアップネクストエンジニア様の社宅</v>
      </c>
      <c r="Y609" s="6" t="str">
        <f aca="false">IFERROR(__xludf.dummyfunction("""COMPUTED_VALUE"""),"寝具一式、掃除機、炊飯器
掃除機のみ回収希望、寝具と炊飯器は引き継ぎ希望")</f>
        <v>寝具一式、掃除機、炊飯器
掃除機のみ回収希望、寝具と炊飯器は引き継ぎ希望</v>
      </c>
      <c r="Z609" s="6" t="str">
        <f aca="false">IFERROR(__xludf.dummyfunction("""COMPUTED_VALUE"""),"希望する")</f>
        <v>希望する</v>
      </c>
      <c r="AA609" s="6" t="str">
        <f aca="false">IFERROR(__xludf.dummyfunction("""COMPUTED_VALUE"""),"単身")</f>
        <v>単身</v>
      </c>
      <c r="AB609" s="6"/>
      <c r="AC609" s="6"/>
      <c r="AD609" s="6"/>
      <c r="AE609" s="6" t="str">
        <f aca="false">IFERROR(__xludf.dummyfunction("""COMPUTED_VALUE"""),"確認しました。")</f>
        <v>確認しました。</v>
      </c>
      <c r="AF609" s="6" t="str">
        <f aca="false">IFERROR(__xludf.dummyfunction("""COMPUTED_VALUE"""),"社宅基準の内容について確認しました")</f>
        <v>社宅基準の内容について確認しました</v>
      </c>
      <c r="AG609" s="6" t="str">
        <f aca="false">IFERROR(__xludf.dummyfunction("""COMPUTED_VALUE"""),"入居のしおりの内容についてご確認しました")</f>
        <v>入居のしおりの内容についてご確認しました</v>
      </c>
      <c r="AH609" s="6" t="str">
        <f aca="false">IFERROR(__xludf.dummyfunction("""COMPUTED_VALUE"""),"確認しました")</f>
        <v>確認しました</v>
      </c>
      <c r="AI609" s="6"/>
      <c r="AJ609" s="6" t="str">
        <v/>
      </c>
      <c r="AK609" s="6" t="str">
        <v/>
      </c>
      <c r="AL609" s="6" t="str">
        <v/>
      </c>
      <c r="AM609" s="6" t="str">
        <v/>
      </c>
      <c r="AN609" s="6" t="n">
        <f aca="false">FALSE()</f>
        <v>0</v>
      </c>
    </row>
    <row r="610" customFormat="false" ht="52.5" hidden="false" customHeight="true" outlineLevel="0" collapsed="false">
      <c r="A610" s="6" t="str">
        <f aca="false">IFERROR(__xludf.dummyfunction("""COMPUTED_VALUE"""),"2026/04/22 23:33:17")</f>
        <v>2026/04/22 23:33:17</v>
      </c>
      <c r="B610" s="6"/>
      <c r="C610" s="6" t="str">
        <f aca="false">IFERROR(__xludf.dummyfunction("""COMPUTED_VALUE"""),"72802")</f>
        <v>72802</v>
      </c>
      <c r="D610" s="6"/>
      <c r="E610" s="6"/>
      <c r="F610" s="6"/>
      <c r="G610" s="6" t="str">
        <f aca="false">IFERROR(__xludf.dummyfunction("""COMPUTED_VALUE"""),"2026/05/16")</f>
        <v>2026/05/16</v>
      </c>
      <c r="H610" s="6" t="str">
        <f aca="false">IFERROR(__xludf.dummyfunction("""COMPUTED_VALUE"""),"必要")</f>
        <v>必要</v>
      </c>
      <c r="I610" s="6" t="str">
        <f aca="false">IFERROR(__xludf.dummyfunction("""COMPUTED_VALUE"""),"男性")</f>
        <v>男性</v>
      </c>
      <c r="J610" s="6" t="str">
        <f aca="false">IFERROR(__xludf.dummyfunction("""COMPUTED_VALUE"""),"日本")</f>
        <v>日本</v>
      </c>
      <c r="K610" s="6" t="str">
        <f aca="false">IFERROR(__xludf.dummyfunction("""COMPUTED_VALUE"""),"20")</f>
        <v>20</v>
      </c>
      <c r="L610" s="6" t="str">
        <f aca="false">IFERROR(__xludf.dummyfunction("""COMPUTED_VALUE"""),"単身用2ドア、電子レンジ")</f>
        <v>単身用2ドア、電子レンジ</v>
      </c>
      <c r="M610" s="6" t="str">
        <f aca="false">IFERROR(__xludf.dummyfunction("""COMPUTED_VALUE"""),"カラーボックス、椅子、ミニテーブル")</f>
        <v>カラーボックス、椅子、ミニテーブル</v>
      </c>
      <c r="N610" s="6"/>
      <c r="O610" s="6" t="str">
        <f aca="false">IFERROR(__xludf.dummyfunction("""COMPUTED_VALUE"""),"不要")</f>
        <v>不要</v>
      </c>
      <c r="P610" s="6"/>
      <c r="Q610" s="6"/>
      <c r="R610" s="6"/>
      <c r="S610" s="6" t="str">
        <f aca="false">IFERROR(__xludf.dummyfunction("""COMPUTED_VALUE"""),"家具家電付き社宅")</f>
        <v>家具家電付き社宅</v>
      </c>
      <c r="T610" s="6" t="str">
        <f aca="false">IFERROR(__xludf.dummyfunction("""COMPUTED_VALUE"""),"利用しない")</f>
        <v>利用しない</v>
      </c>
      <c r="U610" s="6"/>
      <c r="V610" s="6" t="str">
        <f aca="false">IFERROR(__xludf.dummyfunction("""COMPUTED_VALUE"""),"自転車")</f>
        <v>自転車</v>
      </c>
      <c r="W610" s="6"/>
      <c r="X610" s="6" t="str">
        <f aca="false">IFERROR(__xludf.dummyfunction("""COMPUTED_VALUE"""),"実家")</f>
        <v>実家</v>
      </c>
      <c r="Y610" s="6"/>
      <c r="Z610" s="6" t="str">
        <f aca="false">IFERROR(__xludf.dummyfunction("""COMPUTED_VALUE"""),"希望する")</f>
        <v>希望する</v>
      </c>
      <c r="AA610" s="6" t="str">
        <f aca="false">IFERROR(__xludf.dummyfunction("""COMPUTED_VALUE"""),"単身")</f>
        <v>単身</v>
      </c>
      <c r="AB610" s="6"/>
      <c r="AC610" s="6"/>
      <c r="AD610" s="6"/>
      <c r="AE610" s="6" t="str">
        <f aca="false">IFERROR(__xludf.dummyfunction("""COMPUTED_VALUE"""),"確認しました。")</f>
        <v>確認しました。</v>
      </c>
      <c r="AF610" s="6" t="str">
        <f aca="false">IFERROR(__xludf.dummyfunction("""COMPUTED_VALUE"""),"社宅基準の内容について確認しました")</f>
        <v>社宅基準の内容について確認しました</v>
      </c>
      <c r="AG610" s="6" t="str">
        <f aca="false">IFERROR(__xludf.dummyfunction("""COMPUTED_VALUE"""),"入居のしおりの内容についてご確認しました")</f>
        <v>入居のしおりの内容についてご確認しました</v>
      </c>
      <c r="AH610" s="6" t="str">
        <f aca="false">IFERROR(__xludf.dummyfunction("""COMPUTED_VALUE"""),"確認しました")</f>
        <v>確認しました</v>
      </c>
      <c r="AI610" s="6"/>
      <c r="AJ610" s="6" t="str">
        <v/>
      </c>
      <c r="AK610" s="6" t="str">
        <v/>
      </c>
      <c r="AL610" s="6" t="str">
        <v/>
      </c>
      <c r="AM610" s="6" t="str">
        <v/>
      </c>
      <c r="AN610" s="6" t="n">
        <f aca="false">FALSE()</f>
        <v>0</v>
      </c>
    </row>
    <row r="611" customFormat="false" ht="52.5" hidden="false" customHeight="true" outlineLevel="0" collapsed="false">
      <c r="A611" s="6" t="str">
        <f aca="false">IFERROR(__xludf.dummyfunction("""COMPUTED_VALUE"""),"2026/04/23 14:22:50")</f>
        <v>2026/04/23 14:22:50</v>
      </c>
      <c r="B611" s="6"/>
      <c r="C611" s="6" t="str">
        <f aca="false">IFERROR(__xludf.dummyfunction("""COMPUTED_VALUE"""),"72925")</f>
        <v>72925</v>
      </c>
      <c r="D611" s="6"/>
      <c r="E611" s="6"/>
      <c r="F611" s="6"/>
      <c r="G611" s="6" t="str">
        <f aca="false">IFERROR(__xludf.dummyfunction("""COMPUTED_VALUE"""),"2026/05/08")</f>
        <v>2026/05/08</v>
      </c>
      <c r="H611" s="6" t="str">
        <f aca="false">IFERROR(__xludf.dummyfunction("""COMPUTED_VALUE"""),"必要")</f>
        <v>必要</v>
      </c>
      <c r="I611" s="6" t="str">
        <f aca="false">IFERROR(__xludf.dummyfunction("""COMPUTED_VALUE"""),"男性")</f>
        <v>男性</v>
      </c>
      <c r="J611" s="6" t="str">
        <f aca="false">IFERROR(__xludf.dummyfunction("""COMPUTED_VALUE"""),"日本")</f>
        <v>日本</v>
      </c>
      <c r="K611" s="6" t="str">
        <f aca="false">IFERROR(__xludf.dummyfunction("""COMPUTED_VALUE"""),"7")</f>
        <v>7</v>
      </c>
      <c r="L611" s="6" t="str">
        <f aca="false">IFERROR(__xludf.dummyfunction("""COMPUTED_VALUE"""),"単身用冷蔵庫、洗濯機、電子レンジ、テレビ")</f>
        <v>単身用冷蔵庫、洗濯機、電子レンジ、テレビ</v>
      </c>
      <c r="M611" s="6" t="str">
        <f aca="false">IFERROR(__xludf.dummyfunction("""COMPUTED_VALUE"""),"シングルベッド、テレビ台、折りたたみ机、物置棚大（20×60×100cm）1つ、物置棚小2つ")</f>
        <v>シングルベッド、テレビ台、折りたたみ机、物置棚大（20×60×100cm）1つ、物置棚小2つ</v>
      </c>
      <c r="N611" s="6"/>
      <c r="O611" s="6" t="str">
        <f aca="false">IFERROR(__xludf.dummyfunction("""COMPUTED_VALUE"""),"必要")</f>
        <v>必要</v>
      </c>
      <c r="P611" s="6" t="str">
        <f aca="false">IFERROR(__xludf.dummyfunction("""COMPUTED_VALUE"""),"日産ノート")</f>
        <v>日産ノート</v>
      </c>
      <c r="Q611" s="6" t="str">
        <f aca="false">IFERROR(__xludf.dummyfunction("""COMPUTED_VALUE"""),"ぬ3977")</f>
        <v>ぬ3977</v>
      </c>
      <c r="R611" s="6" t="str">
        <f aca="false">IFERROR(__xludf.dummyfunction("""COMPUTED_VALUE"""),"黄色")</f>
        <v>黄色</v>
      </c>
      <c r="S611" s="6" t="str">
        <f aca="false">IFERROR(__xludf.dummyfunction("""COMPUTED_VALUE"""),"家具家電付き社宅")</f>
        <v>家具家電付き社宅</v>
      </c>
      <c r="T611" s="6" t="str">
        <f aca="false">IFERROR(__xludf.dummyfunction("""COMPUTED_VALUE"""),"利用する")</f>
        <v>利用する</v>
      </c>
      <c r="U611" s="6" t="str">
        <f aca="false">IFERROR(__xludf.dummyfunction("""COMPUTED_VALUE"""),"エアコン")</f>
        <v>エアコン</v>
      </c>
      <c r="V611" s="6" t="str">
        <f aca="false">IFERROR(__xludf.dummyfunction("""COMPUTED_VALUE"""),"自動車")</f>
        <v>自動車</v>
      </c>
      <c r="W611" s="6"/>
      <c r="X611" s="6" t="str">
        <f aca="false">IFERROR(__xludf.dummyfunction("""COMPUTED_VALUE"""),"株式会社オープンアップネクストエンジニア様の社宅")</f>
        <v>株式会社オープンアップネクストエンジニア様の社宅</v>
      </c>
      <c r="Y611" s="6" t="str">
        <f aca="false">IFERROR(__xludf.dummyfunction("""COMPUTED_VALUE"""),"ガスコンロ")</f>
        <v>ガスコンロ</v>
      </c>
      <c r="Z611" s="6" t="str">
        <f aca="false">IFERROR(__xludf.dummyfunction("""COMPUTED_VALUE"""),"希望する")</f>
        <v>希望する</v>
      </c>
      <c r="AA611" s="6" t="str">
        <f aca="false">IFERROR(__xludf.dummyfunction("""COMPUTED_VALUE"""),"単身")</f>
        <v>単身</v>
      </c>
      <c r="AB611" s="6"/>
      <c r="AC611" s="6"/>
      <c r="AD611" s="6"/>
      <c r="AE611" s="6" t="str">
        <f aca="false">IFERROR(__xludf.dummyfunction("""COMPUTED_VALUE"""),"確認しました。")</f>
        <v>確認しました。</v>
      </c>
      <c r="AF611" s="6" t="str">
        <f aca="false">IFERROR(__xludf.dummyfunction("""COMPUTED_VALUE"""),"社宅基準の内容について確認しました")</f>
        <v>社宅基準の内容について確認しました</v>
      </c>
      <c r="AG611" s="6" t="str">
        <f aca="false">IFERROR(__xludf.dummyfunction("""COMPUTED_VALUE"""),"入居のしおりの内容についてご確認しました")</f>
        <v>入居のしおりの内容についてご確認しました</v>
      </c>
      <c r="AH611" s="6" t="str">
        <f aca="false">IFERROR(__xludf.dummyfunction("""COMPUTED_VALUE"""),"確認しました")</f>
        <v>確認しました</v>
      </c>
      <c r="AI611" s="6"/>
      <c r="AJ611" s="6" t="str">
        <v/>
      </c>
      <c r="AK611" s="6" t="str">
        <v/>
      </c>
      <c r="AL611" s="6" t="str">
        <v/>
      </c>
      <c r="AM611" s="6" t="str">
        <v/>
      </c>
      <c r="AN611" s="6" t="n">
        <f aca="false">FALSE()</f>
        <v>0</v>
      </c>
    </row>
    <row r="612" customFormat="false" ht="52.5" hidden="false" customHeight="true" outlineLevel="0" collapsed="false">
      <c r="A612" s="6" t="str">
        <f aca="false">IFERROR(__xludf.dummyfunction("""COMPUTED_VALUE"""),"2026/04/23 21:35:39")</f>
        <v>2026/04/23 21:35:39</v>
      </c>
      <c r="B612" s="6"/>
      <c r="C612" s="6" t="str">
        <f aca="false">IFERROR(__xludf.dummyfunction("""COMPUTED_VALUE"""),"72966")</f>
        <v>72966</v>
      </c>
      <c r="D612" s="6"/>
      <c r="E612" s="6"/>
      <c r="F612" s="6"/>
      <c r="G612" s="6" t="str">
        <f aca="false">IFERROR(__xludf.dummyfunction("""COMPUTED_VALUE"""),"2026/05/25")</f>
        <v>2026/05/25</v>
      </c>
      <c r="H612" s="6" t="str">
        <f aca="false">IFERROR(__xludf.dummyfunction("""COMPUTED_VALUE"""),"必要")</f>
        <v>必要</v>
      </c>
      <c r="I612" s="6" t="str">
        <f aca="false">IFERROR(__xludf.dummyfunction("""COMPUTED_VALUE"""),"男性")</f>
        <v>男性</v>
      </c>
      <c r="J612" s="6" t="str">
        <f aca="false">IFERROR(__xludf.dummyfunction("""COMPUTED_VALUE"""),"日本")</f>
        <v>日本</v>
      </c>
      <c r="K612" s="6" t="str">
        <f aca="false">IFERROR(__xludf.dummyfunction("""COMPUTED_VALUE"""),"30")</f>
        <v>30</v>
      </c>
      <c r="L612" s="6" t="str">
        <f aca="false">IFERROR(__xludf.dummyfunction("""COMPUTED_VALUE"""),"洗濯機、冷蔵庫(2ドア)、電子レンジ、TV、パソコン、扇風機、照明2個")</f>
        <v>洗濯機、冷蔵庫(2ドア)、電子レンジ、TV、パソコン、扇風機、照明2個</v>
      </c>
      <c r="M612" s="6" t="str">
        <f aca="false">IFERROR(__xludf.dummyfunction("""COMPUTED_VALUE"""),"ガラス棚(幅42.5×奥行36.5×高さ86cm)、ベット(セミダブル)棚1(幅440×奥行290×高さ1,072mm)棚2(幅67×奥行29×高さ37cm)棚3(幅55×奥行29×高さ85cm)机(幅52×奥行32×高さ27cm)、椅子3脚、収納ケース1(幅37.5×奥行66.3×24.6cm)収納ケース2(幅21×奥行16×高さ32.5cm)")</f>
        <v>ガラス棚(幅42.5×奥行36.5×高さ86cm)、ベット(セミダブル)棚1(幅440×奥行290×高さ1,072mm)棚2(幅67×奥行29×高さ37cm)棚3(幅55×奥行29×高さ85cm)机(幅52×奥行32×高さ27cm)、椅子3脚、収納ケース1(幅37.5×奥行66.3×24.6cm)収納ケース2(幅21×奥行16×高さ32.5cm)</v>
      </c>
      <c r="N612" s="6"/>
      <c r="O612" s="6" t="str">
        <f aca="false">IFERROR(__xludf.dummyfunction("""COMPUTED_VALUE"""),"不要")</f>
        <v>不要</v>
      </c>
      <c r="P612" s="6"/>
      <c r="Q612" s="6"/>
      <c r="R612" s="6"/>
      <c r="S612" s="6" t="str">
        <f aca="false">IFERROR(__xludf.dummyfunction("""COMPUTED_VALUE"""),"家具家電なし社宅")</f>
        <v>家具家電なし社宅</v>
      </c>
      <c r="T612" s="6" t="str">
        <f aca="false">IFERROR(__xludf.dummyfunction("""COMPUTED_VALUE"""),"利用しない")</f>
        <v>利用しない</v>
      </c>
      <c r="U612" s="6"/>
      <c r="V612" s="6" t="str">
        <f aca="false">IFERROR(__xludf.dummyfunction("""COMPUTED_VALUE"""),"徒歩, 最寄駅からシャトルバスが出るとの事なので最寄駅までを徒歩15〜20分圏内にて希望")</f>
        <v>徒歩, 最寄駅からシャトルバスが出るとの事なので最寄駅までを徒歩15〜20分圏内にて希望</v>
      </c>
      <c r="W612" s="6"/>
      <c r="X612" s="6" t="str">
        <f aca="false">IFERROR(__xludf.dummyfunction("""COMPUTED_VALUE"""),"ご自身で契約中の物件")</f>
        <v>ご自身で契約中の物件</v>
      </c>
      <c r="Y612" s="6"/>
      <c r="Z612" s="6" t="str">
        <f aca="false">IFERROR(__xludf.dummyfunction("""COMPUTED_VALUE"""),"希望する")</f>
        <v>希望する</v>
      </c>
      <c r="AA612" s="6" t="str">
        <f aca="false">IFERROR(__xludf.dummyfunction("""COMPUTED_VALUE"""),"単身")</f>
        <v>単身</v>
      </c>
      <c r="AB612" s="6"/>
      <c r="AC612" s="6"/>
      <c r="AD612" s="6"/>
      <c r="AE612" s="6" t="str">
        <f aca="false">IFERROR(__xludf.dummyfunction("""COMPUTED_VALUE"""),"確認しました。")</f>
        <v>確認しました。</v>
      </c>
      <c r="AF612" s="6" t="str">
        <f aca="false">IFERROR(__xludf.dummyfunction("""COMPUTED_VALUE"""),"社宅基準の内容について確認しました")</f>
        <v>社宅基準の内容について確認しました</v>
      </c>
      <c r="AG612" s="6" t="str">
        <f aca="false">IFERROR(__xludf.dummyfunction("""COMPUTED_VALUE"""),"入居のしおりの内容についてご確認しました")</f>
        <v>入居のしおりの内容についてご確認しました</v>
      </c>
      <c r="AH612" s="6" t="str">
        <f aca="false">IFERROR(__xludf.dummyfunction("""COMPUTED_VALUE"""),"確認しました")</f>
        <v>確認しました</v>
      </c>
      <c r="AI612" s="6"/>
      <c r="AJ612" s="6" t="str">
        <v/>
      </c>
      <c r="AK612" s="6" t="str">
        <v/>
      </c>
      <c r="AL612" s="6" t="str">
        <v/>
      </c>
      <c r="AM612" s="6" t="str">
        <v/>
      </c>
      <c r="AN612" s="6" t="n">
        <f aca="false">FALSE()</f>
        <v>0</v>
      </c>
    </row>
    <row r="613" customFormat="false" ht="52.5" hidden="false" customHeight="true" outlineLevel="0" collapsed="false">
      <c r="A613" s="6" t="str">
        <f aca="false">IFERROR(__xludf.dummyfunction("""COMPUTED_VALUE"""),"2026/04/23 22:34:36")</f>
        <v>2026/04/23 22:34:36</v>
      </c>
      <c r="B613" s="6"/>
      <c r="C613" s="6" t="str">
        <f aca="false">IFERROR(__xludf.dummyfunction("""COMPUTED_VALUE"""),"72935")</f>
        <v>72935</v>
      </c>
      <c r="D613" s="6"/>
      <c r="E613" s="6"/>
      <c r="F613" s="6"/>
      <c r="G613" s="6" t="str">
        <f aca="false">IFERROR(__xludf.dummyfunction("""COMPUTED_VALUE"""),"2026/05/11")</f>
        <v>2026/05/11</v>
      </c>
      <c r="H613" s="6" t="str">
        <f aca="false">IFERROR(__xludf.dummyfunction("""COMPUTED_VALUE"""),"不要")</f>
        <v>不要</v>
      </c>
      <c r="I613" s="6" t="str">
        <f aca="false">IFERROR(__xludf.dummyfunction("""COMPUTED_VALUE"""),"男性")</f>
        <v>男性</v>
      </c>
      <c r="J613" s="6" t="str">
        <f aca="false">IFERROR(__xludf.dummyfunction("""COMPUTED_VALUE"""),"日本")</f>
        <v>日本</v>
      </c>
      <c r="K613" s="6"/>
      <c r="L613" s="6"/>
      <c r="M613" s="6"/>
      <c r="N613" s="6"/>
      <c r="O613" s="6" t="str">
        <f aca="false">IFERROR(__xludf.dummyfunction("""COMPUTED_VALUE"""),"必要")</f>
        <v>必要</v>
      </c>
      <c r="P613" s="6" t="str">
        <f aca="false">IFERROR(__xludf.dummyfunction("""COMPUTED_VALUE"""),"ノート")</f>
        <v>ノート</v>
      </c>
      <c r="Q613" s="6" t="str">
        <f aca="false">IFERROR(__xludf.dummyfunction("""COMPUTED_VALUE"""),"そ7868")</f>
        <v>そ7868</v>
      </c>
      <c r="R613" s="6" t="str">
        <f aca="false">IFERROR(__xludf.dummyfunction("""COMPUTED_VALUE"""),"黒")</f>
        <v>黒</v>
      </c>
      <c r="S613" s="6" t="str">
        <f aca="false">IFERROR(__xludf.dummyfunction("""COMPUTED_VALUE"""),"家具家電付き社宅")</f>
        <v>家具家電付き社宅</v>
      </c>
      <c r="T613" s="6" t="str">
        <f aca="false">IFERROR(__xludf.dummyfunction("""COMPUTED_VALUE"""),"利用する")</f>
        <v>利用する</v>
      </c>
      <c r="U613" s="6" t="str">
        <f aca="false">IFERROR(__xludf.dummyfunction("""COMPUTED_VALUE"""),"今は決まってきません")</f>
        <v>今は決まってきません</v>
      </c>
      <c r="V613" s="6" t="str">
        <f aca="false">IFERROR(__xludf.dummyfunction("""COMPUTED_VALUE"""),"自動車")</f>
        <v>自動車</v>
      </c>
      <c r="W613" s="6"/>
      <c r="X613" s="6" t="str">
        <f aca="false">IFERROR(__xludf.dummyfunction("""COMPUTED_VALUE"""),"実家")</f>
        <v>実家</v>
      </c>
      <c r="Y613" s="6"/>
      <c r="Z613" s="6" t="str">
        <f aca="false">IFERROR(__xludf.dummyfunction("""COMPUTED_VALUE"""),"希望する")</f>
        <v>希望する</v>
      </c>
      <c r="AA613" s="6" t="str">
        <f aca="false">IFERROR(__xludf.dummyfunction("""COMPUTED_VALUE"""),"単身")</f>
        <v>単身</v>
      </c>
      <c r="AB613" s="6"/>
      <c r="AC613" s="6"/>
      <c r="AD613" s="6"/>
      <c r="AE613" s="6" t="str">
        <f aca="false">IFERROR(__xludf.dummyfunction("""COMPUTED_VALUE"""),"確認しました。")</f>
        <v>確認しました。</v>
      </c>
      <c r="AF613" s="6" t="str">
        <f aca="false">IFERROR(__xludf.dummyfunction("""COMPUTED_VALUE"""),"社宅基準の内容について確認しました")</f>
        <v>社宅基準の内容について確認しました</v>
      </c>
      <c r="AG613" s="6" t="str">
        <f aca="false">IFERROR(__xludf.dummyfunction("""COMPUTED_VALUE"""),"入居のしおりの内容についてご確認しました")</f>
        <v>入居のしおりの内容についてご確認しました</v>
      </c>
      <c r="AH613" s="6" t="str">
        <f aca="false">IFERROR(__xludf.dummyfunction("""COMPUTED_VALUE"""),"確認しました")</f>
        <v>確認しました</v>
      </c>
      <c r="AI613" s="6"/>
      <c r="AJ613" s="6" t="str">
        <v/>
      </c>
      <c r="AK613" s="6" t="str">
        <v/>
      </c>
      <c r="AL613" s="6" t="str">
        <v/>
      </c>
      <c r="AM613" s="6" t="str">
        <v/>
      </c>
      <c r="AN613" s="6" t="n">
        <f aca="false">FALSE()</f>
        <v>0</v>
      </c>
    </row>
    <row r="614" customFormat="false" ht="52.5" hidden="false" customHeight="true" outlineLevel="0" collapsed="false">
      <c r="A614" s="6" t="str">
        <f aca="false">IFERROR(__xludf.dummyfunction("""COMPUTED_VALUE"""),"2026/04/24 8:48:17")</f>
        <v>2026/04/24 8:48:17</v>
      </c>
      <c r="B614" s="6"/>
      <c r="C614" s="6" t="str">
        <f aca="false">IFERROR(__xludf.dummyfunction("""COMPUTED_VALUE"""),"72853")</f>
        <v>72853</v>
      </c>
      <c r="D614" s="6"/>
      <c r="E614" s="6"/>
      <c r="F614" s="6"/>
      <c r="G614" s="6" t="str">
        <f aca="false">IFERROR(__xludf.dummyfunction("""COMPUTED_VALUE"""),"2026/05/31")</f>
        <v>2026/05/31</v>
      </c>
      <c r="H614" s="6" t="str">
        <f aca="false">IFERROR(__xludf.dummyfunction("""COMPUTED_VALUE"""),"必要")</f>
        <v>必要</v>
      </c>
      <c r="I614" s="6" t="str">
        <f aca="false">IFERROR(__xludf.dummyfunction("""COMPUTED_VALUE"""),"男性")</f>
        <v>男性</v>
      </c>
      <c r="J614" s="6" t="str">
        <f aca="false">IFERROR(__xludf.dummyfunction("""COMPUTED_VALUE"""),"日本")</f>
        <v>日本</v>
      </c>
      <c r="K614" s="6" t="str">
        <f aca="false">IFERROR(__xludf.dummyfunction("""COMPUTED_VALUE"""),"7")</f>
        <v>7</v>
      </c>
      <c r="L614" s="6" t="str">
        <f aca="false">IFERROR(__xludf.dummyfunction("""COMPUTED_VALUE"""),"冷蔵庫、電子レンジ、洗濯機、炊飯器、テレビ")</f>
        <v>冷蔵庫、電子レンジ、洗濯機、炊飯器、テレビ</v>
      </c>
      <c r="M614" s="6" t="str">
        <f aca="false">IFERROR(__xludf.dummyfunction("""COMPUTED_VALUE"""),"テーブル、折りたたみ椅子、本棚、衣類棚")</f>
        <v>テーブル、折りたたみ椅子、本棚、衣類棚</v>
      </c>
      <c r="N614" s="6" t="str">
        <f aca="false">IFERROR(__xludf.dummyfunction("""COMPUTED_VALUE"""),"ギター、125ccバイク、フィギュア")</f>
        <v>ギター、125ccバイク、フィギュア</v>
      </c>
      <c r="O614" s="6" t="str">
        <f aca="false">IFERROR(__xludf.dummyfunction("""COMPUTED_VALUE"""),"不要")</f>
        <v>不要</v>
      </c>
      <c r="P614" s="6"/>
      <c r="Q614" s="6"/>
      <c r="R614" s="6"/>
      <c r="S614" s="6" t="str">
        <f aca="false">IFERROR(__xludf.dummyfunction("""COMPUTED_VALUE"""),"家具家電なし社宅")</f>
        <v>家具家電なし社宅</v>
      </c>
      <c r="T614" s="6" t="str">
        <f aca="false">IFERROR(__xludf.dummyfunction("""COMPUTED_VALUE"""),"利用しない")</f>
        <v>利用しない</v>
      </c>
      <c r="U614" s="6"/>
      <c r="V614" s="6" t="str">
        <f aca="false">IFERROR(__xludf.dummyfunction("""COMPUTED_VALUE"""),"徒歩, 自転車")</f>
        <v>徒歩, 自転車</v>
      </c>
      <c r="W614" s="6"/>
      <c r="X614" s="6" t="str">
        <f aca="false">IFERROR(__xludf.dummyfunction("""COMPUTED_VALUE"""),"ご自身で契約中の物件")</f>
        <v>ご自身で契約中の物件</v>
      </c>
      <c r="Y614" s="6"/>
      <c r="Z614" s="6" t="str">
        <f aca="false">IFERROR(__xludf.dummyfunction("""COMPUTED_VALUE"""),"希望する")</f>
        <v>希望する</v>
      </c>
      <c r="AA614" s="6" t="str">
        <f aca="false">IFERROR(__xludf.dummyfunction("""COMPUTED_VALUE"""),"単身")</f>
        <v>単身</v>
      </c>
      <c r="AB614" s="6"/>
      <c r="AC614" s="6"/>
      <c r="AD614" s="6" t="str">
        <f aca="false">IFERROR(__xludf.dummyfunction("""COMPUTED_VALUE"""),"風呂トイレ別、バイク置き場あり、専有面積20m²以上")</f>
        <v>風呂トイレ別、バイク置き場あり、専有面積20m²以上</v>
      </c>
      <c r="AE614" s="6" t="str">
        <f aca="false">IFERROR(__xludf.dummyfunction("""COMPUTED_VALUE"""),"確認しました。")</f>
        <v>確認しました。</v>
      </c>
      <c r="AF614" s="6" t="str">
        <f aca="false">IFERROR(__xludf.dummyfunction("""COMPUTED_VALUE"""),"社宅基準の内容について確認しました")</f>
        <v>社宅基準の内容について確認しました</v>
      </c>
      <c r="AG614" s="6" t="str">
        <f aca="false">IFERROR(__xludf.dummyfunction("""COMPUTED_VALUE"""),"入居のしおりの内容についてご確認しました")</f>
        <v>入居のしおりの内容についてご確認しました</v>
      </c>
      <c r="AH614" s="6" t="str">
        <f aca="false">IFERROR(__xludf.dummyfunction("""COMPUTED_VALUE"""),"確認しました")</f>
        <v>確認しました</v>
      </c>
      <c r="AI614" s="6"/>
      <c r="AJ614" s="6" t="str">
        <v/>
      </c>
      <c r="AK614" s="6" t="str">
        <v/>
      </c>
      <c r="AL614" s="6" t="str">
        <v/>
      </c>
      <c r="AM614" s="6" t="str">
        <v/>
      </c>
      <c r="AN614" s="6" t="n">
        <f aca="false">FALSE()</f>
        <v>0</v>
      </c>
    </row>
    <row r="615" customFormat="false" ht="52.5" hidden="false" customHeight="true" outlineLevel="0" collapsed="false">
      <c r="A615" s="6" t="str">
        <f aca="false">IFERROR(__xludf.dummyfunction("""COMPUTED_VALUE"""),"2026/04/24 9:40:13")</f>
        <v>2026/04/24 9:40:13</v>
      </c>
      <c r="B615" s="6"/>
      <c r="C615" s="6" t="str">
        <f aca="false">IFERROR(__xludf.dummyfunction("""COMPUTED_VALUE"""),"72934")</f>
        <v>72934</v>
      </c>
      <c r="D615" s="6"/>
      <c r="E615" s="6"/>
      <c r="F615" s="6"/>
      <c r="G615" s="6" t="str">
        <f aca="false">IFERROR(__xludf.dummyfunction("""COMPUTED_VALUE"""),"2026/05/11")</f>
        <v>2026/05/11</v>
      </c>
      <c r="H615" s="6" t="str">
        <f aca="false">IFERROR(__xludf.dummyfunction("""COMPUTED_VALUE"""),"必要")</f>
        <v>必要</v>
      </c>
      <c r="I615" s="6" t="str">
        <f aca="false">IFERROR(__xludf.dummyfunction("""COMPUTED_VALUE"""),"男性")</f>
        <v>男性</v>
      </c>
      <c r="J615" s="6" t="str">
        <f aca="false">IFERROR(__xludf.dummyfunction("""COMPUTED_VALUE"""),"日本")</f>
        <v>日本</v>
      </c>
      <c r="K615" s="6" t="str">
        <f aca="false">IFERROR(__xludf.dummyfunction("""COMPUTED_VALUE"""),"20")</f>
        <v>20</v>
      </c>
      <c r="L615" s="6" t="str">
        <f aca="false">IFERROR(__xludf.dummyfunction("""COMPUTED_VALUE"""),"冷蔵庫（2ドア）：レンタル品　洗濯機１層式：レンタル品　電子レンジ：レンタル品　掃除機：レンタル品　PC　")</f>
        <v>冷蔵庫（2ドア）：レンタル品　洗濯機１層式：レンタル品　電子レンジ：レンタル品　掃除機：レンタル品　PC　</v>
      </c>
      <c r="M615" s="6" t="str">
        <f aca="false">IFERROR(__xludf.dummyfunction("""COMPUTED_VALUE"""),"机（1300x800x740） ベッド（セミダブル：引っ越し時には分解します）　棚x２60×40×180（鉄製）　60×30×125（プラスチック製）")</f>
        <v>机（1300x800x740） ベッド（セミダブル：引っ越し時には分解します）　棚x２60×40×180（鉄製）　60×30×125（プラスチック製）</v>
      </c>
      <c r="N615" s="6" t="str">
        <f aca="false">IFERROR(__xludf.dummyfunction("""COMPUTED_VALUE"""),"原付バイク")</f>
        <v>原付バイク</v>
      </c>
      <c r="O615" s="6" t="str">
        <f aca="false">IFERROR(__xludf.dummyfunction("""COMPUTED_VALUE"""),"不要")</f>
        <v>不要</v>
      </c>
      <c r="P615" s="6"/>
      <c r="Q615" s="6"/>
      <c r="R615" s="6"/>
      <c r="S615" s="6" t="str">
        <f aca="false">IFERROR(__xludf.dummyfunction("""COMPUTED_VALUE"""),"家具家電なし社宅")</f>
        <v>家具家電なし社宅</v>
      </c>
      <c r="T615" s="6" t="str">
        <f aca="false">IFERROR(__xludf.dummyfunction("""COMPUTED_VALUE"""),"利用する")</f>
        <v>利用する</v>
      </c>
      <c r="U615" s="6" t="str">
        <f aca="false">IFERROR(__xludf.dummyfunction("""COMPUTED_VALUE"""),"引き続き４点使用（追加なし）")</f>
        <v>引き続き４点使用（追加なし）</v>
      </c>
      <c r="V615" s="6" t="str">
        <f aca="false">IFERROR(__xludf.dummyfunction("""COMPUTED_VALUE"""),"徒歩")</f>
        <v>徒歩</v>
      </c>
      <c r="W615" s="6"/>
      <c r="X615" s="6" t="str">
        <f aca="false">IFERROR(__xludf.dummyfunction("""COMPUTED_VALUE"""),"株式会社オープンアップネクストエンジニア様の社宅")</f>
        <v>株式会社オープンアップネクストエンジニア様の社宅</v>
      </c>
      <c r="Y615" s="6" t="str">
        <f aca="false">IFERROR(__xludf.dummyfunction("""COMPUTED_VALUE"""),"新社宅へ引継ぎ希望（利用中）")</f>
        <v>新社宅へ引継ぎ希望（利用中）</v>
      </c>
      <c r="Z615" s="6" t="str">
        <f aca="false">IFERROR(__xludf.dummyfunction("""COMPUTED_VALUE"""),"希望する")</f>
        <v>希望する</v>
      </c>
      <c r="AA615" s="6" t="str">
        <f aca="false">IFERROR(__xludf.dummyfunction("""COMPUTED_VALUE"""),"単身")</f>
        <v>単身</v>
      </c>
      <c r="AB615" s="6"/>
      <c r="AC615" s="6"/>
      <c r="AD615" s="6" t="str">
        <f aca="false">IFERROR(__xludf.dummyfunction("""COMPUTED_VALUE"""),"できればインターネット無料回線なしの物件（あってもOK）")</f>
        <v>できればインターネット無料回線なしの物件（あってもOK）</v>
      </c>
      <c r="AE615" s="6" t="str">
        <f aca="false">IFERROR(__xludf.dummyfunction("""COMPUTED_VALUE"""),"確認しました。")</f>
        <v>確認しました。</v>
      </c>
      <c r="AF615" s="6" t="str">
        <f aca="false">IFERROR(__xludf.dummyfunction("""COMPUTED_VALUE"""),"社宅基準の内容について確認しました")</f>
        <v>社宅基準の内容について確認しました</v>
      </c>
      <c r="AG615" s="6" t="str">
        <f aca="false">IFERROR(__xludf.dummyfunction("""COMPUTED_VALUE"""),"入居のしおりの内容についてご確認しました")</f>
        <v>入居のしおりの内容についてご確認しました</v>
      </c>
      <c r="AH615" s="6" t="str">
        <f aca="false">IFERROR(__xludf.dummyfunction("""COMPUTED_VALUE"""),"確認しました")</f>
        <v>確認しました</v>
      </c>
      <c r="AI615" s="6"/>
      <c r="AJ615" s="6" t="str">
        <v/>
      </c>
      <c r="AK615" s="6" t="str">
        <v/>
      </c>
      <c r="AL615" s="6" t="str">
        <v/>
      </c>
      <c r="AM615" s="6" t="str">
        <v/>
      </c>
      <c r="AN615" s="6" t="n">
        <f aca="false">FALSE()</f>
        <v>0</v>
      </c>
    </row>
    <row r="616" customFormat="false" ht="52.5" hidden="false" customHeight="true" outlineLevel="0" collapsed="false">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t="str">
        <v/>
      </c>
      <c r="AK616" s="6" t="str">
        <v/>
      </c>
      <c r="AL616" s="6" t="str">
        <v/>
      </c>
      <c r="AM616" s="6" t="str">
        <v/>
      </c>
      <c r="AN616" s="6" t="n">
        <f aca="false">FALSE()</f>
        <v>0</v>
      </c>
    </row>
    <row r="617" customFormat="false" ht="52.5" hidden="false" customHeight="true" outlineLevel="0" collapsed="false">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t="str">
        <v/>
      </c>
      <c r="AK617" s="6" t="str">
        <v/>
      </c>
      <c r="AL617" s="6" t="str">
        <v/>
      </c>
      <c r="AM617" s="6" t="str">
        <v/>
      </c>
      <c r="AN617" s="6" t="n">
        <f aca="false">FALSE()</f>
        <v>0</v>
      </c>
    </row>
    <row r="618" customFormat="false" ht="52.5" hidden="false" customHeight="true" outlineLevel="0" collapsed="false">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t="str">
        <v/>
      </c>
      <c r="AK618" s="6" t="str">
        <v/>
      </c>
      <c r="AL618" s="6" t="str">
        <v/>
      </c>
      <c r="AM618" s="6" t="str">
        <v/>
      </c>
      <c r="AN618" s="6" t="n">
        <f aca="false">FALSE()</f>
        <v>0</v>
      </c>
    </row>
    <row r="619" customFormat="false" ht="52.5" hidden="false" customHeight="true" outlineLevel="0" collapsed="false">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t="str">
        <v/>
      </c>
      <c r="AK619" s="6" t="str">
        <v/>
      </c>
      <c r="AL619" s="6" t="str">
        <v/>
      </c>
      <c r="AM619" s="6" t="str">
        <v/>
      </c>
      <c r="AN619" s="6" t="n">
        <f aca="false">FALSE()</f>
        <v>0</v>
      </c>
    </row>
    <row r="620" customFormat="false" ht="52.5" hidden="false" customHeight="true" outlineLevel="0" collapsed="false">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t="str">
        <v/>
      </c>
      <c r="AK620" s="6" t="str">
        <v/>
      </c>
      <c r="AL620" s="6" t="str">
        <v/>
      </c>
      <c r="AM620" s="6" t="str">
        <v/>
      </c>
      <c r="AN620" s="6" t="n">
        <f aca="false">FALSE()</f>
        <v>0</v>
      </c>
    </row>
    <row r="621" customFormat="false" ht="52.5" hidden="false" customHeight="true" outlineLevel="0" collapsed="false">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t="str">
        <v/>
      </c>
      <c r="AK621" s="6" t="str">
        <v/>
      </c>
      <c r="AL621" s="6" t="str">
        <v/>
      </c>
      <c r="AM621" s="6" t="str">
        <v/>
      </c>
      <c r="AN621" s="6" t="n">
        <f aca="false">FALSE()</f>
        <v>0</v>
      </c>
    </row>
    <row r="622" customFormat="false" ht="52.5" hidden="false" customHeight="true" outlineLevel="0" collapsed="false">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t="str">
        <v/>
      </c>
      <c r="AK622" s="6" t="str">
        <v/>
      </c>
      <c r="AL622" s="6" t="str">
        <v/>
      </c>
      <c r="AM622" s="6" t="str">
        <v/>
      </c>
      <c r="AN622" s="6" t="n">
        <f aca="false">FALSE()</f>
        <v>0</v>
      </c>
    </row>
    <row r="623" customFormat="false" ht="52.5" hidden="false" customHeight="true" outlineLevel="0" collapsed="false">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t="str">
        <v/>
      </c>
      <c r="AK623" s="6" t="str">
        <v/>
      </c>
      <c r="AL623" s="6" t="str">
        <v/>
      </c>
      <c r="AM623" s="6" t="str">
        <v/>
      </c>
      <c r="AN623" s="6" t="n">
        <f aca="false">FALSE()</f>
        <v>0</v>
      </c>
    </row>
    <row r="624" customFormat="false" ht="52.5" hidden="false" customHeight="true" outlineLevel="0" collapsed="false">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t="str">
        <v/>
      </c>
      <c r="AK624" s="6" t="str">
        <v/>
      </c>
      <c r="AL624" s="6" t="str">
        <v/>
      </c>
      <c r="AM624" s="6" t="str">
        <v/>
      </c>
      <c r="AN624" s="6" t="n">
        <f aca="false">FALSE()</f>
        <v>0</v>
      </c>
    </row>
    <row r="625" customFormat="false" ht="52.5" hidden="false" customHeight="true" outlineLevel="0" collapsed="false">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t="str">
        <v/>
      </c>
      <c r="AK625" s="6" t="str">
        <v/>
      </c>
      <c r="AL625" s="6" t="str">
        <v/>
      </c>
      <c r="AM625" s="6" t="str">
        <v/>
      </c>
      <c r="AN625" s="6" t="n">
        <f aca="false">FALSE()</f>
        <v>0</v>
      </c>
    </row>
    <row r="626" customFormat="false" ht="52.5" hidden="false" customHeight="true" outlineLevel="0" collapsed="false">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t="str">
        <v/>
      </c>
      <c r="AK626" s="6" t="str">
        <v/>
      </c>
      <c r="AL626" s="6" t="str">
        <v/>
      </c>
      <c r="AM626" s="6" t="str">
        <v/>
      </c>
      <c r="AN626" s="6" t="n">
        <f aca="false">FALSE()</f>
        <v>0</v>
      </c>
    </row>
    <row r="627" customFormat="false" ht="52.5" hidden="false" customHeight="true" outlineLevel="0" collapsed="false">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t="str">
        <v/>
      </c>
      <c r="AK627" s="6" t="str">
        <v/>
      </c>
      <c r="AL627" s="6" t="str">
        <v/>
      </c>
      <c r="AM627" s="6" t="str">
        <v/>
      </c>
      <c r="AN627" s="6" t="n">
        <f aca="false">FALSE()</f>
        <v>0</v>
      </c>
    </row>
    <row r="628" customFormat="false" ht="52.5" hidden="false" customHeight="true" outlineLevel="0" collapsed="false">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t="str">
        <v/>
      </c>
      <c r="AK628" s="6" t="str">
        <v/>
      </c>
      <c r="AL628" s="6" t="str">
        <v/>
      </c>
      <c r="AM628" s="6" t="str">
        <v/>
      </c>
      <c r="AN628" s="6" t="n">
        <f aca="false">FALSE()</f>
        <v>0</v>
      </c>
    </row>
    <row r="629" customFormat="false" ht="52.5" hidden="false" customHeight="true" outlineLevel="0" collapsed="false">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t="str">
        <v/>
      </c>
      <c r="AK629" s="6" t="str">
        <v/>
      </c>
      <c r="AL629" s="6" t="str">
        <v/>
      </c>
      <c r="AM629" s="6" t="str">
        <v/>
      </c>
      <c r="AN629" s="6" t="n">
        <f aca="false">FALSE()</f>
        <v>0</v>
      </c>
    </row>
    <row r="630" customFormat="false" ht="52.5" hidden="false" customHeight="true" outlineLevel="0" collapsed="false">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t="str">
        <v/>
      </c>
      <c r="AK630" s="6" t="str">
        <v/>
      </c>
      <c r="AL630" s="6" t="str">
        <v/>
      </c>
      <c r="AM630" s="6" t="str">
        <v/>
      </c>
      <c r="AN630" s="6" t="n">
        <f aca="false">FALSE()</f>
        <v>0</v>
      </c>
    </row>
    <row r="631" customFormat="false" ht="52.5" hidden="false" customHeight="true" outlineLevel="0" collapsed="false">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t="str">
        <v/>
      </c>
      <c r="AK631" s="6" t="str">
        <v/>
      </c>
      <c r="AL631" s="6" t="str">
        <v/>
      </c>
      <c r="AM631" s="6" t="str">
        <v/>
      </c>
      <c r="AN631" s="6" t="n">
        <f aca="false">FALSE()</f>
        <v>0</v>
      </c>
    </row>
    <row r="632" customFormat="false" ht="52.5" hidden="false" customHeight="true" outlineLevel="0" collapsed="false">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t="str">
        <v/>
      </c>
      <c r="AK632" s="6" t="str">
        <v/>
      </c>
      <c r="AL632" s="6" t="str">
        <v/>
      </c>
      <c r="AM632" s="6" t="str">
        <v/>
      </c>
      <c r="AN632" s="6" t="n">
        <f aca="false">FALSE()</f>
        <v>0</v>
      </c>
    </row>
    <row r="633" customFormat="false" ht="52.5" hidden="false" customHeight="true" outlineLevel="0" collapsed="false">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t="str">
        <v/>
      </c>
      <c r="AK633" s="6" t="str">
        <v/>
      </c>
      <c r="AL633" s="6" t="str">
        <v/>
      </c>
      <c r="AM633" s="6" t="str">
        <v/>
      </c>
      <c r="AN633" s="6" t="n">
        <f aca="false">FALSE()</f>
        <v>0</v>
      </c>
    </row>
    <row r="634" customFormat="false" ht="52.5" hidden="false" customHeight="true" outlineLevel="0" collapsed="false">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t="str">
        <v/>
      </c>
      <c r="AK634" s="6" t="str">
        <v/>
      </c>
      <c r="AL634" s="6" t="str">
        <v/>
      </c>
      <c r="AM634" s="6" t="str">
        <v/>
      </c>
      <c r="AN634" s="6" t="n">
        <f aca="false">FALSE()</f>
        <v>0</v>
      </c>
    </row>
    <row r="635" customFormat="false" ht="52.5" hidden="false" customHeight="true" outlineLevel="0" collapsed="false">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t="str">
        <v/>
      </c>
      <c r="AK635" s="6" t="str">
        <v/>
      </c>
      <c r="AL635" s="6" t="str">
        <v/>
      </c>
      <c r="AM635" s="6" t="str">
        <v/>
      </c>
      <c r="AN635" s="6" t="n">
        <f aca="false">FALSE()</f>
        <v>0</v>
      </c>
    </row>
    <row r="636" customFormat="false" ht="52.5" hidden="false" customHeight="true" outlineLevel="0" collapsed="false">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t="str">
        <v/>
      </c>
      <c r="AK636" s="6" t="str">
        <v/>
      </c>
      <c r="AL636" s="6" t="str">
        <v/>
      </c>
      <c r="AM636" s="6" t="str">
        <v/>
      </c>
      <c r="AN636" s="6" t="n">
        <f aca="false">FALSE()</f>
        <v>0</v>
      </c>
    </row>
    <row r="637" customFormat="false" ht="52.5" hidden="false" customHeight="true" outlineLevel="0" collapsed="false">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t="str">
        <v/>
      </c>
      <c r="AK637" s="6" t="str">
        <v/>
      </c>
      <c r="AL637" s="6" t="str">
        <v/>
      </c>
      <c r="AM637" s="6" t="str">
        <v/>
      </c>
      <c r="AN637" s="6" t="n">
        <f aca="false">FALSE()</f>
        <v>0</v>
      </c>
    </row>
    <row r="638" customFormat="false" ht="52.5" hidden="false" customHeight="true" outlineLevel="0" collapsed="false">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t="str">
        <v/>
      </c>
      <c r="AK638" s="6" t="str">
        <v/>
      </c>
      <c r="AL638" s="6" t="str">
        <v/>
      </c>
      <c r="AM638" s="6" t="str">
        <v/>
      </c>
      <c r="AN638" s="6" t="n">
        <f aca="false">FALSE()</f>
        <v>0</v>
      </c>
    </row>
    <row r="639" customFormat="false" ht="52.5" hidden="false" customHeight="true" outlineLevel="0" collapsed="false">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t="str">
        <v/>
      </c>
      <c r="AK639" s="6" t="str">
        <v/>
      </c>
      <c r="AL639" s="6" t="str">
        <v/>
      </c>
      <c r="AM639" s="6" t="str">
        <v/>
      </c>
      <c r="AN639" s="6" t="n">
        <f aca="false">FALSE()</f>
        <v>0</v>
      </c>
    </row>
    <row r="640" customFormat="false" ht="52.5" hidden="false" customHeight="true" outlineLevel="0" collapsed="false">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t="str">
        <v/>
      </c>
      <c r="AK640" s="6" t="str">
        <v/>
      </c>
      <c r="AL640" s="6" t="str">
        <v/>
      </c>
      <c r="AM640" s="6" t="str">
        <v/>
      </c>
      <c r="AN640" s="6" t="n">
        <f aca="false">FALSE()</f>
        <v>0</v>
      </c>
    </row>
    <row r="641" customFormat="false" ht="52.5" hidden="false" customHeight="true" outlineLevel="0" collapsed="false">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t="str">
        <v/>
      </c>
      <c r="AK641" s="6" t="str">
        <v/>
      </c>
      <c r="AL641" s="6" t="str">
        <v/>
      </c>
      <c r="AM641" s="6" t="str">
        <v/>
      </c>
      <c r="AN641" s="6" t="n">
        <f aca="false">FALSE()</f>
        <v>0</v>
      </c>
    </row>
    <row r="642" customFormat="false" ht="52.5" hidden="false" customHeight="true" outlineLevel="0" collapsed="false">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t="str">
        <v/>
      </c>
      <c r="AK642" s="6" t="str">
        <v/>
      </c>
      <c r="AL642" s="6" t="str">
        <v/>
      </c>
      <c r="AM642" s="6" t="str">
        <v/>
      </c>
      <c r="AN642" s="6" t="n">
        <f aca="false">FALSE()</f>
        <v>0</v>
      </c>
    </row>
    <row r="643" customFormat="false" ht="52.5" hidden="false" customHeight="true" outlineLevel="0" collapsed="false">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t="str">
        <v/>
      </c>
      <c r="AK643" s="6" t="str">
        <v/>
      </c>
      <c r="AL643" s="6" t="str">
        <v/>
      </c>
      <c r="AM643" s="6" t="str">
        <v/>
      </c>
      <c r="AN643" s="6" t="n">
        <f aca="false">FALSE()</f>
        <v>0</v>
      </c>
    </row>
    <row r="644" customFormat="false" ht="52.5" hidden="false" customHeight="true" outlineLevel="0" collapsed="false">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t="str">
        <v/>
      </c>
      <c r="AK644" s="6" t="str">
        <v/>
      </c>
      <c r="AL644" s="6" t="str">
        <v/>
      </c>
      <c r="AM644" s="6" t="str">
        <v/>
      </c>
      <c r="AN644" s="6" t="n">
        <f aca="false">FALSE()</f>
        <v>0</v>
      </c>
    </row>
    <row r="645" customFormat="false" ht="52.5" hidden="false" customHeight="true" outlineLevel="0" collapsed="false">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t="str">
        <v/>
      </c>
      <c r="AK645" s="6" t="str">
        <v/>
      </c>
      <c r="AL645" s="6" t="str">
        <v/>
      </c>
      <c r="AM645" s="6" t="str">
        <v/>
      </c>
      <c r="AN645" s="6" t="n">
        <f aca="false">FALSE()</f>
        <v>0</v>
      </c>
    </row>
    <row r="646" customFormat="false" ht="52.5" hidden="false" customHeight="true" outlineLevel="0" collapsed="false">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t="str">
        <v/>
      </c>
      <c r="AK646" s="6" t="str">
        <v/>
      </c>
      <c r="AL646" s="6" t="str">
        <v/>
      </c>
      <c r="AM646" s="6" t="str">
        <v/>
      </c>
      <c r="AN646" s="6" t="n">
        <f aca="false">FALSE()</f>
        <v>0</v>
      </c>
    </row>
    <row r="647" customFormat="false" ht="52.5" hidden="false" customHeight="true" outlineLevel="0" collapsed="false">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t="str">
        <v/>
      </c>
      <c r="AK647" s="6" t="str">
        <v/>
      </c>
      <c r="AL647" s="6" t="str">
        <v/>
      </c>
      <c r="AM647" s="6" t="str">
        <v/>
      </c>
      <c r="AN647" s="6" t="n">
        <f aca="false">FALSE()</f>
        <v>0</v>
      </c>
    </row>
    <row r="648" customFormat="false" ht="52.5" hidden="false" customHeight="true" outlineLevel="0" collapsed="false">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t="str">
        <v/>
      </c>
      <c r="AK648" s="6" t="str">
        <v/>
      </c>
      <c r="AL648" s="6" t="str">
        <v/>
      </c>
      <c r="AM648" s="6" t="str">
        <v/>
      </c>
      <c r="AN648" s="6" t="n">
        <f aca="false">FALSE()</f>
        <v>0</v>
      </c>
    </row>
    <row r="649" customFormat="false" ht="52.5" hidden="false" customHeight="true" outlineLevel="0" collapsed="false">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t="str">
        <v/>
      </c>
      <c r="AK649" s="6" t="str">
        <v/>
      </c>
      <c r="AL649" s="6" t="str">
        <v/>
      </c>
      <c r="AM649" s="6" t="str">
        <v/>
      </c>
      <c r="AN649" s="6" t="n">
        <f aca="false">FALSE()</f>
        <v>0</v>
      </c>
    </row>
    <row r="650" customFormat="false" ht="52.5" hidden="false" customHeight="true" outlineLevel="0" collapsed="false">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t="str">
        <v/>
      </c>
      <c r="AK650" s="6" t="str">
        <v/>
      </c>
      <c r="AL650" s="6" t="str">
        <v/>
      </c>
      <c r="AM650" s="6" t="str">
        <v/>
      </c>
      <c r="AN650" s="6" t="n">
        <f aca="false">FALSE()</f>
        <v>0</v>
      </c>
    </row>
    <row r="651" customFormat="false" ht="52.5" hidden="false" customHeight="true" outlineLevel="0" collapsed="false">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t="str">
        <v/>
      </c>
      <c r="AK651" s="6" t="str">
        <v/>
      </c>
      <c r="AL651" s="6" t="str">
        <v/>
      </c>
      <c r="AM651" s="6" t="str">
        <v/>
      </c>
      <c r="AN651" s="6" t="n">
        <f aca="false">FALSE()</f>
        <v>0</v>
      </c>
    </row>
    <row r="652" customFormat="false" ht="52.5" hidden="false" customHeight="true" outlineLevel="0" collapsed="false">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t="str">
        <v/>
      </c>
      <c r="AK652" s="6" t="str">
        <v/>
      </c>
      <c r="AL652" s="6" t="str">
        <v/>
      </c>
      <c r="AM652" s="6" t="str">
        <v/>
      </c>
      <c r="AN652" s="6" t="n">
        <f aca="false">FALSE()</f>
        <v>0</v>
      </c>
    </row>
    <row r="653" customFormat="false" ht="52.5" hidden="false" customHeight="true" outlineLevel="0" collapsed="false">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t="str">
        <v/>
      </c>
      <c r="AK653" s="6" t="str">
        <v/>
      </c>
      <c r="AL653" s="6" t="str">
        <v/>
      </c>
      <c r="AM653" s="6" t="str">
        <v/>
      </c>
      <c r="AN653" s="6" t="n">
        <f aca="false">FALSE()</f>
        <v>0</v>
      </c>
    </row>
    <row r="654" customFormat="false" ht="52.5" hidden="false" customHeight="true" outlineLevel="0" collapsed="false">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t="str">
        <v/>
      </c>
      <c r="AK654" s="6" t="str">
        <v/>
      </c>
      <c r="AL654" s="6" t="str">
        <v/>
      </c>
      <c r="AM654" s="6" t="str">
        <v/>
      </c>
      <c r="AN654" s="6" t="n">
        <f aca="false">FALSE()</f>
        <v>0</v>
      </c>
    </row>
    <row r="655" customFormat="false" ht="52.5" hidden="false" customHeight="true" outlineLevel="0" collapsed="false">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t="str">
        <v/>
      </c>
      <c r="AK655" s="6" t="str">
        <v/>
      </c>
      <c r="AL655" s="6" t="str">
        <v/>
      </c>
      <c r="AM655" s="6" t="str">
        <v/>
      </c>
      <c r="AN655" s="6" t="n">
        <f aca="false">FALSE()</f>
        <v>0</v>
      </c>
    </row>
    <row r="656" customFormat="false" ht="52.5" hidden="false" customHeight="true" outlineLevel="0" collapsed="false">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t="str">
        <v/>
      </c>
      <c r="AK656" s="6" t="str">
        <v/>
      </c>
      <c r="AL656" s="6" t="str">
        <v/>
      </c>
      <c r="AM656" s="6" t="str">
        <v/>
      </c>
      <c r="AN656" s="6" t="n">
        <f aca="false">FALSE()</f>
        <v>0</v>
      </c>
    </row>
    <row r="657" customFormat="false" ht="52.5" hidden="false" customHeight="true" outlineLevel="0" collapsed="false">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t="str">
        <v/>
      </c>
      <c r="AK657" s="6" t="str">
        <v/>
      </c>
      <c r="AL657" s="6" t="str">
        <v/>
      </c>
      <c r="AM657" s="6" t="str">
        <v/>
      </c>
      <c r="AN657" s="6" t="n">
        <f aca="false">FALSE()</f>
        <v>0</v>
      </c>
    </row>
    <row r="658" customFormat="false" ht="52.5" hidden="false" customHeight="true" outlineLevel="0" collapsed="false">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t="str">
        <v/>
      </c>
      <c r="AK658" s="6" t="str">
        <v/>
      </c>
      <c r="AL658" s="6" t="str">
        <v/>
      </c>
      <c r="AM658" s="6" t="str">
        <v/>
      </c>
      <c r="AN658" s="6" t="n">
        <f aca="false">FALSE()</f>
        <v>0</v>
      </c>
    </row>
    <row r="659" customFormat="false" ht="52.5" hidden="false" customHeight="true" outlineLevel="0" collapsed="false">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t="str">
        <v/>
      </c>
      <c r="AK659" s="6" t="str">
        <v/>
      </c>
      <c r="AL659" s="6" t="str">
        <v/>
      </c>
      <c r="AM659" s="6" t="str">
        <v/>
      </c>
      <c r="AN659" s="6" t="n">
        <f aca="false">FALSE()</f>
        <v>0</v>
      </c>
    </row>
    <row r="660" customFormat="false" ht="52.5" hidden="false" customHeight="true" outlineLevel="0" collapsed="false">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t="str">
        <v/>
      </c>
      <c r="AK660" s="6" t="str">
        <v/>
      </c>
      <c r="AL660" s="6" t="str">
        <v/>
      </c>
      <c r="AM660" s="6" t="str">
        <v/>
      </c>
      <c r="AN660" s="6" t="n">
        <f aca="false">FALSE()</f>
        <v>0</v>
      </c>
    </row>
    <row r="661" customFormat="false" ht="52.5" hidden="false" customHeight="true" outlineLevel="0" collapsed="false">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t="str">
        <v/>
      </c>
      <c r="AK661" s="6" t="str">
        <v/>
      </c>
      <c r="AL661" s="6" t="str">
        <v/>
      </c>
      <c r="AM661" s="6" t="str">
        <v/>
      </c>
      <c r="AN661" s="6" t="n">
        <f aca="false">FALSE()</f>
        <v>0</v>
      </c>
    </row>
    <row r="662" customFormat="false" ht="52.5" hidden="false" customHeight="true" outlineLevel="0" collapsed="false">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t="str">
        <v/>
      </c>
      <c r="AK662" s="6" t="str">
        <v/>
      </c>
      <c r="AL662" s="6" t="str">
        <v/>
      </c>
      <c r="AM662" s="6" t="str">
        <v/>
      </c>
      <c r="AN662" s="6" t="n">
        <f aca="false">FALSE()</f>
        <v>0</v>
      </c>
    </row>
    <row r="663" customFormat="false" ht="52.5" hidden="false" customHeight="true" outlineLevel="0" collapsed="false">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t="str">
        <v/>
      </c>
      <c r="AK663" s="6" t="str">
        <v/>
      </c>
      <c r="AL663" s="6" t="str">
        <v/>
      </c>
      <c r="AM663" s="6" t="str">
        <v/>
      </c>
      <c r="AN663" s="6" t="n">
        <f aca="false">FALSE()</f>
        <v>0</v>
      </c>
    </row>
    <row r="664" customFormat="false" ht="52.5" hidden="false" customHeight="true" outlineLevel="0" collapsed="false">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t="str">
        <v/>
      </c>
      <c r="AK664" s="6" t="str">
        <v/>
      </c>
      <c r="AL664" s="6" t="str">
        <v/>
      </c>
      <c r="AM664" s="6" t="str">
        <v/>
      </c>
      <c r="AN664" s="6" t="n">
        <f aca="false">FALSE()</f>
        <v>0</v>
      </c>
    </row>
    <row r="665" customFormat="false" ht="52.5" hidden="false" customHeight="true" outlineLevel="0" collapsed="false">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t="str">
        <v/>
      </c>
      <c r="AK665" s="6" t="str">
        <v/>
      </c>
      <c r="AL665" s="6" t="str">
        <v/>
      </c>
      <c r="AM665" s="6" t="str">
        <v/>
      </c>
      <c r="AN665" s="6" t="n">
        <f aca="false">FALSE()</f>
        <v>0</v>
      </c>
    </row>
    <row r="666" customFormat="false" ht="52.5" hidden="false" customHeight="true" outlineLevel="0" collapsed="false">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t="str">
        <v/>
      </c>
      <c r="AK666" s="6" t="str">
        <v/>
      </c>
      <c r="AL666" s="6" t="str">
        <v/>
      </c>
      <c r="AM666" s="6" t="str">
        <v/>
      </c>
      <c r="AN666" s="6" t="n">
        <f aca="false">FALSE()</f>
        <v>0</v>
      </c>
    </row>
    <row r="667" customFormat="false" ht="52.5" hidden="false" customHeight="true" outlineLevel="0" collapsed="false">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t="str">
        <v/>
      </c>
      <c r="AK667" s="6" t="str">
        <v/>
      </c>
      <c r="AL667" s="6" t="str">
        <v/>
      </c>
      <c r="AM667" s="6" t="str">
        <v/>
      </c>
      <c r="AN667" s="6" t="n">
        <f aca="false">FALSE()</f>
        <v>0</v>
      </c>
    </row>
    <row r="668" customFormat="false" ht="52.5" hidden="false" customHeight="true" outlineLevel="0" collapsed="false">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t="str">
        <v/>
      </c>
      <c r="AK668" s="6" t="str">
        <v/>
      </c>
      <c r="AL668" s="6" t="str">
        <v/>
      </c>
      <c r="AM668" s="6" t="str">
        <v/>
      </c>
      <c r="AN668" s="6" t="n">
        <f aca="false">FALSE()</f>
        <v>0</v>
      </c>
    </row>
    <row r="669" customFormat="false" ht="52.5" hidden="false" customHeight="true" outlineLevel="0" collapsed="false">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t="str">
        <v/>
      </c>
      <c r="AK669" s="6" t="str">
        <v/>
      </c>
      <c r="AL669" s="6" t="str">
        <v/>
      </c>
      <c r="AM669" s="6" t="str">
        <v/>
      </c>
      <c r="AN669" s="6" t="n">
        <f aca="false">FALSE()</f>
        <v>0</v>
      </c>
    </row>
    <row r="670" customFormat="false" ht="52.5" hidden="false" customHeight="true" outlineLevel="0" collapsed="false">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t="str">
        <v/>
      </c>
      <c r="AK670" s="6" t="str">
        <v/>
      </c>
      <c r="AL670" s="6" t="str">
        <v/>
      </c>
      <c r="AM670" s="6" t="str">
        <v/>
      </c>
      <c r="AN670" s="6" t="n">
        <f aca="false">FALSE()</f>
        <v>0</v>
      </c>
    </row>
    <row r="671" customFormat="false" ht="52.5" hidden="false" customHeight="true" outlineLevel="0" collapsed="false">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t="str">
        <v/>
      </c>
      <c r="AK671" s="6" t="str">
        <v/>
      </c>
      <c r="AL671" s="6" t="str">
        <v/>
      </c>
      <c r="AM671" s="6" t="str">
        <v/>
      </c>
      <c r="AN671" s="6" t="n">
        <f aca="false">FALSE()</f>
        <v>0</v>
      </c>
    </row>
    <row r="672" customFormat="false" ht="52.5" hidden="false" customHeight="true" outlineLevel="0" collapsed="false">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t="str">
        <v/>
      </c>
      <c r="AK672" s="6" t="str">
        <v/>
      </c>
      <c r="AL672" s="6" t="str">
        <v/>
      </c>
      <c r="AM672" s="6" t="str">
        <v/>
      </c>
      <c r="AN672" s="6" t="n">
        <f aca="false">FALSE()</f>
        <v>0</v>
      </c>
    </row>
    <row r="673" customFormat="false" ht="52.5" hidden="false" customHeight="true" outlineLevel="0" collapsed="false">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t="str">
        <v/>
      </c>
      <c r="AK673" s="6" t="str">
        <v/>
      </c>
      <c r="AL673" s="6" t="str">
        <v/>
      </c>
      <c r="AM673" s="6" t="str">
        <v/>
      </c>
      <c r="AN673" s="6" t="n">
        <f aca="false">FALSE()</f>
        <v>0</v>
      </c>
    </row>
    <row r="674" customFormat="false" ht="52.5" hidden="false" customHeight="true" outlineLevel="0" collapsed="false">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t="str">
        <v/>
      </c>
      <c r="AK674" s="6" t="str">
        <v/>
      </c>
      <c r="AL674" s="6" t="str">
        <v/>
      </c>
      <c r="AM674" s="6" t="str">
        <v/>
      </c>
      <c r="AN674" s="6" t="n">
        <f aca="false">FALSE()</f>
        <v>0</v>
      </c>
    </row>
    <row r="675" customFormat="false" ht="52.5" hidden="false" customHeight="true" outlineLevel="0" collapsed="false">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t="str">
        <v/>
      </c>
      <c r="AK675" s="6" t="str">
        <v/>
      </c>
      <c r="AL675" s="6" t="str">
        <v/>
      </c>
      <c r="AM675" s="6" t="str">
        <v/>
      </c>
      <c r="AN675" s="6" t="n">
        <f aca="false">FALSE()</f>
        <v>0</v>
      </c>
    </row>
    <row r="676" customFormat="false" ht="52.5" hidden="false" customHeight="true" outlineLevel="0" collapsed="false">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t="str">
        <v/>
      </c>
      <c r="AK676" s="6" t="str">
        <v/>
      </c>
      <c r="AL676" s="6" t="str">
        <v/>
      </c>
      <c r="AM676" s="6" t="str">
        <v/>
      </c>
      <c r="AN676" s="6" t="n">
        <f aca="false">FALSE()</f>
        <v>0</v>
      </c>
    </row>
    <row r="677" customFormat="false" ht="52.5" hidden="false" customHeight="true" outlineLevel="0" collapsed="false">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t="str">
        <v/>
      </c>
      <c r="AK677" s="6" t="str">
        <v/>
      </c>
      <c r="AL677" s="6" t="str">
        <v/>
      </c>
      <c r="AM677" s="6" t="str">
        <v/>
      </c>
      <c r="AN677" s="6" t="n">
        <f aca="false">FALSE()</f>
        <v>0</v>
      </c>
    </row>
    <row r="678" customFormat="false" ht="52.5" hidden="false" customHeight="true" outlineLevel="0" collapsed="false">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t="str">
        <v/>
      </c>
      <c r="AK678" s="6" t="str">
        <v/>
      </c>
      <c r="AL678" s="6" t="str">
        <v/>
      </c>
      <c r="AM678" s="6" t="str">
        <v/>
      </c>
      <c r="AN678" s="6" t="n">
        <f aca="false">FALSE()</f>
        <v>0</v>
      </c>
    </row>
    <row r="679" customFormat="false" ht="52.5" hidden="false" customHeight="true" outlineLevel="0" collapsed="false">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t="str">
        <v/>
      </c>
      <c r="AK679" s="6" t="str">
        <v/>
      </c>
      <c r="AL679" s="6" t="str">
        <v/>
      </c>
      <c r="AM679" s="6" t="str">
        <v/>
      </c>
      <c r="AN679" s="6" t="n">
        <f aca="false">FALSE()</f>
        <v>0</v>
      </c>
    </row>
    <row r="680" customFormat="false" ht="52.5" hidden="false" customHeight="true" outlineLevel="0" collapsed="false">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t="str">
        <v/>
      </c>
      <c r="AK680" s="6" t="str">
        <v/>
      </c>
      <c r="AL680" s="6" t="str">
        <v/>
      </c>
      <c r="AM680" s="6" t="str">
        <v/>
      </c>
      <c r="AN680" s="6" t="n">
        <f aca="false">FALSE()</f>
        <v>0</v>
      </c>
    </row>
    <row r="681" customFormat="false" ht="52.5" hidden="false" customHeight="true" outlineLevel="0" collapsed="false">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t="str">
        <v/>
      </c>
      <c r="AK681" s="6" t="str">
        <v/>
      </c>
      <c r="AL681" s="6" t="str">
        <v/>
      </c>
      <c r="AM681" s="6" t="str">
        <v/>
      </c>
      <c r="AN681" s="6" t="n">
        <f aca="false">FALSE()</f>
        <v>0</v>
      </c>
    </row>
    <row r="682" customFormat="false" ht="52.5" hidden="false" customHeight="true" outlineLevel="0" collapsed="false">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t="str">
        <v/>
      </c>
      <c r="AK682" s="6" t="str">
        <v/>
      </c>
      <c r="AL682" s="6" t="str">
        <v/>
      </c>
      <c r="AM682" s="6" t="str">
        <v/>
      </c>
      <c r="AN682" s="6" t="n">
        <f aca="false">FALSE()</f>
        <v>0</v>
      </c>
    </row>
    <row r="683" customFormat="false" ht="52.5" hidden="false" customHeight="true" outlineLevel="0" collapsed="false">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t="str">
        <v/>
      </c>
      <c r="AK683" s="6" t="str">
        <v/>
      </c>
      <c r="AL683" s="6" t="str">
        <v/>
      </c>
      <c r="AM683" s="6" t="str">
        <v/>
      </c>
      <c r="AN683" s="6" t="n">
        <f aca="false">FALSE()</f>
        <v>0</v>
      </c>
    </row>
    <row r="684" customFormat="false" ht="52.5" hidden="false" customHeight="true" outlineLevel="0" collapsed="false">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t="str">
        <v/>
      </c>
      <c r="AK684" s="6" t="str">
        <v/>
      </c>
      <c r="AL684" s="6" t="str">
        <v/>
      </c>
      <c r="AM684" s="6" t="str">
        <v/>
      </c>
      <c r="AN684" s="6" t="n">
        <f aca="false">FALSE()</f>
        <v>0</v>
      </c>
    </row>
    <row r="685" customFormat="false" ht="52.5" hidden="false" customHeight="true" outlineLevel="0" collapsed="false">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t="str">
        <v/>
      </c>
      <c r="AK685" s="6" t="str">
        <v/>
      </c>
      <c r="AL685" s="6" t="str">
        <v/>
      </c>
      <c r="AM685" s="6" t="str">
        <v/>
      </c>
      <c r="AN685" s="6" t="n">
        <f aca="false">FALSE()</f>
        <v>0</v>
      </c>
    </row>
    <row r="686" customFormat="false" ht="52.5" hidden="false" customHeight="true" outlineLevel="0" collapsed="false">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t="str">
        <v/>
      </c>
      <c r="AK686" s="6" t="str">
        <v/>
      </c>
      <c r="AL686" s="6" t="str">
        <v/>
      </c>
      <c r="AM686" s="6" t="str">
        <v/>
      </c>
      <c r="AN686" s="6" t="n">
        <f aca="false">FALSE()</f>
        <v>0</v>
      </c>
    </row>
    <row r="687" customFormat="false" ht="52.5" hidden="false" customHeight="true" outlineLevel="0" collapsed="false">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t="str">
        <v/>
      </c>
      <c r="AK687" s="6" t="str">
        <v/>
      </c>
      <c r="AL687" s="6" t="str">
        <v/>
      </c>
      <c r="AM687" s="6" t="str">
        <v/>
      </c>
      <c r="AN687" s="6" t="n">
        <f aca="false">FALSE()</f>
        <v>0</v>
      </c>
    </row>
    <row r="688" customFormat="false" ht="52.5" hidden="false" customHeight="true" outlineLevel="0" collapsed="false">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t="str">
        <v/>
      </c>
      <c r="AK688" s="6" t="str">
        <v/>
      </c>
      <c r="AL688" s="6" t="str">
        <v/>
      </c>
      <c r="AM688" s="6" t="str">
        <v/>
      </c>
      <c r="AN688" s="6" t="n">
        <f aca="false">FALSE()</f>
        <v>0</v>
      </c>
    </row>
    <row r="689" customFormat="false" ht="52.5" hidden="false" customHeight="true" outlineLevel="0" collapsed="false">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t="str">
        <v/>
      </c>
      <c r="AK689" s="6" t="str">
        <v/>
      </c>
      <c r="AL689" s="6" t="str">
        <v/>
      </c>
      <c r="AM689" s="6" t="str">
        <v/>
      </c>
      <c r="AN689" s="6" t="n">
        <f aca="false">FALSE()</f>
        <v>0</v>
      </c>
    </row>
    <row r="690" customFormat="false" ht="52.5" hidden="false" customHeight="true" outlineLevel="0" collapsed="false">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t="str">
        <v/>
      </c>
      <c r="AK690" s="6" t="str">
        <v/>
      </c>
      <c r="AL690" s="6" t="str">
        <v/>
      </c>
      <c r="AM690" s="6" t="str">
        <v/>
      </c>
      <c r="AN690" s="6" t="n">
        <f aca="false">FALSE()</f>
        <v>0</v>
      </c>
    </row>
    <row r="691" customFormat="false" ht="52.5" hidden="false" customHeight="true" outlineLevel="0" collapsed="false">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t="str">
        <v/>
      </c>
      <c r="AK691" s="6" t="str">
        <v/>
      </c>
      <c r="AL691" s="6" t="str">
        <v/>
      </c>
      <c r="AM691" s="6" t="str">
        <v/>
      </c>
      <c r="AN691" s="6" t="n">
        <f aca="false">FALSE()</f>
        <v>0</v>
      </c>
    </row>
    <row r="692" customFormat="false" ht="52.5" hidden="false" customHeight="true" outlineLevel="0" collapsed="false">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t="str">
        <v/>
      </c>
      <c r="AK692" s="6" t="str">
        <v/>
      </c>
      <c r="AL692" s="6" t="str">
        <v/>
      </c>
      <c r="AM692" s="6" t="str">
        <v/>
      </c>
      <c r="AN692" s="6" t="n">
        <f aca="false">FALSE()</f>
        <v>0</v>
      </c>
    </row>
    <row r="693" customFormat="false" ht="52.5" hidden="false" customHeight="true" outlineLevel="0" collapsed="false">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t="str">
        <v/>
      </c>
      <c r="AK693" s="6" t="str">
        <v/>
      </c>
      <c r="AL693" s="6" t="str">
        <v/>
      </c>
      <c r="AM693" s="6" t="str">
        <v/>
      </c>
      <c r="AN693" s="6" t="n">
        <f aca="false">FALSE()</f>
        <v>0</v>
      </c>
    </row>
    <row r="694" customFormat="false" ht="52.5" hidden="false" customHeight="true" outlineLevel="0" collapsed="false">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t="str">
        <v/>
      </c>
      <c r="AK694" s="6" t="str">
        <v/>
      </c>
      <c r="AL694" s="6" t="str">
        <v/>
      </c>
      <c r="AM694" s="6" t="str">
        <v/>
      </c>
      <c r="AN694" s="6" t="n">
        <f aca="false">FALSE()</f>
        <v>0</v>
      </c>
    </row>
    <row r="695" customFormat="false" ht="52.5" hidden="false" customHeight="true" outlineLevel="0" collapsed="false">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t="str">
        <v/>
      </c>
      <c r="AK695" s="6" t="str">
        <v/>
      </c>
      <c r="AL695" s="6" t="str">
        <v/>
      </c>
      <c r="AM695" s="6" t="str">
        <v/>
      </c>
      <c r="AN695" s="6" t="n">
        <f aca="false">FALSE()</f>
        <v>0</v>
      </c>
    </row>
    <row r="696" customFormat="false" ht="52.5" hidden="false" customHeight="true" outlineLevel="0" collapsed="false">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t="str">
        <v/>
      </c>
      <c r="AK696" s="6" t="str">
        <v/>
      </c>
      <c r="AL696" s="6" t="str">
        <v/>
      </c>
      <c r="AM696" s="6" t="str">
        <v/>
      </c>
      <c r="AN696" s="6" t="n">
        <f aca="false">FALSE()</f>
        <v>0</v>
      </c>
    </row>
    <row r="697" customFormat="false" ht="52.5" hidden="false" customHeight="true" outlineLevel="0" collapsed="false">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t="str">
        <v/>
      </c>
      <c r="AK697" s="6" t="str">
        <v/>
      </c>
      <c r="AL697" s="6" t="str">
        <v/>
      </c>
      <c r="AM697" s="6" t="str">
        <v/>
      </c>
      <c r="AN697" s="6" t="n">
        <f aca="false">FALSE()</f>
        <v>0</v>
      </c>
    </row>
    <row r="698" customFormat="false" ht="52.5" hidden="false" customHeight="true" outlineLevel="0" collapsed="false">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t="str">
        <v/>
      </c>
      <c r="AK698" s="6" t="str">
        <v/>
      </c>
      <c r="AL698" s="6" t="str">
        <v/>
      </c>
      <c r="AM698" s="6" t="str">
        <v/>
      </c>
      <c r="AN698" s="6" t="n">
        <f aca="false">FALSE()</f>
        <v>0</v>
      </c>
    </row>
    <row r="699" customFormat="false" ht="52.5" hidden="false" customHeight="true" outlineLevel="0" collapsed="false">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t="str">
        <v/>
      </c>
      <c r="AK699" s="6" t="str">
        <v/>
      </c>
      <c r="AL699" s="6" t="str">
        <v/>
      </c>
      <c r="AM699" s="6" t="str">
        <v/>
      </c>
      <c r="AN699" s="6" t="n">
        <f aca="false">FALSE()</f>
        <v>0</v>
      </c>
    </row>
    <row r="700" customFormat="false" ht="52.5" hidden="false" customHeight="true" outlineLevel="0" collapsed="false">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t="str">
        <v/>
      </c>
      <c r="AK700" s="6" t="str">
        <v/>
      </c>
      <c r="AL700" s="6" t="str">
        <v/>
      </c>
      <c r="AM700" s="6" t="str">
        <v/>
      </c>
      <c r="AN700" s="6" t="n">
        <f aca="false">FALSE()</f>
        <v>0</v>
      </c>
    </row>
    <row r="701" customFormat="false" ht="52.5" hidden="false" customHeight="true" outlineLevel="0" collapsed="false">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t="str">
        <v/>
      </c>
      <c r="AK701" s="6" t="str">
        <v/>
      </c>
      <c r="AL701" s="6" t="str">
        <v/>
      </c>
      <c r="AM701" s="6" t="str">
        <v/>
      </c>
      <c r="AN701" s="6" t="n">
        <f aca="false">FALSE()</f>
        <v>0</v>
      </c>
    </row>
    <row r="702" customFormat="false" ht="52.5" hidden="false" customHeight="true" outlineLevel="0" collapsed="false">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t="str">
        <v/>
      </c>
      <c r="AK702" s="6" t="str">
        <v/>
      </c>
      <c r="AL702" s="6" t="str">
        <v/>
      </c>
      <c r="AM702" s="6" t="str">
        <v/>
      </c>
      <c r="AN702" s="6" t="n">
        <f aca="false">FALSE()</f>
        <v>0</v>
      </c>
    </row>
    <row r="703" customFormat="false" ht="52.5" hidden="false" customHeight="true" outlineLevel="0" collapsed="false">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t="str">
        <v/>
      </c>
      <c r="AK703" s="6" t="str">
        <v/>
      </c>
      <c r="AL703" s="6" t="str">
        <v/>
      </c>
      <c r="AM703" s="6" t="str">
        <v/>
      </c>
      <c r="AN703" s="6" t="n">
        <f aca="false">FALSE()</f>
        <v>0</v>
      </c>
    </row>
    <row r="704" customFormat="false" ht="52.5" hidden="false" customHeight="true" outlineLevel="0" collapsed="false">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t="str">
        <v/>
      </c>
      <c r="AK704" s="6" t="str">
        <v/>
      </c>
      <c r="AL704" s="6" t="str">
        <v/>
      </c>
      <c r="AM704" s="6" t="str">
        <v/>
      </c>
      <c r="AN704" s="6" t="n">
        <f aca="false">FALSE()</f>
        <v>0</v>
      </c>
    </row>
    <row r="705" customFormat="false" ht="52.5" hidden="false" customHeight="true" outlineLevel="0" collapsed="false">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t="str">
        <v/>
      </c>
      <c r="AK705" s="6" t="str">
        <v/>
      </c>
      <c r="AL705" s="6" t="str">
        <v/>
      </c>
      <c r="AM705" s="6" t="str">
        <v/>
      </c>
      <c r="AN705" s="6" t="n">
        <f aca="false">FALSE()</f>
        <v>0</v>
      </c>
    </row>
    <row r="706" customFormat="false" ht="52.5" hidden="false" customHeight="true" outlineLevel="0" collapsed="false">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t="str">
        <v/>
      </c>
      <c r="AK706" s="6" t="str">
        <v/>
      </c>
      <c r="AL706" s="6" t="str">
        <v/>
      </c>
      <c r="AM706" s="6" t="str">
        <v/>
      </c>
      <c r="AN706" s="6" t="n">
        <f aca="false">FALSE()</f>
        <v>0</v>
      </c>
    </row>
    <row r="707" customFormat="false" ht="52.5" hidden="false" customHeight="true" outlineLevel="0" collapsed="false">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t="str">
        <v/>
      </c>
      <c r="AK707" s="6" t="str">
        <v/>
      </c>
      <c r="AL707" s="6" t="str">
        <v/>
      </c>
      <c r="AM707" s="6" t="str">
        <v/>
      </c>
      <c r="AN707" s="6" t="n">
        <f aca="false">FALSE()</f>
        <v>0</v>
      </c>
    </row>
    <row r="708" customFormat="false" ht="52.5" hidden="false" customHeight="true" outlineLevel="0" collapsed="false">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t="str">
        <v/>
      </c>
      <c r="AK708" s="6" t="str">
        <v/>
      </c>
      <c r="AL708" s="6" t="str">
        <v/>
      </c>
      <c r="AM708" s="6" t="str">
        <v/>
      </c>
      <c r="AN708" s="6" t="n">
        <f aca="false">FALSE()</f>
        <v>0</v>
      </c>
    </row>
    <row r="709" customFormat="false" ht="52.5" hidden="false" customHeight="true" outlineLevel="0" collapsed="false">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t="str">
        <v/>
      </c>
      <c r="AK709" s="6" t="str">
        <v/>
      </c>
      <c r="AL709" s="6" t="str">
        <v/>
      </c>
      <c r="AM709" s="6" t="str">
        <v/>
      </c>
      <c r="AN709" s="6" t="n">
        <f aca="false">FALSE()</f>
        <v>0</v>
      </c>
    </row>
    <row r="710" customFormat="false" ht="52.5" hidden="false" customHeight="true" outlineLevel="0" collapsed="false">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t="str">
        <v/>
      </c>
      <c r="AK710" s="6" t="str">
        <v/>
      </c>
      <c r="AL710" s="6" t="str">
        <v/>
      </c>
      <c r="AM710" s="6" t="str">
        <v/>
      </c>
      <c r="AN710" s="6" t="n">
        <f aca="false">FALSE()</f>
        <v>0</v>
      </c>
    </row>
    <row r="711" customFormat="false" ht="52.5" hidden="false" customHeight="true" outlineLevel="0" collapsed="false">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t="str">
        <v/>
      </c>
      <c r="AK711" s="6" t="str">
        <v/>
      </c>
      <c r="AL711" s="6" t="str">
        <v/>
      </c>
      <c r="AM711" s="6" t="str">
        <v/>
      </c>
      <c r="AN711" s="6" t="n">
        <f aca="false">FALSE()</f>
        <v>0</v>
      </c>
    </row>
    <row r="712" customFormat="false" ht="52.5" hidden="false" customHeight="true" outlineLevel="0" collapsed="false">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t="str">
        <v/>
      </c>
      <c r="AK712" s="6" t="str">
        <v/>
      </c>
      <c r="AL712" s="6" t="str">
        <v/>
      </c>
      <c r="AM712" s="6" t="str">
        <v/>
      </c>
      <c r="AN712" s="6" t="n">
        <f aca="false">FALSE()</f>
        <v>0</v>
      </c>
    </row>
    <row r="713" customFormat="false" ht="52.5" hidden="false" customHeight="true" outlineLevel="0" collapsed="false">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t="str">
        <v/>
      </c>
      <c r="AK713" s="6" t="str">
        <v/>
      </c>
      <c r="AL713" s="6" t="str">
        <v/>
      </c>
      <c r="AM713" s="6" t="str">
        <v/>
      </c>
      <c r="AN713" s="6" t="n">
        <f aca="false">FALSE()</f>
        <v>0</v>
      </c>
    </row>
    <row r="714" customFormat="false" ht="52.5" hidden="false" customHeight="true" outlineLevel="0" collapsed="false">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t="str">
        <v/>
      </c>
      <c r="AK714" s="6" t="str">
        <v/>
      </c>
      <c r="AL714" s="6" t="str">
        <v/>
      </c>
      <c r="AM714" s="6" t="str">
        <v/>
      </c>
      <c r="AN714" s="6" t="n">
        <f aca="false">FALSE()</f>
        <v>0</v>
      </c>
    </row>
    <row r="715" customFormat="false" ht="52.5" hidden="false" customHeight="true" outlineLevel="0" collapsed="false">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t="str">
        <v/>
      </c>
      <c r="AK715" s="6" t="str">
        <v/>
      </c>
      <c r="AL715" s="6" t="str">
        <v/>
      </c>
      <c r="AM715" s="6" t="str">
        <v/>
      </c>
      <c r="AN715" s="6" t="n">
        <f aca="false">FALSE()</f>
        <v>0</v>
      </c>
    </row>
    <row r="716" customFormat="false" ht="52.5" hidden="false" customHeight="true" outlineLevel="0" collapsed="false">
      <c r="AJ716" s="6" t="str">
        <v/>
      </c>
      <c r="AK716" s="6" t="str">
        <v/>
      </c>
      <c r="AL716" s="6" t="str">
        <v/>
      </c>
      <c r="AM716" s="6" t="str">
        <v/>
      </c>
      <c r="AN716" s="6" t="n">
        <f aca="false">FALSE()</f>
        <v>0</v>
      </c>
    </row>
    <row r="717" customFormat="false" ht="52.5" hidden="false" customHeight="true" outlineLevel="0" collapsed="false">
      <c r="AJ717" s="6" t="str">
        <v/>
      </c>
      <c r="AK717" s="6" t="str">
        <v/>
      </c>
      <c r="AL717" s="6" t="str">
        <v/>
      </c>
      <c r="AM717" s="6" t="str">
        <v/>
      </c>
      <c r="AN717" s="6" t="n">
        <f aca="false">FALSE()</f>
        <v>0</v>
      </c>
    </row>
    <row r="718" customFormat="false" ht="52.5" hidden="false" customHeight="true" outlineLevel="0" collapsed="false">
      <c r="AJ718" s="6" t="str">
        <v/>
      </c>
      <c r="AK718" s="6" t="str">
        <v/>
      </c>
      <c r="AL718" s="6" t="str">
        <v/>
      </c>
      <c r="AM718" s="6" t="str">
        <v/>
      </c>
      <c r="AN718" s="6" t="n">
        <f aca="false">FALSE()</f>
        <v>0</v>
      </c>
    </row>
    <row r="719" customFormat="false" ht="52.5" hidden="false" customHeight="true" outlineLevel="0" collapsed="false">
      <c r="AJ719" s="6" t="str">
        <v/>
      </c>
      <c r="AK719" s="6" t="str">
        <v/>
      </c>
      <c r="AL719" s="6" t="str">
        <v/>
      </c>
      <c r="AM719" s="6" t="str">
        <v/>
      </c>
      <c r="AN719" s="6" t="n">
        <f aca="false">FALSE()</f>
        <v>0</v>
      </c>
    </row>
    <row r="720" customFormat="false" ht="52.5" hidden="false" customHeight="true" outlineLevel="0" collapsed="false">
      <c r="AJ720" s="6" t="str">
        <v/>
      </c>
      <c r="AK720" s="6" t="str">
        <v/>
      </c>
      <c r="AL720" s="6" t="str">
        <v/>
      </c>
      <c r="AM720" s="6" t="str">
        <v/>
      </c>
      <c r="AN720" s="6" t="n">
        <f aca="false">FALSE()</f>
        <v>0</v>
      </c>
    </row>
    <row r="721" customFormat="false" ht="52.5" hidden="false" customHeight="true" outlineLevel="0" collapsed="false">
      <c r="AJ721" s="6" t="str">
        <v/>
      </c>
      <c r="AK721" s="6" t="str">
        <v/>
      </c>
      <c r="AL721" s="6" t="str">
        <v/>
      </c>
      <c r="AM721" s="6" t="str">
        <v/>
      </c>
      <c r="AN721" s="6" t="n">
        <f aca="false">FALSE()</f>
        <v>0</v>
      </c>
    </row>
    <row r="722" customFormat="false" ht="52.5" hidden="false" customHeight="true" outlineLevel="0" collapsed="false">
      <c r="AJ722" s="6" t="str">
        <v/>
      </c>
      <c r="AK722" s="6" t="str">
        <v/>
      </c>
      <c r="AL722" s="6" t="str">
        <v/>
      </c>
      <c r="AM722" s="6" t="str">
        <v/>
      </c>
      <c r="AN722" s="6" t="n">
        <f aca="false">FALSE()</f>
        <v>0</v>
      </c>
    </row>
    <row r="723" customFormat="false" ht="52.5" hidden="false" customHeight="true" outlineLevel="0" collapsed="false">
      <c r="AJ723" s="6" t="str">
        <v/>
      </c>
      <c r="AK723" s="6" t="str">
        <v/>
      </c>
      <c r="AL723" s="6" t="str">
        <v/>
      </c>
      <c r="AM723" s="6" t="str">
        <v/>
      </c>
      <c r="AN723" s="6" t="n">
        <f aca="false">FALSE()</f>
        <v>0</v>
      </c>
    </row>
    <row r="724" customFormat="false" ht="52.5" hidden="false" customHeight="true" outlineLevel="0" collapsed="false">
      <c r="AJ724" s="6" t="str">
        <v/>
      </c>
      <c r="AK724" s="6" t="str">
        <v/>
      </c>
      <c r="AL724" s="6" t="str">
        <v/>
      </c>
      <c r="AM724" s="6" t="str">
        <v/>
      </c>
      <c r="AN724" s="6" t="n">
        <f aca="false">FALSE()</f>
        <v>0</v>
      </c>
    </row>
    <row r="725" customFormat="false" ht="52.5" hidden="false" customHeight="true" outlineLevel="0" collapsed="false">
      <c r="AJ725" s="6" t="str">
        <v/>
      </c>
      <c r="AK725" s="6" t="str">
        <v/>
      </c>
      <c r="AL725" s="6" t="str">
        <v/>
      </c>
      <c r="AM725" s="6" t="str">
        <v/>
      </c>
      <c r="AN725" s="6" t="n">
        <f aca="false">FALSE()</f>
        <v>0</v>
      </c>
    </row>
    <row r="726" customFormat="false" ht="52.5" hidden="false" customHeight="true" outlineLevel="0" collapsed="false">
      <c r="AJ726" s="6" t="str">
        <v/>
      </c>
      <c r="AK726" s="6" t="str">
        <v/>
      </c>
      <c r="AL726" s="6" t="str">
        <v/>
      </c>
      <c r="AM726" s="6" t="str">
        <v/>
      </c>
      <c r="AN726" s="6" t="n">
        <f aca="false">FALSE()</f>
        <v>0</v>
      </c>
    </row>
    <row r="727" customFormat="false" ht="52.5" hidden="false" customHeight="true" outlineLevel="0" collapsed="false">
      <c r="AJ727" s="6" t="str">
        <v/>
      </c>
      <c r="AK727" s="6" t="str">
        <v/>
      </c>
      <c r="AL727" s="6" t="str">
        <v/>
      </c>
      <c r="AM727" s="6" t="str">
        <v/>
      </c>
      <c r="AN727" s="6" t="n">
        <f aca="false">FALSE()</f>
        <v>0</v>
      </c>
    </row>
    <row r="728" customFormat="false" ht="52.5" hidden="false" customHeight="true" outlineLevel="0" collapsed="false">
      <c r="AJ728" s="6" t="str">
        <v/>
      </c>
      <c r="AK728" s="6" t="str">
        <v/>
      </c>
      <c r="AL728" s="6" t="str">
        <v/>
      </c>
      <c r="AM728" s="6" t="str">
        <v/>
      </c>
      <c r="AN728" s="6" t="n">
        <f aca="false">FALSE()</f>
        <v>0</v>
      </c>
    </row>
    <row r="729" customFormat="false" ht="52.5" hidden="false" customHeight="true" outlineLevel="0" collapsed="false">
      <c r="AJ729" s="6" t="str">
        <v/>
      </c>
      <c r="AK729" s="6" t="str">
        <v/>
      </c>
      <c r="AL729" s="6" t="str">
        <v/>
      </c>
      <c r="AM729" s="6" t="str">
        <v/>
      </c>
      <c r="AN729" s="6" t="n">
        <f aca="false">FALSE()</f>
        <v>0</v>
      </c>
    </row>
    <row r="730" customFormat="false" ht="52.5" hidden="false" customHeight="true" outlineLevel="0" collapsed="false">
      <c r="AJ730" s="6" t="str">
        <v/>
      </c>
      <c r="AK730" s="6" t="str">
        <v/>
      </c>
      <c r="AL730" s="6" t="str">
        <v/>
      </c>
      <c r="AM730" s="6" t="str">
        <v/>
      </c>
      <c r="AN730" s="6" t="n">
        <f aca="false">FALSE()</f>
        <v>0</v>
      </c>
    </row>
    <row r="731" customFormat="false" ht="52.5" hidden="false" customHeight="true" outlineLevel="0" collapsed="false">
      <c r="AJ731" s="6" t="str">
        <v/>
      </c>
      <c r="AK731" s="6" t="str">
        <v/>
      </c>
      <c r="AL731" s="6" t="str">
        <v/>
      </c>
      <c r="AM731" s="6" t="str">
        <v/>
      </c>
      <c r="AN731" s="6" t="n">
        <f aca="false">FALSE()</f>
        <v>0</v>
      </c>
    </row>
    <row r="732" customFormat="false" ht="52.5" hidden="false" customHeight="true" outlineLevel="0" collapsed="false">
      <c r="AJ732" s="6" t="str">
        <v/>
      </c>
      <c r="AK732" s="6" t="str">
        <v/>
      </c>
      <c r="AL732" s="6" t="str">
        <v/>
      </c>
      <c r="AM732" s="6" t="str">
        <v/>
      </c>
      <c r="AN732" s="6" t="n">
        <f aca="false">FALSE()</f>
        <v>0</v>
      </c>
    </row>
    <row r="733" customFormat="false" ht="52.5" hidden="false" customHeight="true" outlineLevel="0" collapsed="false">
      <c r="AJ733" s="6" t="str">
        <v/>
      </c>
      <c r="AK733" s="6" t="str">
        <v/>
      </c>
      <c r="AL733" s="6" t="str">
        <v/>
      </c>
      <c r="AM733" s="6" t="str">
        <v/>
      </c>
      <c r="AN733" s="6" t="n">
        <f aca="false">FALSE()</f>
        <v>0</v>
      </c>
    </row>
    <row r="734" customFormat="false" ht="52.5" hidden="false" customHeight="true" outlineLevel="0" collapsed="false">
      <c r="AJ734" s="6" t="str">
        <v/>
      </c>
      <c r="AK734" s="6" t="str">
        <v/>
      </c>
      <c r="AL734" s="6" t="str">
        <v/>
      </c>
      <c r="AM734" s="6" t="str">
        <v/>
      </c>
      <c r="AN734" s="6" t="n">
        <f aca="false">FALSE()</f>
        <v>0</v>
      </c>
    </row>
    <row r="735" customFormat="false" ht="52.5" hidden="false" customHeight="true" outlineLevel="0" collapsed="false">
      <c r="AJ735" s="6" t="str">
        <v/>
      </c>
      <c r="AK735" s="6" t="str">
        <v/>
      </c>
      <c r="AL735" s="6" t="str">
        <v/>
      </c>
      <c r="AM735" s="6" t="str">
        <v/>
      </c>
      <c r="AN735" s="6" t="n">
        <f aca="false">FALSE()</f>
        <v>0</v>
      </c>
    </row>
    <row r="736" customFormat="false" ht="52.5" hidden="false" customHeight="true" outlineLevel="0" collapsed="false">
      <c r="AJ736" s="6" t="str">
        <v/>
      </c>
      <c r="AK736" s="6" t="str">
        <v/>
      </c>
      <c r="AL736" s="6" t="str">
        <v/>
      </c>
      <c r="AM736" s="6" t="str">
        <v/>
      </c>
      <c r="AN736" s="6" t="n">
        <f aca="false">FALSE()</f>
        <v>0</v>
      </c>
    </row>
    <row r="737" customFormat="false" ht="52.5" hidden="false" customHeight="true" outlineLevel="0" collapsed="false">
      <c r="AJ737" s="6" t="str">
        <v/>
      </c>
      <c r="AK737" s="6" t="str">
        <v/>
      </c>
      <c r="AL737" s="6" t="str">
        <v/>
      </c>
      <c r="AM737" s="6" t="str">
        <v/>
      </c>
      <c r="AN737" s="6" t="n">
        <f aca="false">FALSE()</f>
        <v>0</v>
      </c>
    </row>
    <row r="738" customFormat="false" ht="52.5" hidden="false" customHeight="true" outlineLevel="0" collapsed="false">
      <c r="AJ738" s="6" t="str">
        <v/>
      </c>
      <c r="AK738" s="6" t="str">
        <v/>
      </c>
      <c r="AL738" s="6" t="str">
        <v/>
      </c>
      <c r="AM738" s="6" t="str">
        <v/>
      </c>
      <c r="AN738" s="6" t="n">
        <f aca="false">FALSE()</f>
        <v>0</v>
      </c>
    </row>
    <row r="739" customFormat="false" ht="52.5" hidden="false" customHeight="true" outlineLevel="0" collapsed="false">
      <c r="AJ739" s="6" t="str">
        <v/>
      </c>
      <c r="AK739" s="6" t="str">
        <v/>
      </c>
      <c r="AL739" s="6" t="str">
        <v/>
      </c>
      <c r="AM739" s="6" t="str">
        <v/>
      </c>
      <c r="AN739" s="6" t="n">
        <f aca="false">FALSE()</f>
        <v>0</v>
      </c>
    </row>
    <row r="740" customFormat="false" ht="52.5" hidden="false" customHeight="true" outlineLevel="0" collapsed="false">
      <c r="AJ740" s="6" t="str">
        <v/>
      </c>
      <c r="AK740" s="6" t="str">
        <v/>
      </c>
      <c r="AL740" s="6" t="str">
        <v/>
      </c>
      <c r="AM740" s="6" t="str">
        <v/>
      </c>
      <c r="AN740" s="6" t="n">
        <f aca="false">FALSE()</f>
        <v>0</v>
      </c>
    </row>
    <row r="741" customFormat="false" ht="52.5" hidden="false" customHeight="true" outlineLevel="0" collapsed="false">
      <c r="AJ741" s="6" t="str">
        <v/>
      </c>
      <c r="AK741" s="6" t="str">
        <v/>
      </c>
      <c r="AL741" s="6" t="str">
        <v/>
      </c>
      <c r="AM741" s="6" t="str">
        <v/>
      </c>
      <c r="AN741" s="6" t="n">
        <f aca="false">FALSE()</f>
        <v>0</v>
      </c>
    </row>
    <row r="742" customFormat="false" ht="52.5" hidden="false" customHeight="true" outlineLevel="0" collapsed="false">
      <c r="AJ742" s="6" t="str">
        <v/>
      </c>
      <c r="AK742" s="6" t="str">
        <v/>
      </c>
      <c r="AL742" s="6" t="str">
        <v/>
      </c>
      <c r="AM742" s="6" t="str">
        <v/>
      </c>
      <c r="AN742" s="6" t="n">
        <f aca="false">FALSE()</f>
        <v>0</v>
      </c>
    </row>
    <row r="743" customFormat="false" ht="52.5" hidden="false" customHeight="true" outlineLevel="0" collapsed="false">
      <c r="AJ743" s="6" t="str">
        <v/>
      </c>
      <c r="AK743" s="6" t="str">
        <v/>
      </c>
      <c r="AL743" s="6" t="str">
        <v/>
      </c>
      <c r="AM743" s="6" t="str">
        <v/>
      </c>
      <c r="AN743" s="6" t="n">
        <f aca="false">FALSE()</f>
        <v>0</v>
      </c>
    </row>
    <row r="744" customFormat="false" ht="52.5" hidden="false" customHeight="true" outlineLevel="0" collapsed="false">
      <c r="AJ744" s="6" t="str">
        <v/>
      </c>
      <c r="AK744" s="6" t="str">
        <v/>
      </c>
      <c r="AL744" s="6" t="str">
        <v/>
      </c>
      <c r="AM744" s="6" t="str">
        <v/>
      </c>
      <c r="AN744" s="6" t="n">
        <f aca="false">FALSE()</f>
        <v>0</v>
      </c>
    </row>
    <row r="745" customFormat="false" ht="52.5" hidden="false" customHeight="true" outlineLevel="0" collapsed="false">
      <c r="AJ745" s="6" t="str">
        <v/>
      </c>
      <c r="AK745" s="6" t="str">
        <v/>
      </c>
      <c r="AL745" s="6" t="str">
        <v/>
      </c>
      <c r="AM745" s="6" t="str">
        <v/>
      </c>
      <c r="AN745" s="6" t="n">
        <f aca="false">FALSE()</f>
        <v>0</v>
      </c>
    </row>
    <row r="746" customFormat="false" ht="52.5" hidden="false" customHeight="true" outlineLevel="0" collapsed="false">
      <c r="AJ746" s="6" t="str">
        <v/>
      </c>
      <c r="AK746" s="6" t="str">
        <v/>
      </c>
      <c r="AL746" s="6" t="str">
        <v/>
      </c>
      <c r="AM746" s="6" t="str">
        <v/>
      </c>
      <c r="AN746" s="6" t="n">
        <f aca="false">FALSE()</f>
        <v>0</v>
      </c>
    </row>
    <row r="747" customFormat="false" ht="52.5" hidden="false" customHeight="true" outlineLevel="0" collapsed="false">
      <c r="AJ747" s="6" t="str">
        <v/>
      </c>
      <c r="AK747" s="6" t="str">
        <v/>
      </c>
      <c r="AL747" s="6" t="str">
        <v/>
      </c>
      <c r="AM747" s="6" t="str">
        <v/>
      </c>
      <c r="AN747" s="6" t="n">
        <f aca="false">FALSE()</f>
        <v>0</v>
      </c>
    </row>
    <row r="748" customFormat="false" ht="52.5" hidden="false" customHeight="true" outlineLevel="0" collapsed="false">
      <c r="AJ748" s="6" t="str">
        <v/>
      </c>
      <c r="AK748" s="6" t="str">
        <v/>
      </c>
      <c r="AL748" s="6" t="str">
        <v/>
      </c>
      <c r="AM748" s="6" t="str">
        <v/>
      </c>
      <c r="AN748" s="6" t="n">
        <f aca="false">FALSE()</f>
        <v>0</v>
      </c>
    </row>
    <row r="749" customFormat="false" ht="52.5" hidden="false" customHeight="true" outlineLevel="0" collapsed="false">
      <c r="AJ749" s="6" t="str">
        <v/>
      </c>
      <c r="AK749" s="6" t="str">
        <v/>
      </c>
      <c r="AL749" s="6" t="str">
        <v/>
      </c>
      <c r="AM749" s="6" t="str">
        <v/>
      </c>
      <c r="AN749" s="6" t="n">
        <f aca="false">FALSE()</f>
        <v>0</v>
      </c>
    </row>
    <row r="750" customFormat="false" ht="52.5" hidden="false" customHeight="true" outlineLevel="0" collapsed="false">
      <c r="AJ750" s="6" t="str">
        <v/>
      </c>
      <c r="AK750" s="6" t="str">
        <v/>
      </c>
      <c r="AL750" s="6" t="str">
        <v/>
      </c>
      <c r="AM750" s="6" t="str">
        <v/>
      </c>
      <c r="AN750" s="6" t="n">
        <f aca="false">FALSE()</f>
        <v>0</v>
      </c>
    </row>
    <row r="751" customFormat="false" ht="52.5" hidden="false" customHeight="true" outlineLevel="0" collapsed="false">
      <c r="AJ751" s="6" t="str">
        <v/>
      </c>
      <c r="AK751" s="6" t="str">
        <v/>
      </c>
      <c r="AL751" s="6" t="str">
        <v/>
      </c>
      <c r="AM751" s="6" t="str">
        <v/>
      </c>
      <c r="AN751" s="6" t="n">
        <f aca="false">FALSE()</f>
        <v>0</v>
      </c>
    </row>
    <row r="752" customFormat="false" ht="52.5" hidden="false" customHeight="true" outlineLevel="0" collapsed="false">
      <c r="AJ752" s="6" t="str">
        <v/>
      </c>
      <c r="AK752" s="6" t="str">
        <v/>
      </c>
      <c r="AL752" s="6" t="str">
        <v/>
      </c>
      <c r="AM752" s="6" t="str">
        <v/>
      </c>
      <c r="AN752" s="6" t="n">
        <f aca="false">FALSE()</f>
        <v>0</v>
      </c>
    </row>
    <row r="753" customFormat="false" ht="52.5" hidden="false" customHeight="true" outlineLevel="0" collapsed="false">
      <c r="AJ753" s="6" t="str">
        <v/>
      </c>
      <c r="AK753" s="6" t="str">
        <v/>
      </c>
      <c r="AL753" s="6" t="str">
        <v/>
      </c>
      <c r="AM753" s="6" t="str">
        <v/>
      </c>
      <c r="AN753" s="6" t="n">
        <f aca="false">FALSE()</f>
        <v>0</v>
      </c>
    </row>
    <row r="754" customFormat="false" ht="52.5" hidden="false" customHeight="true" outlineLevel="0" collapsed="false">
      <c r="AJ754" s="6" t="str">
        <v/>
      </c>
      <c r="AK754" s="6" t="str">
        <v/>
      </c>
      <c r="AL754" s="6" t="str">
        <v/>
      </c>
      <c r="AM754" s="6" t="str">
        <v/>
      </c>
      <c r="AN754" s="6" t="n">
        <f aca="false">FALSE()</f>
        <v>0</v>
      </c>
    </row>
    <row r="755" customFormat="false" ht="52.5" hidden="false" customHeight="true" outlineLevel="0" collapsed="false">
      <c r="AJ755" s="6" t="str">
        <v/>
      </c>
      <c r="AK755" s="6" t="str">
        <v/>
      </c>
      <c r="AL755" s="6" t="str">
        <v/>
      </c>
      <c r="AM755" s="6" t="str">
        <v/>
      </c>
      <c r="AN755" s="6" t="n">
        <f aca="false">FALSE()</f>
        <v>0</v>
      </c>
    </row>
    <row r="756" customFormat="false" ht="52.5" hidden="false" customHeight="true" outlineLevel="0" collapsed="false">
      <c r="AJ756" s="6" t="str">
        <v/>
      </c>
      <c r="AK756" s="6" t="str">
        <v/>
      </c>
      <c r="AL756" s="6" t="str">
        <v/>
      </c>
      <c r="AM756" s="6" t="str">
        <v/>
      </c>
      <c r="AN756" s="6" t="n">
        <f aca="false">FALSE()</f>
        <v>0</v>
      </c>
    </row>
    <row r="757" customFormat="false" ht="52.5" hidden="false" customHeight="true" outlineLevel="0" collapsed="false">
      <c r="AJ757" s="6" t="str">
        <v/>
      </c>
      <c r="AK757" s="6" t="str">
        <v/>
      </c>
      <c r="AL757" s="6" t="str">
        <v/>
      </c>
      <c r="AM757" s="6" t="str">
        <v/>
      </c>
      <c r="AN757" s="6" t="n">
        <f aca="false">FALSE()</f>
        <v>0</v>
      </c>
    </row>
    <row r="758" customFormat="false" ht="52.5" hidden="false" customHeight="true" outlineLevel="0" collapsed="false">
      <c r="AJ758" s="6" t="str">
        <v/>
      </c>
      <c r="AK758" s="6" t="str">
        <v/>
      </c>
      <c r="AL758" s="6" t="str">
        <v/>
      </c>
      <c r="AM758" s="6" t="str">
        <v/>
      </c>
      <c r="AN758" s="6" t="n">
        <f aca="false">FALSE()</f>
        <v>0</v>
      </c>
    </row>
    <row r="759" customFormat="false" ht="52.5" hidden="false" customHeight="true" outlineLevel="0" collapsed="false">
      <c r="AJ759" s="6" t="str">
        <v/>
      </c>
      <c r="AK759" s="6" t="str">
        <v/>
      </c>
      <c r="AL759" s="6" t="str">
        <v/>
      </c>
      <c r="AM759" s="6" t="str">
        <v/>
      </c>
      <c r="AN759" s="6" t="n">
        <f aca="false">FALSE()</f>
        <v>0</v>
      </c>
    </row>
    <row r="760" customFormat="false" ht="52.5" hidden="false" customHeight="true" outlineLevel="0" collapsed="false">
      <c r="AJ760" s="6" t="str">
        <v/>
      </c>
      <c r="AK760" s="6" t="str">
        <v/>
      </c>
      <c r="AL760" s="6" t="str">
        <v/>
      </c>
      <c r="AM760" s="6" t="str">
        <v/>
      </c>
      <c r="AN760" s="6" t="n">
        <f aca="false">FALSE()</f>
        <v>0</v>
      </c>
    </row>
    <row r="761" customFormat="false" ht="52.5" hidden="false" customHeight="true" outlineLevel="0" collapsed="false">
      <c r="AJ761" s="6" t="str">
        <v/>
      </c>
      <c r="AK761" s="6" t="str">
        <v/>
      </c>
      <c r="AL761" s="6" t="str">
        <v/>
      </c>
      <c r="AM761" s="6" t="str">
        <v/>
      </c>
      <c r="AN761" s="6" t="n">
        <f aca="false">FALSE()</f>
        <v>0</v>
      </c>
    </row>
    <row r="762" customFormat="false" ht="52.5" hidden="false" customHeight="true" outlineLevel="0" collapsed="false">
      <c r="AJ762" s="6" t="str">
        <v/>
      </c>
      <c r="AK762" s="6" t="str">
        <v/>
      </c>
      <c r="AL762" s="6" t="str">
        <v/>
      </c>
      <c r="AM762" s="6" t="str">
        <v/>
      </c>
      <c r="AN762" s="6" t="n">
        <f aca="false">FALSE()</f>
        <v>0</v>
      </c>
    </row>
    <row r="763" customFormat="false" ht="52.5" hidden="false" customHeight="true" outlineLevel="0" collapsed="false">
      <c r="AJ763" s="6" t="str">
        <v/>
      </c>
      <c r="AK763" s="6" t="str">
        <v/>
      </c>
      <c r="AL763" s="6" t="str">
        <v/>
      </c>
      <c r="AM763" s="6" t="str">
        <v/>
      </c>
      <c r="AN763" s="6" t="n">
        <f aca="false">FALSE()</f>
        <v>0</v>
      </c>
    </row>
    <row r="764" customFormat="false" ht="52.5" hidden="false" customHeight="true" outlineLevel="0" collapsed="false">
      <c r="AJ764" s="6" t="str">
        <v/>
      </c>
      <c r="AK764" s="6" t="str">
        <v/>
      </c>
      <c r="AL764" s="6" t="str">
        <v/>
      </c>
      <c r="AM764" s="6" t="str">
        <v/>
      </c>
      <c r="AN764" s="6" t="n">
        <f aca="false">FALSE()</f>
        <v>0</v>
      </c>
    </row>
    <row r="765" customFormat="false" ht="52.5" hidden="false" customHeight="true" outlineLevel="0" collapsed="false">
      <c r="AJ765" s="6" t="str">
        <v/>
      </c>
      <c r="AK765" s="6" t="str">
        <v/>
      </c>
      <c r="AL765" s="6" t="str">
        <v/>
      </c>
      <c r="AM765" s="6" t="str">
        <v/>
      </c>
      <c r="AN765" s="6" t="n">
        <f aca="false">FALSE()</f>
        <v>0</v>
      </c>
    </row>
    <row r="766" customFormat="false" ht="52.5" hidden="false" customHeight="true" outlineLevel="0" collapsed="false">
      <c r="AJ766" s="6" t="str">
        <v/>
      </c>
      <c r="AK766" s="6" t="str">
        <v/>
      </c>
      <c r="AL766" s="6" t="str">
        <v/>
      </c>
      <c r="AM766" s="6" t="str">
        <v/>
      </c>
      <c r="AN766" s="6" t="n">
        <f aca="false">FALSE()</f>
        <v>0</v>
      </c>
    </row>
    <row r="767" customFormat="false" ht="52.5" hidden="false" customHeight="true" outlineLevel="0" collapsed="false">
      <c r="AJ767" s="6" t="str">
        <v/>
      </c>
      <c r="AK767" s="6" t="str">
        <v/>
      </c>
      <c r="AL767" s="6" t="str">
        <v/>
      </c>
      <c r="AM767" s="6" t="str">
        <v/>
      </c>
      <c r="AN767" s="6" t="n">
        <f aca="false">FALSE()</f>
        <v>0</v>
      </c>
    </row>
    <row r="768" customFormat="false" ht="52.5" hidden="false" customHeight="true" outlineLevel="0" collapsed="false">
      <c r="AJ768" s="6" t="str">
        <v/>
      </c>
      <c r="AK768" s="6" t="str">
        <v/>
      </c>
      <c r="AL768" s="6" t="str">
        <v/>
      </c>
      <c r="AM768" s="6" t="str">
        <v/>
      </c>
      <c r="AN768" s="6" t="n">
        <f aca="false">FALSE()</f>
        <v>0</v>
      </c>
    </row>
    <row r="769" customFormat="false" ht="52.5" hidden="false" customHeight="true" outlineLevel="0" collapsed="false">
      <c r="AJ769" s="6" t="str">
        <v/>
      </c>
      <c r="AK769" s="6" t="str">
        <v/>
      </c>
      <c r="AL769" s="6" t="str">
        <v/>
      </c>
      <c r="AM769" s="6" t="str">
        <v/>
      </c>
      <c r="AN769" s="6" t="n">
        <f aca="false">FALSE()</f>
        <v>0</v>
      </c>
    </row>
    <row r="770" customFormat="false" ht="52.5" hidden="false" customHeight="true" outlineLevel="0" collapsed="false">
      <c r="AJ770" s="6" t="str">
        <v/>
      </c>
      <c r="AK770" s="6" t="str">
        <v/>
      </c>
      <c r="AL770" s="6" t="str">
        <v/>
      </c>
      <c r="AM770" s="6" t="str">
        <v/>
      </c>
      <c r="AN770" s="6" t="n">
        <f aca="false">FALSE()</f>
        <v>0</v>
      </c>
    </row>
    <row r="771" customFormat="false" ht="52.5" hidden="false" customHeight="true" outlineLevel="0" collapsed="false">
      <c r="AJ771" s="6" t="str">
        <v/>
      </c>
      <c r="AK771" s="6" t="str">
        <v/>
      </c>
      <c r="AL771" s="6" t="str">
        <v/>
      </c>
      <c r="AM771" s="6" t="str">
        <v/>
      </c>
      <c r="AN771" s="6" t="n">
        <f aca="false">FALSE()</f>
        <v>0</v>
      </c>
    </row>
    <row r="772" customFormat="false" ht="52.5" hidden="false" customHeight="true" outlineLevel="0" collapsed="false">
      <c r="AJ772" s="6" t="str">
        <v/>
      </c>
      <c r="AK772" s="6" t="str">
        <v/>
      </c>
      <c r="AL772" s="6" t="str">
        <v/>
      </c>
      <c r="AM772" s="6" t="str">
        <v/>
      </c>
      <c r="AN772" s="6" t="n">
        <f aca="false">FALSE()</f>
        <v>0</v>
      </c>
    </row>
    <row r="773" customFormat="false" ht="52.5" hidden="false" customHeight="true" outlineLevel="0" collapsed="false">
      <c r="AJ773" s="6" t="str">
        <v/>
      </c>
      <c r="AK773" s="6" t="str">
        <v/>
      </c>
      <c r="AL773" s="6" t="str">
        <v/>
      </c>
      <c r="AM773" s="6" t="str">
        <v/>
      </c>
      <c r="AN773" s="6" t="n">
        <f aca="false">FALSE()</f>
        <v>0</v>
      </c>
    </row>
    <row r="774" customFormat="false" ht="52.5" hidden="false" customHeight="true" outlineLevel="0" collapsed="false">
      <c r="AJ774" s="6" t="str">
        <v/>
      </c>
      <c r="AK774" s="6" t="str">
        <v/>
      </c>
      <c r="AL774" s="6" t="str">
        <v/>
      </c>
      <c r="AM774" s="6" t="str">
        <v/>
      </c>
      <c r="AN774" s="6" t="n">
        <f aca="false">FALSE()</f>
        <v>0</v>
      </c>
    </row>
    <row r="775" customFormat="false" ht="52.5" hidden="false" customHeight="true" outlineLevel="0" collapsed="false">
      <c r="AJ775" s="6" t="str">
        <v/>
      </c>
      <c r="AK775" s="6" t="str">
        <v/>
      </c>
      <c r="AL775" s="6" t="str">
        <v/>
      </c>
      <c r="AM775" s="6" t="str">
        <v/>
      </c>
      <c r="AN775" s="6" t="n">
        <f aca="false">FALSE()</f>
        <v>0</v>
      </c>
    </row>
    <row r="776" customFormat="false" ht="52.5" hidden="false" customHeight="true" outlineLevel="0" collapsed="false">
      <c r="AJ776" s="6" t="str">
        <v/>
      </c>
      <c r="AK776" s="6" t="str">
        <v/>
      </c>
      <c r="AL776" s="6" t="str">
        <v/>
      </c>
      <c r="AM776" s="6" t="str">
        <v/>
      </c>
      <c r="AN776" s="6" t="n">
        <f aca="false">FALSE()</f>
        <v>0</v>
      </c>
    </row>
    <row r="777" customFormat="false" ht="52.5" hidden="false" customHeight="true" outlineLevel="0" collapsed="false">
      <c r="AJ777" s="6" t="str">
        <v/>
      </c>
      <c r="AK777" s="6" t="str">
        <v/>
      </c>
      <c r="AL777" s="6" t="str">
        <v/>
      </c>
      <c r="AM777" s="6" t="str">
        <v/>
      </c>
      <c r="AN777" s="6" t="n">
        <f aca="false">FALSE()</f>
        <v>0</v>
      </c>
    </row>
    <row r="778" customFormat="false" ht="52.5" hidden="false" customHeight="true" outlineLevel="0" collapsed="false">
      <c r="AJ778" s="6" t="str">
        <v/>
      </c>
      <c r="AK778" s="6" t="str">
        <v/>
      </c>
      <c r="AL778" s="6" t="str">
        <v/>
      </c>
      <c r="AM778" s="6" t="str">
        <v/>
      </c>
      <c r="AN778" s="6" t="n">
        <f aca="false">FALSE()</f>
        <v>0</v>
      </c>
    </row>
    <row r="779" customFormat="false" ht="52.5" hidden="false" customHeight="true" outlineLevel="0" collapsed="false">
      <c r="AJ779" s="6" t="str">
        <v/>
      </c>
      <c r="AK779" s="6" t="str">
        <v/>
      </c>
      <c r="AL779" s="6" t="str">
        <v/>
      </c>
      <c r="AM779" s="6" t="str">
        <v/>
      </c>
      <c r="AN779" s="6" t="n">
        <f aca="false">FALSE()</f>
        <v>0</v>
      </c>
    </row>
    <row r="780" customFormat="false" ht="52.5" hidden="false" customHeight="true" outlineLevel="0" collapsed="false">
      <c r="AJ780" s="6" t="str">
        <v/>
      </c>
      <c r="AK780" s="6" t="str">
        <v/>
      </c>
      <c r="AL780" s="6" t="str">
        <v/>
      </c>
      <c r="AM780" s="6" t="str">
        <v/>
      </c>
      <c r="AN780" s="6" t="n">
        <f aca="false">FALSE()</f>
        <v>0</v>
      </c>
    </row>
    <row r="781" customFormat="false" ht="52.5" hidden="false" customHeight="true" outlineLevel="0" collapsed="false">
      <c r="AJ781" s="6" t="str">
        <v/>
      </c>
      <c r="AK781" s="6" t="str">
        <v/>
      </c>
      <c r="AL781" s="6" t="str">
        <v/>
      </c>
      <c r="AM781" s="6" t="str">
        <v/>
      </c>
      <c r="AN781" s="6" t="n">
        <f aca="false">FALSE()</f>
        <v>0</v>
      </c>
    </row>
    <row r="782" customFormat="false" ht="52.5" hidden="false" customHeight="true" outlineLevel="0" collapsed="false">
      <c r="AJ782" s="6" t="str">
        <v/>
      </c>
      <c r="AK782" s="6" t="str">
        <v/>
      </c>
      <c r="AL782" s="6" t="str">
        <v/>
      </c>
      <c r="AM782" s="6" t="str">
        <v/>
      </c>
      <c r="AN782" s="6" t="n">
        <f aca="false">FALSE()</f>
        <v>0</v>
      </c>
    </row>
    <row r="783" customFormat="false" ht="52.5" hidden="false" customHeight="true" outlineLevel="0" collapsed="false">
      <c r="AJ783" s="6" t="str">
        <v/>
      </c>
      <c r="AK783" s="6" t="str">
        <v/>
      </c>
      <c r="AL783" s="6" t="str">
        <v/>
      </c>
      <c r="AM783" s="6" t="str">
        <v/>
      </c>
      <c r="AN783" s="6" t="n">
        <f aca="false">FALSE()</f>
        <v>0</v>
      </c>
    </row>
    <row r="784" customFormat="false" ht="52.5" hidden="false" customHeight="true" outlineLevel="0" collapsed="false">
      <c r="AJ784" s="6" t="str">
        <v/>
      </c>
      <c r="AK784" s="6" t="str">
        <v/>
      </c>
      <c r="AL784" s="6" t="str">
        <v/>
      </c>
      <c r="AM784" s="6" t="str">
        <v/>
      </c>
      <c r="AN784" s="6" t="n">
        <f aca="false">FALSE()</f>
        <v>0</v>
      </c>
    </row>
    <row r="785" customFormat="false" ht="52.5" hidden="false" customHeight="true" outlineLevel="0" collapsed="false">
      <c r="AJ785" s="6" t="str">
        <v/>
      </c>
      <c r="AK785" s="6" t="str">
        <v/>
      </c>
      <c r="AL785" s="6" t="str">
        <v/>
      </c>
      <c r="AM785" s="6" t="str">
        <v/>
      </c>
      <c r="AN785" s="6" t="n">
        <f aca="false">FALSE()</f>
        <v>0</v>
      </c>
    </row>
    <row r="786" customFormat="false" ht="52.5" hidden="false" customHeight="true" outlineLevel="0" collapsed="false">
      <c r="AJ786" s="6" t="str">
        <v/>
      </c>
      <c r="AK786" s="6" t="str">
        <v/>
      </c>
      <c r="AL786" s="6" t="str">
        <v/>
      </c>
      <c r="AM786" s="6" t="str">
        <v/>
      </c>
      <c r="AN786" s="6" t="n">
        <f aca="false">FALSE()</f>
        <v>0</v>
      </c>
    </row>
    <row r="787" customFormat="false" ht="52.5" hidden="false" customHeight="true" outlineLevel="0" collapsed="false">
      <c r="AJ787" s="6" t="str">
        <v/>
      </c>
      <c r="AK787" s="6" t="str">
        <v/>
      </c>
      <c r="AL787" s="6" t="str">
        <v/>
      </c>
      <c r="AM787" s="6" t="str">
        <v/>
      </c>
      <c r="AN787" s="6" t="n">
        <f aca="false">FALSE()</f>
        <v>0</v>
      </c>
    </row>
    <row r="788" customFormat="false" ht="52.5" hidden="false" customHeight="true" outlineLevel="0" collapsed="false">
      <c r="AJ788" s="6" t="str">
        <v/>
      </c>
      <c r="AK788" s="6" t="str">
        <v/>
      </c>
      <c r="AL788" s="6" t="str">
        <v/>
      </c>
      <c r="AM788" s="6" t="str">
        <v/>
      </c>
      <c r="AN788" s="6" t="n">
        <f aca="false">FALSE()</f>
        <v>0</v>
      </c>
    </row>
    <row r="789" customFormat="false" ht="52.5" hidden="false" customHeight="true" outlineLevel="0" collapsed="false">
      <c r="AJ789" s="6" t="str">
        <v/>
      </c>
      <c r="AK789" s="6" t="str">
        <v/>
      </c>
      <c r="AL789" s="6" t="str">
        <v/>
      </c>
      <c r="AM789" s="6" t="str">
        <v/>
      </c>
      <c r="AN789" s="6" t="n">
        <f aca="false">FALSE()</f>
        <v>0</v>
      </c>
    </row>
    <row r="790" customFormat="false" ht="52.5" hidden="false" customHeight="true" outlineLevel="0" collapsed="false">
      <c r="AJ790" s="6" t="str">
        <v/>
      </c>
      <c r="AK790" s="6" t="str">
        <v/>
      </c>
      <c r="AL790" s="6" t="str">
        <v/>
      </c>
      <c r="AM790" s="6" t="str">
        <v/>
      </c>
      <c r="AN790" s="6" t="n">
        <f aca="false">FALSE()</f>
        <v>0</v>
      </c>
    </row>
    <row r="791" customFormat="false" ht="52.5" hidden="false" customHeight="true" outlineLevel="0" collapsed="false">
      <c r="AJ791" s="6" t="str">
        <v/>
      </c>
      <c r="AK791" s="6" t="str">
        <v/>
      </c>
      <c r="AL791" s="6" t="str">
        <v/>
      </c>
      <c r="AM791" s="6" t="str">
        <v/>
      </c>
      <c r="AN791" s="6" t="n">
        <f aca="false">FALSE()</f>
        <v>0</v>
      </c>
    </row>
    <row r="792" customFormat="false" ht="52.5" hidden="false" customHeight="true" outlineLevel="0" collapsed="false">
      <c r="AJ792" s="6" t="str">
        <v/>
      </c>
      <c r="AK792" s="6" t="str">
        <v/>
      </c>
      <c r="AL792" s="6" t="str">
        <v/>
      </c>
      <c r="AM792" s="6" t="str">
        <v/>
      </c>
      <c r="AN792" s="6" t="n">
        <f aca="false">FALSE()</f>
        <v>0</v>
      </c>
    </row>
    <row r="793" customFormat="false" ht="52.5" hidden="false" customHeight="true" outlineLevel="0" collapsed="false">
      <c r="AJ793" s="6" t="str">
        <v/>
      </c>
      <c r="AK793" s="6" t="str">
        <v/>
      </c>
      <c r="AL793" s="6" t="str">
        <v/>
      </c>
      <c r="AM793" s="6" t="str">
        <v/>
      </c>
      <c r="AN793" s="6" t="n">
        <f aca="false">FALSE()</f>
        <v>0</v>
      </c>
    </row>
    <row r="794" customFormat="false" ht="52.5" hidden="false" customHeight="true" outlineLevel="0" collapsed="false">
      <c r="AJ794" s="6" t="str">
        <v/>
      </c>
      <c r="AK794" s="6" t="str">
        <v/>
      </c>
      <c r="AL794" s="6" t="str">
        <v/>
      </c>
      <c r="AM794" s="6" t="str">
        <v/>
      </c>
      <c r="AN794" s="6" t="n">
        <f aca="false">FALSE()</f>
        <v>0</v>
      </c>
    </row>
    <row r="795" customFormat="false" ht="52.5" hidden="false" customHeight="true" outlineLevel="0" collapsed="false">
      <c r="AJ795" s="6" t="str">
        <v/>
      </c>
      <c r="AK795" s="6" t="str">
        <v/>
      </c>
      <c r="AL795" s="6" t="str">
        <v/>
      </c>
      <c r="AM795" s="6" t="str">
        <v/>
      </c>
      <c r="AN795" s="6" t="n">
        <f aca="false">FALSE()</f>
        <v>0</v>
      </c>
    </row>
    <row r="796" customFormat="false" ht="52.5" hidden="false" customHeight="true" outlineLevel="0" collapsed="false">
      <c r="AJ796" s="6" t="str">
        <v/>
      </c>
      <c r="AK796" s="6" t="str">
        <v/>
      </c>
      <c r="AL796" s="6" t="str">
        <v/>
      </c>
      <c r="AM796" s="6" t="str">
        <v/>
      </c>
      <c r="AN796" s="6" t="n">
        <f aca="false">FALSE()</f>
        <v>0</v>
      </c>
    </row>
    <row r="797" customFormat="false" ht="52.5" hidden="false" customHeight="true" outlineLevel="0" collapsed="false">
      <c r="AJ797" s="6" t="str">
        <v/>
      </c>
      <c r="AK797" s="6" t="str">
        <v/>
      </c>
      <c r="AL797" s="6" t="str">
        <v/>
      </c>
      <c r="AM797" s="6" t="str">
        <v/>
      </c>
      <c r="AN797" s="6" t="n">
        <f aca="false">FALSE()</f>
        <v>0</v>
      </c>
    </row>
    <row r="798" customFormat="false" ht="52.5" hidden="false" customHeight="true" outlineLevel="0" collapsed="false">
      <c r="AJ798" s="6" t="str">
        <v/>
      </c>
      <c r="AK798" s="6" t="str">
        <v/>
      </c>
      <c r="AL798" s="6" t="str">
        <v/>
      </c>
      <c r="AM798" s="6" t="str">
        <v/>
      </c>
      <c r="AN798" s="6" t="n">
        <f aca="false">FALSE()</f>
        <v>0</v>
      </c>
    </row>
    <row r="799" customFormat="false" ht="52.5" hidden="false" customHeight="true" outlineLevel="0" collapsed="false">
      <c r="AJ799" s="6" t="str">
        <v/>
      </c>
      <c r="AK799" s="6" t="str">
        <v/>
      </c>
      <c r="AL799" s="6" t="str">
        <v/>
      </c>
      <c r="AM799" s="6" t="str">
        <v/>
      </c>
      <c r="AN799" s="6" t="n">
        <f aca="false">FALSE()</f>
        <v>0</v>
      </c>
    </row>
    <row r="800" customFormat="false" ht="52.5" hidden="false" customHeight="true" outlineLevel="0" collapsed="false">
      <c r="AJ800" s="6" t="str">
        <v/>
      </c>
      <c r="AK800" s="6" t="str">
        <v/>
      </c>
      <c r="AL800" s="6" t="str">
        <v/>
      </c>
      <c r="AM800" s="6" t="str">
        <v/>
      </c>
      <c r="AN800" s="6" t="n">
        <f aca="false">FALSE()</f>
        <v>0</v>
      </c>
    </row>
    <row r="801" customFormat="false" ht="52.5" hidden="false" customHeight="true" outlineLevel="0" collapsed="false">
      <c r="AJ801" s="6" t="str">
        <v/>
      </c>
      <c r="AK801" s="6" t="str">
        <v/>
      </c>
      <c r="AL801" s="6" t="str">
        <v/>
      </c>
      <c r="AM801" s="6" t="str">
        <v/>
      </c>
      <c r="AN801" s="6" t="n">
        <f aca="false">FALSE()</f>
        <v>0</v>
      </c>
    </row>
    <row r="802" customFormat="false" ht="52.5" hidden="false" customHeight="true" outlineLevel="0" collapsed="false">
      <c r="AJ802" s="6" t="str">
        <v/>
      </c>
      <c r="AK802" s="6" t="str">
        <v/>
      </c>
      <c r="AL802" s="6" t="str">
        <v/>
      </c>
      <c r="AM802" s="6" t="str">
        <v/>
      </c>
      <c r="AN802" s="6" t="n">
        <f aca="false">FALSE()</f>
        <v>0</v>
      </c>
    </row>
    <row r="803" customFormat="false" ht="52.5" hidden="false" customHeight="true" outlineLevel="0" collapsed="false">
      <c r="AJ803" s="6" t="str">
        <v/>
      </c>
      <c r="AK803" s="6" t="str">
        <v/>
      </c>
      <c r="AL803" s="6" t="str">
        <v/>
      </c>
      <c r="AM803" s="6" t="str">
        <v/>
      </c>
      <c r="AN803" s="6" t="n">
        <f aca="false">FALSE()</f>
        <v>0</v>
      </c>
    </row>
    <row r="804" customFormat="false" ht="52.5" hidden="false" customHeight="true" outlineLevel="0" collapsed="false">
      <c r="AJ804" s="6" t="str">
        <v/>
      </c>
      <c r="AK804" s="6" t="str">
        <v/>
      </c>
      <c r="AL804" s="6" t="str">
        <v/>
      </c>
      <c r="AM804" s="6" t="str">
        <v/>
      </c>
      <c r="AN804" s="6" t="n">
        <f aca="false">FALSE()</f>
        <v>0</v>
      </c>
    </row>
    <row r="805" customFormat="false" ht="52.5" hidden="false" customHeight="true" outlineLevel="0" collapsed="false">
      <c r="AJ805" s="6" t="str">
        <v/>
      </c>
      <c r="AK805" s="6" t="str">
        <v/>
      </c>
      <c r="AL805" s="6" t="str">
        <v/>
      </c>
      <c r="AM805" s="6" t="str">
        <v/>
      </c>
      <c r="AN805" s="6" t="n">
        <f aca="false">FALSE()</f>
        <v>0</v>
      </c>
    </row>
    <row r="806" customFormat="false" ht="52.5" hidden="false" customHeight="true" outlineLevel="0" collapsed="false">
      <c r="AJ806" s="6" t="str">
        <v/>
      </c>
      <c r="AK806" s="6" t="str">
        <v/>
      </c>
      <c r="AL806" s="6" t="str">
        <v/>
      </c>
      <c r="AM806" s="6" t="str">
        <v/>
      </c>
      <c r="AN806" s="6" t="n">
        <f aca="false">FALSE()</f>
        <v>0</v>
      </c>
    </row>
    <row r="807" customFormat="false" ht="52.5" hidden="false" customHeight="true" outlineLevel="0" collapsed="false">
      <c r="AJ807" s="6" t="str">
        <v/>
      </c>
      <c r="AK807" s="6" t="str">
        <v/>
      </c>
      <c r="AL807" s="6" t="str">
        <v/>
      </c>
      <c r="AM807" s="6" t="str">
        <v/>
      </c>
      <c r="AN807" s="6" t="n">
        <f aca="false">FALSE()</f>
        <v>0</v>
      </c>
    </row>
    <row r="808" customFormat="false" ht="52.5" hidden="false" customHeight="true" outlineLevel="0" collapsed="false">
      <c r="AJ808" s="6" t="str">
        <v/>
      </c>
      <c r="AK808" s="6" t="str">
        <v/>
      </c>
      <c r="AL808" s="6" t="str">
        <v/>
      </c>
      <c r="AM808" s="6" t="str">
        <v/>
      </c>
      <c r="AN808" s="6" t="n">
        <f aca="false">FALSE()</f>
        <v>0</v>
      </c>
    </row>
    <row r="809" customFormat="false" ht="52.5" hidden="false" customHeight="true" outlineLevel="0" collapsed="false">
      <c r="AJ809" s="6" t="str">
        <v/>
      </c>
      <c r="AK809" s="6" t="str">
        <v/>
      </c>
      <c r="AL809" s="6" t="str">
        <v/>
      </c>
      <c r="AM809" s="6" t="str">
        <v/>
      </c>
      <c r="AN809" s="6" t="n">
        <f aca="false">FALSE()</f>
        <v>0</v>
      </c>
    </row>
    <row r="810" customFormat="false" ht="52.5" hidden="false" customHeight="true" outlineLevel="0" collapsed="false">
      <c r="AJ810" s="6" t="str">
        <v/>
      </c>
      <c r="AK810" s="6" t="str">
        <v/>
      </c>
      <c r="AL810" s="6" t="str">
        <v/>
      </c>
      <c r="AM810" s="6" t="str">
        <v/>
      </c>
      <c r="AN810" s="6" t="n">
        <f aca="false">FALSE()</f>
        <v>0</v>
      </c>
    </row>
    <row r="811" customFormat="false" ht="52.5" hidden="false" customHeight="true" outlineLevel="0" collapsed="false">
      <c r="AJ811" s="6" t="str">
        <v/>
      </c>
      <c r="AK811" s="6" t="str">
        <v/>
      </c>
      <c r="AL811" s="6" t="str">
        <v/>
      </c>
      <c r="AM811" s="6" t="str">
        <v/>
      </c>
      <c r="AN811" s="6" t="n">
        <f aca="false">FALSE()</f>
        <v>0</v>
      </c>
    </row>
    <row r="812" customFormat="false" ht="52.5" hidden="false" customHeight="true" outlineLevel="0" collapsed="false">
      <c r="AJ812" s="6" t="str">
        <v/>
      </c>
      <c r="AK812" s="6" t="str">
        <v/>
      </c>
      <c r="AL812" s="6" t="str">
        <v/>
      </c>
      <c r="AM812" s="6" t="str">
        <v/>
      </c>
      <c r="AN812" s="6" t="n">
        <f aca="false">FALSE()</f>
        <v>0</v>
      </c>
    </row>
    <row r="813" customFormat="false" ht="52.5" hidden="false" customHeight="true" outlineLevel="0" collapsed="false">
      <c r="AJ813" s="6" t="str">
        <v/>
      </c>
      <c r="AK813" s="6" t="str">
        <v/>
      </c>
      <c r="AL813" s="6" t="str">
        <v/>
      </c>
      <c r="AM813" s="6" t="str">
        <v/>
      </c>
      <c r="AN813" s="6" t="n">
        <f aca="false">FALSE()</f>
        <v>0</v>
      </c>
    </row>
    <row r="814" customFormat="false" ht="52.5" hidden="false" customHeight="true" outlineLevel="0" collapsed="false">
      <c r="AJ814" s="6" t="str">
        <v/>
      </c>
      <c r="AK814" s="6" t="str">
        <v/>
      </c>
      <c r="AL814" s="6" t="str">
        <v/>
      </c>
      <c r="AM814" s="6" t="str">
        <v/>
      </c>
      <c r="AN814" s="6" t="n">
        <f aca="false">FALSE()</f>
        <v>0</v>
      </c>
    </row>
    <row r="815" customFormat="false" ht="52.5" hidden="false" customHeight="true" outlineLevel="0" collapsed="false">
      <c r="AJ815" s="6" t="str">
        <v/>
      </c>
      <c r="AK815" s="6" t="str">
        <v/>
      </c>
      <c r="AL815" s="6" t="str">
        <v/>
      </c>
      <c r="AM815" s="6" t="str">
        <v/>
      </c>
      <c r="AN815" s="6" t="n">
        <f aca="false">FALSE()</f>
        <v>0</v>
      </c>
    </row>
    <row r="816" customFormat="false" ht="52.5" hidden="false" customHeight="true" outlineLevel="0" collapsed="false">
      <c r="AJ816" s="6" t="str">
        <v/>
      </c>
      <c r="AK816" s="6" t="str">
        <v/>
      </c>
      <c r="AL816" s="6" t="str">
        <v/>
      </c>
      <c r="AM816" s="6" t="str">
        <v/>
      </c>
      <c r="AN816" s="6" t="n">
        <f aca="false">FALSE()</f>
        <v>0</v>
      </c>
    </row>
    <row r="817" customFormat="false" ht="52.5" hidden="false" customHeight="true" outlineLevel="0" collapsed="false">
      <c r="AJ817" s="6" t="str">
        <v/>
      </c>
      <c r="AK817" s="6" t="str">
        <v/>
      </c>
      <c r="AL817" s="6" t="str">
        <v/>
      </c>
      <c r="AM817" s="6" t="str">
        <v/>
      </c>
      <c r="AN817" s="6" t="n">
        <f aca="false">FALSE()</f>
        <v>0</v>
      </c>
    </row>
    <row r="818" customFormat="false" ht="52.5" hidden="false" customHeight="true" outlineLevel="0" collapsed="false">
      <c r="AJ818" s="6" t="str">
        <v/>
      </c>
      <c r="AK818" s="6" t="str">
        <v/>
      </c>
      <c r="AL818" s="6" t="str">
        <v/>
      </c>
      <c r="AM818" s="6" t="str">
        <v/>
      </c>
      <c r="AN818" s="6" t="n">
        <f aca="false">FALSE()</f>
        <v>0</v>
      </c>
    </row>
    <row r="819" customFormat="false" ht="52.5" hidden="false" customHeight="true" outlineLevel="0" collapsed="false">
      <c r="AJ819" s="6" t="str">
        <v/>
      </c>
      <c r="AK819" s="6" t="str">
        <v/>
      </c>
      <c r="AL819" s="6" t="str">
        <v/>
      </c>
      <c r="AM819" s="6" t="str">
        <v/>
      </c>
      <c r="AN819" s="6" t="n">
        <f aca="false">FALSE()</f>
        <v>0</v>
      </c>
    </row>
    <row r="820" customFormat="false" ht="52.5" hidden="false" customHeight="true" outlineLevel="0" collapsed="false">
      <c r="AJ820" s="6" t="str">
        <v/>
      </c>
      <c r="AK820" s="6" t="str">
        <v/>
      </c>
      <c r="AL820" s="6" t="str">
        <v/>
      </c>
      <c r="AM820" s="6" t="str">
        <v/>
      </c>
      <c r="AN820" s="6" t="n">
        <f aca="false">FALSE()</f>
        <v>0</v>
      </c>
    </row>
    <row r="821" customFormat="false" ht="52.5" hidden="false" customHeight="true" outlineLevel="0" collapsed="false">
      <c r="AJ821" s="6" t="str">
        <v/>
      </c>
      <c r="AK821" s="6" t="str">
        <v/>
      </c>
      <c r="AL821" s="6" t="str">
        <v/>
      </c>
      <c r="AM821" s="6" t="str">
        <v/>
      </c>
      <c r="AN821" s="6" t="n">
        <f aca="false">FALSE()</f>
        <v>0</v>
      </c>
    </row>
    <row r="822" customFormat="false" ht="52.5" hidden="false" customHeight="true" outlineLevel="0" collapsed="false">
      <c r="AJ822" s="6" t="str">
        <v/>
      </c>
      <c r="AK822" s="6" t="str">
        <v/>
      </c>
      <c r="AL822" s="6" t="str">
        <v/>
      </c>
      <c r="AM822" s="6" t="str">
        <v/>
      </c>
      <c r="AN822" s="6" t="n">
        <f aca="false">FALSE()</f>
        <v>0</v>
      </c>
    </row>
    <row r="823" customFormat="false" ht="52.5" hidden="false" customHeight="true" outlineLevel="0" collapsed="false">
      <c r="AJ823" s="6" t="str">
        <v/>
      </c>
      <c r="AK823" s="6" t="str">
        <v/>
      </c>
      <c r="AL823" s="6" t="str">
        <v/>
      </c>
      <c r="AM823" s="6" t="str">
        <v/>
      </c>
      <c r="AN823" s="6" t="n">
        <f aca="false">FALSE()</f>
        <v>0</v>
      </c>
    </row>
    <row r="824" customFormat="false" ht="52.5" hidden="false" customHeight="true" outlineLevel="0" collapsed="false">
      <c r="AJ824" s="6" t="str">
        <v/>
      </c>
      <c r="AK824" s="6" t="str">
        <v/>
      </c>
      <c r="AL824" s="6" t="str">
        <v/>
      </c>
      <c r="AM824" s="6" t="str">
        <v/>
      </c>
      <c r="AN824" s="6" t="n">
        <f aca="false">FALSE()</f>
        <v>0</v>
      </c>
    </row>
    <row r="825" customFormat="false" ht="52.5" hidden="false" customHeight="true" outlineLevel="0" collapsed="false">
      <c r="AJ825" s="6" t="str">
        <v/>
      </c>
      <c r="AK825" s="6" t="str">
        <v/>
      </c>
      <c r="AL825" s="6" t="str">
        <v/>
      </c>
      <c r="AM825" s="6" t="str">
        <v/>
      </c>
      <c r="AN825" s="6" t="n">
        <f aca="false">FALSE()</f>
        <v>0</v>
      </c>
    </row>
    <row r="826" customFormat="false" ht="52.5" hidden="false" customHeight="true" outlineLevel="0" collapsed="false">
      <c r="AJ826" s="6" t="str">
        <v/>
      </c>
      <c r="AK826" s="6" t="str">
        <v/>
      </c>
      <c r="AL826" s="6" t="str">
        <v/>
      </c>
      <c r="AM826" s="6" t="str">
        <v/>
      </c>
      <c r="AN826" s="6" t="n">
        <f aca="false">FALSE()</f>
        <v>0</v>
      </c>
    </row>
    <row r="827" customFormat="false" ht="52.5" hidden="false" customHeight="true" outlineLevel="0" collapsed="false">
      <c r="AJ827" s="6" t="str">
        <v/>
      </c>
      <c r="AK827" s="6" t="str">
        <v/>
      </c>
      <c r="AL827" s="6" t="str">
        <v/>
      </c>
      <c r="AM827" s="6" t="str">
        <v/>
      </c>
      <c r="AN827" s="6" t="n">
        <f aca="false">FALSE()</f>
        <v>0</v>
      </c>
    </row>
    <row r="828" customFormat="false" ht="52.5" hidden="false" customHeight="true" outlineLevel="0" collapsed="false">
      <c r="AJ828" s="6" t="str">
        <v/>
      </c>
      <c r="AK828" s="6" t="str">
        <v/>
      </c>
      <c r="AL828" s="6" t="str">
        <v/>
      </c>
      <c r="AM828" s="6" t="str">
        <v/>
      </c>
      <c r="AN828" s="6" t="n">
        <f aca="false">FALSE()</f>
        <v>0</v>
      </c>
    </row>
    <row r="829" customFormat="false" ht="52.5" hidden="false" customHeight="true" outlineLevel="0" collapsed="false">
      <c r="AJ829" s="6" t="str">
        <v/>
      </c>
      <c r="AK829" s="6" t="str">
        <v/>
      </c>
      <c r="AL829" s="6" t="str">
        <v/>
      </c>
      <c r="AM829" s="6" t="str">
        <v/>
      </c>
      <c r="AN829" s="6" t="n">
        <f aca="false">FALSE()</f>
        <v>0</v>
      </c>
    </row>
    <row r="830" customFormat="false" ht="52.5" hidden="false" customHeight="true" outlineLevel="0" collapsed="false">
      <c r="AJ830" s="6" t="str">
        <v/>
      </c>
      <c r="AK830" s="6" t="str">
        <v/>
      </c>
      <c r="AL830" s="6" t="str">
        <v/>
      </c>
      <c r="AM830" s="6" t="str">
        <v/>
      </c>
      <c r="AN830" s="6" t="n">
        <f aca="false">FALSE()</f>
        <v>0</v>
      </c>
    </row>
    <row r="831" customFormat="false" ht="52.5" hidden="false" customHeight="true" outlineLevel="0" collapsed="false">
      <c r="AJ831" s="6" t="str">
        <v/>
      </c>
      <c r="AK831" s="6" t="str">
        <v/>
      </c>
      <c r="AL831" s="6" t="str">
        <v/>
      </c>
      <c r="AM831" s="6" t="str">
        <v/>
      </c>
      <c r="AN831" s="6" t="n">
        <f aca="false">FALSE()</f>
        <v>0</v>
      </c>
    </row>
    <row r="832" customFormat="false" ht="52.5" hidden="false" customHeight="true" outlineLevel="0" collapsed="false">
      <c r="AJ832" s="6" t="str">
        <v/>
      </c>
      <c r="AK832" s="6" t="str">
        <v/>
      </c>
      <c r="AL832" s="6" t="str">
        <v/>
      </c>
      <c r="AM832" s="6" t="str">
        <v/>
      </c>
      <c r="AN832" s="6" t="n">
        <f aca="false">FALSE()</f>
        <v>0</v>
      </c>
    </row>
    <row r="833" customFormat="false" ht="52.5" hidden="false" customHeight="true" outlineLevel="0" collapsed="false">
      <c r="AJ833" s="6" t="str">
        <v/>
      </c>
      <c r="AK833" s="6" t="str">
        <v/>
      </c>
      <c r="AL833" s="6" t="str">
        <v/>
      </c>
      <c r="AM833" s="6" t="str">
        <v/>
      </c>
      <c r="AN833" s="6" t="n">
        <f aca="false">FALSE()</f>
        <v>0</v>
      </c>
    </row>
    <row r="834" customFormat="false" ht="52.5" hidden="false" customHeight="true" outlineLevel="0" collapsed="false">
      <c r="AJ834" s="6" t="str">
        <v/>
      </c>
      <c r="AK834" s="6" t="str">
        <v/>
      </c>
      <c r="AL834" s="6" t="str">
        <v/>
      </c>
      <c r="AM834" s="6" t="str">
        <v/>
      </c>
      <c r="AN834" s="6" t="n">
        <f aca="false">FALSE()</f>
        <v>0</v>
      </c>
    </row>
    <row r="835" customFormat="false" ht="52.5" hidden="false" customHeight="true" outlineLevel="0" collapsed="false">
      <c r="AJ835" s="6" t="str">
        <v/>
      </c>
      <c r="AK835" s="6" t="str">
        <v/>
      </c>
      <c r="AL835" s="6" t="str">
        <v/>
      </c>
      <c r="AM835" s="6" t="str">
        <v/>
      </c>
      <c r="AN835" s="6" t="n">
        <f aca="false">FALSE()</f>
        <v>0</v>
      </c>
    </row>
    <row r="836" customFormat="false" ht="52.5" hidden="false" customHeight="true" outlineLevel="0" collapsed="false">
      <c r="AJ836" s="6" t="str">
        <v/>
      </c>
      <c r="AK836" s="6" t="str">
        <v/>
      </c>
      <c r="AL836" s="6" t="str">
        <v/>
      </c>
      <c r="AM836" s="6" t="str">
        <v/>
      </c>
      <c r="AN836" s="6" t="n">
        <f aca="false">FALSE()</f>
        <v>0</v>
      </c>
    </row>
    <row r="837" customFormat="false" ht="52.5" hidden="false" customHeight="true" outlineLevel="0" collapsed="false">
      <c r="AJ837" s="6" t="str">
        <v/>
      </c>
      <c r="AK837" s="6" t="str">
        <v/>
      </c>
      <c r="AL837" s="6" t="str">
        <v/>
      </c>
      <c r="AM837" s="6" t="str">
        <v/>
      </c>
      <c r="AN837" s="6" t="n">
        <f aca="false">FALSE()</f>
        <v>0</v>
      </c>
    </row>
    <row r="838" customFormat="false" ht="52.5" hidden="false" customHeight="true" outlineLevel="0" collapsed="false">
      <c r="AJ838" s="6" t="str">
        <v/>
      </c>
      <c r="AK838" s="6" t="str">
        <v/>
      </c>
      <c r="AL838" s="6" t="str">
        <v/>
      </c>
      <c r="AM838" s="6" t="str">
        <v/>
      </c>
      <c r="AN838" s="6" t="n">
        <f aca="false">FALSE()</f>
        <v>0</v>
      </c>
    </row>
    <row r="839" customFormat="false" ht="52.5" hidden="false" customHeight="true" outlineLevel="0" collapsed="false">
      <c r="AJ839" s="6" t="str">
        <v/>
      </c>
      <c r="AK839" s="6" t="str">
        <v/>
      </c>
      <c r="AL839" s="6" t="str">
        <v/>
      </c>
      <c r="AM839" s="6" t="str">
        <v/>
      </c>
      <c r="AN839" s="6" t="n">
        <f aca="false">FALSE()</f>
        <v>0</v>
      </c>
    </row>
    <row r="840" customFormat="false" ht="52.5" hidden="false" customHeight="true" outlineLevel="0" collapsed="false">
      <c r="AJ840" s="6" t="str">
        <v/>
      </c>
      <c r="AK840" s="6" t="str">
        <v/>
      </c>
      <c r="AL840" s="6" t="str">
        <v/>
      </c>
      <c r="AM840" s="6" t="str">
        <v/>
      </c>
      <c r="AN840" s="6" t="n">
        <f aca="false">FALSE()</f>
        <v>0</v>
      </c>
    </row>
    <row r="841" customFormat="false" ht="52.5" hidden="false" customHeight="true" outlineLevel="0" collapsed="false">
      <c r="AJ841" s="6" t="str">
        <v/>
      </c>
      <c r="AK841" s="6" t="str">
        <v/>
      </c>
      <c r="AL841" s="6" t="str">
        <v/>
      </c>
      <c r="AM841" s="6" t="str">
        <v/>
      </c>
      <c r="AN841" s="6" t="n">
        <f aca="false">FALSE()</f>
        <v>0</v>
      </c>
    </row>
    <row r="842" customFormat="false" ht="52.5" hidden="false" customHeight="true" outlineLevel="0" collapsed="false">
      <c r="AJ842" s="6" t="str">
        <v/>
      </c>
      <c r="AK842" s="6" t="str">
        <v/>
      </c>
      <c r="AL842" s="6" t="str">
        <v/>
      </c>
      <c r="AM842" s="6" t="str">
        <v/>
      </c>
      <c r="AN842" s="6" t="n">
        <f aca="false">FALSE()</f>
        <v>0</v>
      </c>
    </row>
    <row r="843" customFormat="false" ht="52.5" hidden="false" customHeight="true" outlineLevel="0" collapsed="false">
      <c r="AJ843" s="6" t="str">
        <v/>
      </c>
      <c r="AK843" s="6" t="str">
        <v/>
      </c>
      <c r="AL843" s="6" t="str">
        <v/>
      </c>
      <c r="AM843" s="6" t="str">
        <v/>
      </c>
      <c r="AN843" s="6" t="n">
        <f aca="false">FALSE()</f>
        <v>0</v>
      </c>
    </row>
    <row r="844" customFormat="false" ht="52.5" hidden="false" customHeight="true" outlineLevel="0" collapsed="false">
      <c r="AJ844" s="6" t="str">
        <v/>
      </c>
      <c r="AK844" s="6" t="str">
        <v/>
      </c>
      <c r="AL844" s="6" t="str">
        <v/>
      </c>
      <c r="AM844" s="6" t="str">
        <v/>
      </c>
      <c r="AN844" s="6" t="n">
        <f aca="false">FALSE()</f>
        <v>0</v>
      </c>
    </row>
    <row r="845" customFormat="false" ht="52.5" hidden="false" customHeight="true" outlineLevel="0" collapsed="false">
      <c r="AJ845" s="6" t="str">
        <v/>
      </c>
      <c r="AK845" s="6" t="str">
        <v/>
      </c>
      <c r="AL845" s="6" t="str">
        <v/>
      </c>
      <c r="AM845" s="6" t="str">
        <v/>
      </c>
      <c r="AN845" s="6" t="n">
        <f aca="false">FALSE()</f>
        <v>0</v>
      </c>
    </row>
    <row r="846" customFormat="false" ht="52.5" hidden="false" customHeight="true" outlineLevel="0" collapsed="false">
      <c r="AJ846" s="6" t="str">
        <v/>
      </c>
      <c r="AK846" s="6" t="str">
        <v/>
      </c>
      <c r="AL846" s="6" t="str">
        <v/>
      </c>
      <c r="AM846" s="6" t="str">
        <v/>
      </c>
      <c r="AN846" s="6" t="n">
        <f aca="false">FALSE()</f>
        <v>0</v>
      </c>
    </row>
    <row r="847" customFormat="false" ht="52.5" hidden="false" customHeight="true" outlineLevel="0" collapsed="false">
      <c r="AJ847" s="6" t="str">
        <v/>
      </c>
      <c r="AK847" s="6" t="str">
        <v/>
      </c>
      <c r="AL847" s="6" t="str">
        <v/>
      </c>
      <c r="AM847" s="6" t="str">
        <v/>
      </c>
      <c r="AN847" s="6" t="n">
        <f aca="false">FALSE()</f>
        <v>0</v>
      </c>
    </row>
    <row r="848" customFormat="false" ht="52.5" hidden="false" customHeight="true" outlineLevel="0" collapsed="false">
      <c r="AJ848" s="6" t="str">
        <v/>
      </c>
      <c r="AK848" s="6" t="str">
        <v/>
      </c>
      <c r="AL848" s="6" t="str">
        <v/>
      </c>
      <c r="AM848" s="6" t="str">
        <v/>
      </c>
      <c r="AN848" s="6" t="n">
        <f aca="false">FALSE()</f>
        <v>0</v>
      </c>
    </row>
    <row r="849" customFormat="false" ht="52.5" hidden="false" customHeight="true" outlineLevel="0" collapsed="false">
      <c r="AJ849" s="6" t="str">
        <v/>
      </c>
      <c r="AK849" s="6" t="str">
        <v/>
      </c>
      <c r="AL849" s="6" t="str">
        <v/>
      </c>
      <c r="AM849" s="6" t="str">
        <v/>
      </c>
      <c r="AN849" s="6" t="n">
        <f aca="false">FALSE()</f>
        <v>0</v>
      </c>
    </row>
    <row r="850" customFormat="false" ht="52.5" hidden="false" customHeight="true" outlineLevel="0" collapsed="false">
      <c r="AJ850" s="6" t="str">
        <v/>
      </c>
      <c r="AK850" s="6" t="str">
        <v/>
      </c>
      <c r="AL850" s="6" t="str">
        <v/>
      </c>
      <c r="AM850" s="6" t="str">
        <v/>
      </c>
      <c r="AN850" s="6" t="n">
        <f aca="false">FALSE()</f>
        <v>0</v>
      </c>
    </row>
    <row r="851" customFormat="false" ht="52.5" hidden="false" customHeight="true" outlineLevel="0" collapsed="false">
      <c r="AJ851" s="6" t="str">
        <v/>
      </c>
      <c r="AK851" s="6" t="str">
        <v/>
      </c>
      <c r="AL851" s="6" t="str">
        <v/>
      </c>
      <c r="AM851" s="6" t="str">
        <v/>
      </c>
      <c r="AN851" s="6" t="n">
        <f aca="false">FALSE()</f>
        <v>0</v>
      </c>
    </row>
    <row r="852" customFormat="false" ht="52.5" hidden="false" customHeight="true" outlineLevel="0" collapsed="false">
      <c r="AJ852" s="6" t="str">
        <v/>
      </c>
      <c r="AK852" s="6" t="str">
        <v/>
      </c>
      <c r="AL852" s="6" t="str">
        <v/>
      </c>
      <c r="AM852" s="6" t="str">
        <v/>
      </c>
      <c r="AN852" s="6" t="n">
        <f aca="false">FALSE()</f>
        <v>0</v>
      </c>
    </row>
    <row r="853" customFormat="false" ht="52.5" hidden="false" customHeight="true" outlineLevel="0" collapsed="false">
      <c r="AJ853" s="6" t="str">
        <v/>
      </c>
      <c r="AK853" s="6" t="str">
        <v/>
      </c>
      <c r="AL853" s="6" t="str">
        <v/>
      </c>
      <c r="AM853" s="6" t="str">
        <v/>
      </c>
      <c r="AN853" s="6" t="n">
        <f aca="false">FALSE()</f>
        <v>0</v>
      </c>
    </row>
    <row r="854" customFormat="false" ht="52.5" hidden="false" customHeight="true" outlineLevel="0" collapsed="false">
      <c r="AJ854" s="6" t="str">
        <v/>
      </c>
      <c r="AK854" s="6" t="str">
        <v/>
      </c>
      <c r="AL854" s="6" t="str">
        <v/>
      </c>
      <c r="AM854" s="6" t="str">
        <v/>
      </c>
      <c r="AN854" s="6" t="n">
        <f aca="false">FALSE()</f>
        <v>0</v>
      </c>
    </row>
    <row r="855" customFormat="false" ht="52.5" hidden="false" customHeight="true" outlineLevel="0" collapsed="false">
      <c r="AJ855" s="6" t="str">
        <v/>
      </c>
      <c r="AK855" s="6" t="str">
        <v/>
      </c>
      <c r="AL855" s="6" t="str">
        <v/>
      </c>
      <c r="AM855" s="6" t="str">
        <v/>
      </c>
      <c r="AN855" s="6" t="n">
        <f aca="false">FALSE()</f>
        <v>0</v>
      </c>
    </row>
    <row r="856" customFormat="false" ht="52.5" hidden="false" customHeight="true" outlineLevel="0" collapsed="false">
      <c r="AJ856" s="6" t="str">
        <v/>
      </c>
      <c r="AK856" s="6" t="str">
        <v/>
      </c>
      <c r="AL856" s="6" t="str">
        <v/>
      </c>
      <c r="AM856" s="6" t="str">
        <v/>
      </c>
      <c r="AN856" s="6" t="n">
        <f aca="false">FALSE()</f>
        <v>0</v>
      </c>
    </row>
    <row r="857" customFormat="false" ht="52.5" hidden="false" customHeight="true" outlineLevel="0" collapsed="false">
      <c r="AJ857" s="6" t="str">
        <v/>
      </c>
      <c r="AK857" s="6" t="str">
        <v/>
      </c>
      <c r="AL857" s="6" t="str">
        <v/>
      </c>
      <c r="AM857" s="6" t="str">
        <v/>
      </c>
      <c r="AN857" s="6" t="n">
        <f aca="false">FALSE()</f>
        <v>0</v>
      </c>
    </row>
    <row r="858" customFormat="false" ht="52.5" hidden="false" customHeight="true" outlineLevel="0" collapsed="false">
      <c r="AJ858" s="6" t="str">
        <v/>
      </c>
      <c r="AK858" s="6" t="str">
        <v/>
      </c>
      <c r="AL858" s="6" t="str">
        <v/>
      </c>
      <c r="AM858" s="6" t="str">
        <v/>
      </c>
      <c r="AN858" s="6" t="n">
        <f aca="false">FALSE()</f>
        <v>0</v>
      </c>
    </row>
    <row r="859" customFormat="false" ht="52.5" hidden="false" customHeight="true" outlineLevel="0" collapsed="false">
      <c r="AJ859" s="6" t="str">
        <v/>
      </c>
      <c r="AK859" s="6" t="str">
        <v/>
      </c>
      <c r="AL859" s="6" t="str">
        <v/>
      </c>
      <c r="AM859" s="6" t="str">
        <v/>
      </c>
      <c r="AN859" s="6" t="n">
        <f aca="false">FALSE()</f>
        <v>0</v>
      </c>
    </row>
    <row r="860" customFormat="false" ht="52.5" hidden="false" customHeight="true" outlineLevel="0" collapsed="false">
      <c r="AJ860" s="6" t="str">
        <v/>
      </c>
      <c r="AK860" s="6" t="str">
        <v/>
      </c>
      <c r="AL860" s="6" t="str">
        <v/>
      </c>
      <c r="AM860" s="6" t="str">
        <v/>
      </c>
      <c r="AN860" s="6" t="n">
        <f aca="false">FALSE()</f>
        <v>0</v>
      </c>
    </row>
    <row r="861" customFormat="false" ht="52.5" hidden="false" customHeight="true" outlineLevel="0" collapsed="false">
      <c r="AJ861" s="6" t="str">
        <v/>
      </c>
      <c r="AK861" s="6" t="str">
        <v/>
      </c>
      <c r="AL861" s="6" t="str">
        <v/>
      </c>
      <c r="AM861" s="6" t="str">
        <v/>
      </c>
      <c r="AN861" s="6" t="n">
        <f aca="false">FALSE()</f>
        <v>0</v>
      </c>
    </row>
    <row r="862" customFormat="false" ht="52.5" hidden="false" customHeight="true" outlineLevel="0" collapsed="false">
      <c r="AJ862" s="6" t="str">
        <v/>
      </c>
      <c r="AK862" s="6" t="str">
        <v/>
      </c>
      <c r="AL862" s="6" t="str">
        <v/>
      </c>
      <c r="AM862" s="6" t="str">
        <v/>
      </c>
      <c r="AN862" s="6" t="n">
        <f aca="false">FALSE()</f>
        <v>0</v>
      </c>
    </row>
    <row r="863" customFormat="false" ht="52.5" hidden="false" customHeight="true" outlineLevel="0" collapsed="false">
      <c r="AJ863" s="6" t="str">
        <v/>
      </c>
      <c r="AK863" s="6" t="str">
        <v/>
      </c>
      <c r="AL863" s="6" t="str">
        <v/>
      </c>
      <c r="AM863" s="6" t="str">
        <v/>
      </c>
      <c r="AN863" s="6" t="n">
        <f aca="false">FALSE()</f>
        <v>0</v>
      </c>
    </row>
    <row r="864" customFormat="false" ht="52.5" hidden="false" customHeight="true" outlineLevel="0" collapsed="false">
      <c r="AJ864" s="6" t="str">
        <v/>
      </c>
      <c r="AK864" s="6" t="str">
        <v/>
      </c>
      <c r="AL864" s="6" t="str">
        <v/>
      </c>
      <c r="AM864" s="6" t="str">
        <v/>
      </c>
      <c r="AN864" s="6" t="n">
        <f aca="false">FALSE()</f>
        <v>0</v>
      </c>
    </row>
    <row r="865" customFormat="false" ht="52.5" hidden="false" customHeight="true" outlineLevel="0" collapsed="false">
      <c r="AJ865" s="6" t="str">
        <v/>
      </c>
      <c r="AK865" s="6" t="str">
        <v/>
      </c>
      <c r="AL865" s="6" t="str">
        <v/>
      </c>
      <c r="AM865" s="6" t="str">
        <v/>
      </c>
      <c r="AN865" s="6" t="n">
        <f aca="false">FALSE()</f>
        <v>0</v>
      </c>
    </row>
    <row r="866" customFormat="false" ht="52.5" hidden="false" customHeight="true" outlineLevel="0" collapsed="false">
      <c r="AJ866" s="6" t="str">
        <v/>
      </c>
      <c r="AK866" s="6" t="str">
        <v/>
      </c>
      <c r="AL866" s="6" t="str">
        <v/>
      </c>
      <c r="AM866" s="6" t="str">
        <v/>
      </c>
      <c r="AN866" s="6" t="n">
        <f aca="false">FALSE()</f>
        <v>0</v>
      </c>
    </row>
    <row r="867" customFormat="false" ht="52.5" hidden="false" customHeight="true" outlineLevel="0" collapsed="false">
      <c r="AJ867" s="6" t="str">
        <v/>
      </c>
      <c r="AK867" s="6" t="str">
        <v/>
      </c>
      <c r="AL867" s="6" t="str">
        <v/>
      </c>
      <c r="AM867" s="6" t="str">
        <v/>
      </c>
      <c r="AN867" s="6" t="n">
        <f aca="false">FALSE()</f>
        <v>0</v>
      </c>
    </row>
    <row r="868" customFormat="false" ht="52.5" hidden="false" customHeight="true" outlineLevel="0" collapsed="false">
      <c r="AJ868" s="6" t="str">
        <v/>
      </c>
      <c r="AK868" s="6" t="str">
        <v/>
      </c>
      <c r="AL868" s="6" t="str">
        <v/>
      </c>
      <c r="AM868" s="6" t="str">
        <v/>
      </c>
      <c r="AN868" s="6" t="n">
        <f aca="false">FALSE()</f>
        <v>0</v>
      </c>
    </row>
    <row r="869" customFormat="false" ht="52.5" hidden="false" customHeight="true" outlineLevel="0" collapsed="false">
      <c r="AJ869" s="6" t="str">
        <v/>
      </c>
      <c r="AK869" s="6" t="str">
        <v/>
      </c>
      <c r="AL869" s="6" t="str">
        <v/>
      </c>
      <c r="AM869" s="6" t="str">
        <v/>
      </c>
      <c r="AN869" s="6" t="n">
        <f aca="false">FALSE()</f>
        <v>0</v>
      </c>
    </row>
    <row r="870" customFormat="false" ht="52.5" hidden="false" customHeight="true" outlineLevel="0" collapsed="false">
      <c r="AJ870" s="6" t="str">
        <v/>
      </c>
      <c r="AK870" s="6" t="str">
        <v/>
      </c>
      <c r="AL870" s="6" t="str">
        <v/>
      </c>
      <c r="AM870" s="6" t="str">
        <v/>
      </c>
      <c r="AN870" s="6" t="n">
        <f aca="false">FALSE()</f>
        <v>0</v>
      </c>
    </row>
    <row r="871" customFormat="false" ht="52.5" hidden="false" customHeight="true" outlineLevel="0" collapsed="false">
      <c r="AJ871" s="6" t="str">
        <v/>
      </c>
      <c r="AK871" s="6" t="str">
        <v/>
      </c>
      <c r="AL871" s="6" t="str">
        <v/>
      </c>
      <c r="AM871" s="6" t="str">
        <v/>
      </c>
      <c r="AN871" s="6" t="n">
        <f aca="false">FALSE()</f>
        <v>0</v>
      </c>
    </row>
    <row r="872" customFormat="false" ht="52.5" hidden="false" customHeight="true" outlineLevel="0" collapsed="false">
      <c r="AJ872" s="6" t="str">
        <v/>
      </c>
      <c r="AK872" s="6" t="str">
        <v/>
      </c>
      <c r="AL872" s="6" t="str">
        <v/>
      </c>
      <c r="AM872" s="6" t="str">
        <v/>
      </c>
      <c r="AN872" s="6" t="n">
        <f aca="false">FALSE()</f>
        <v>0</v>
      </c>
    </row>
    <row r="873" customFormat="false" ht="52.5" hidden="false" customHeight="true" outlineLevel="0" collapsed="false">
      <c r="AJ873" s="6" t="str">
        <v/>
      </c>
      <c r="AK873" s="6" t="str">
        <v/>
      </c>
      <c r="AL873" s="6" t="str">
        <v/>
      </c>
      <c r="AM873" s="6" t="str">
        <v/>
      </c>
      <c r="AN873" s="6" t="n">
        <f aca="false">FALSE()</f>
        <v>0</v>
      </c>
    </row>
    <row r="874" customFormat="false" ht="52.5" hidden="false" customHeight="true" outlineLevel="0" collapsed="false">
      <c r="AJ874" s="6" t="str">
        <v/>
      </c>
      <c r="AK874" s="6" t="str">
        <v/>
      </c>
      <c r="AL874" s="6" t="str">
        <v/>
      </c>
      <c r="AM874" s="6" t="str">
        <v/>
      </c>
      <c r="AN874" s="6" t="n">
        <f aca="false">FALSE()</f>
        <v>0</v>
      </c>
    </row>
    <row r="875" customFormat="false" ht="52.5" hidden="false" customHeight="true" outlineLevel="0" collapsed="false">
      <c r="AJ875" s="6" t="str">
        <v/>
      </c>
      <c r="AK875" s="6" t="str">
        <v/>
      </c>
      <c r="AL875" s="6" t="str">
        <v/>
      </c>
      <c r="AM875" s="6" t="str">
        <v/>
      </c>
      <c r="AN875" s="6" t="n">
        <f aca="false">FALSE()</f>
        <v>0</v>
      </c>
    </row>
    <row r="876" customFormat="false" ht="52.5" hidden="false" customHeight="true" outlineLevel="0" collapsed="false">
      <c r="AJ876" s="6" t="str">
        <v/>
      </c>
      <c r="AK876" s="6" t="str">
        <v/>
      </c>
      <c r="AL876" s="6" t="str">
        <v/>
      </c>
      <c r="AM876" s="6" t="str">
        <v/>
      </c>
      <c r="AN876" s="6" t="n">
        <f aca="false">FALSE()</f>
        <v>0</v>
      </c>
    </row>
    <row r="877" customFormat="false" ht="52.5" hidden="false" customHeight="true" outlineLevel="0" collapsed="false">
      <c r="AJ877" s="6" t="str">
        <v/>
      </c>
      <c r="AK877" s="6" t="str">
        <v/>
      </c>
      <c r="AL877" s="6" t="str">
        <v/>
      </c>
      <c r="AM877" s="6" t="str">
        <v/>
      </c>
      <c r="AN877" s="6" t="n">
        <f aca="false">FALSE()</f>
        <v>0</v>
      </c>
    </row>
    <row r="878" customFormat="false" ht="52.5" hidden="false" customHeight="true" outlineLevel="0" collapsed="false">
      <c r="AJ878" s="6" t="str">
        <v/>
      </c>
      <c r="AK878" s="6" t="str">
        <v/>
      </c>
      <c r="AL878" s="6" t="str">
        <v/>
      </c>
      <c r="AM878" s="6" t="str">
        <v/>
      </c>
      <c r="AN878" s="6" t="n">
        <f aca="false">FALSE()</f>
        <v>0</v>
      </c>
    </row>
    <row r="879" customFormat="false" ht="52.5" hidden="false" customHeight="true" outlineLevel="0" collapsed="false">
      <c r="AJ879" s="6" t="str">
        <v/>
      </c>
      <c r="AK879" s="6" t="str">
        <v/>
      </c>
      <c r="AL879" s="6" t="str">
        <v/>
      </c>
      <c r="AM879" s="6" t="str">
        <v/>
      </c>
      <c r="AN879" s="6" t="n">
        <f aca="false">FALSE()</f>
        <v>0</v>
      </c>
    </row>
    <row r="880" customFormat="false" ht="52.5" hidden="false" customHeight="true" outlineLevel="0" collapsed="false">
      <c r="AJ880" s="6" t="str">
        <v/>
      </c>
      <c r="AK880" s="6" t="str">
        <v/>
      </c>
      <c r="AL880" s="6" t="str">
        <v/>
      </c>
      <c r="AM880" s="6" t="str">
        <v/>
      </c>
      <c r="AN880" s="6" t="n">
        <f aca="false">FALSE()</f>
        <v>0</v>
      </c>
    </row>
    <row r="881" customFormat="false" ht="52.5" hidden="false" customHeight="true" outlineLevel="0" collapsed="false">
      <c r="AJ881" s="6" t="str">
        <v/>
      </c>
      <c r="AK881" s="6" t="str">
        <v/>
      </c>
      <c r="AL881" s="6" t="str">
        <v/>
      </c>
      <c r="AM881" s="6" t="str">
        <v/>
      </c>
      <c r="AN881" s="6" t="n">
        <f aca="false">FALSE()</f>
        <v>0</v>
      </c>
    </row>
    <row r="882" customFormat="false" ht="52.5" hidden="false" customHeight="true" outlineLevel="0" collapsed="false">
      <c r="AJ882" s="6" t="str">
        <v/>
      </c>
      <c r="AK882" s="6" t="str">
        <v/>
      </c>
      <c r="AL882" s="6" t="str">
        <v/>
      </c>
      <c r="AM882" s="6" t="str">
        <v/>
      </c>
      <c r="AN882" s="6" t="n">
        <f aca="false">FALSE()</f>
        <v>0</v>
      </c>
    </row>
    <row r="883" customFormat="false" ht="52.5" hidden="false" customHeight="true" outlineLevel="0" collapsed="false">
      <c r="AJ883" s="6" t="str">
        <v/>
      </c>
      <c r="AK883" s="6" t="str">
        <v/>
      </c>
      <c r="AL883" s="6" t="str">
        <v/>
      </c>
      <c r="AM883" s="6" t="str">
        <v/>
      </c>
      <c r="AN883" s="6" t="n">
        <f aca="false">FALSE()</f>
        <v>0</v>
      </c>
    </row>
    <row r="884" customFormat="false" ht="52.5" hidden="false" customHeight="true" outlineLevel="0" collapsed="false">
      <c r="AJ884" s="6" t="str">
        <v/>
      </c>
      <c r="AK884" s="6" t="str">
        <v/>
      </c>
      <c r="AL884" s="6" t="str">
        <v/>
      </c>
      <c r="AM884" s="6" t="str">
        <v/>
      </c>
      <c r="AN884" s="6" t="n">
        <f aca="false">FALSE()</f>
        <v>0</v>
      </c>
    </row>
    <row r="885" customFormat="false" ht="52.5" hidden="false" customHeight="true" outlineLevel="0" collapsed="false">
      <c r="AJ885" s="6" t="str">
        <v/>
      </c>
      <c r="AK885" s="6" t="str">
        <v/>
      </c>
      <c r="AL885" s="6" t="str">
        <v/>
      </c>
      <c r="AM885" s="6" t="str">
        <v/>
      </c>
      <c r="AN885" s="6" t="n">
        <f aca="false">FALSE()</f>
        <v>0</v>
      </c>
    </row>
    <row r="886" customFormat="false" ht="52.5" hidden="false" customHeight="true" outlineLevel="0" collapsed="false">
      <c r="AJ886" s="6" t="str">
        <v/>
      </c>
      <c r="AK886" s="6" t="str">
        <v/>
      </c>
      <c r="AL886" s="6" t="str">
        <v/>
      </c>
      <c r="AM886" s="6" t="str">
        <v/>
      </c>
      <c r="AN886" s="6" t="n">
        <f aca="false">FALSE()</f>
        <v>0</v>
      </c>
    </row>
    <row r="887" customFormat="false" ht="52.5" hidden="false" customHeight="true" outlineLevel="0" collapsed="false">
      <c r="AJ887" s="6" t="str">
        <v/>
      </c>
      <c r="AK887" s="6" t="str">
        <v/>
      </c>
      <c r="AL887" s="6" t="str">
        <v/>
      </c>
      <c r="AM887" s="6" t="str">
        <v/>
      </c>
      <c r="AN887" s="6" t="n">
        <f aca="false">FALSE()</f>
        <v>0</v>
      </c>
    </row>
    <row r="888" customFormat="false" ht="52.5" hidden="false" customHeight="true" outlineLevel="0" collapsed="false">
      <c r="AJ888" s="6" t="str">
        <v/>
      </c>
      <c r="AK888" s="6" t="str">
        <v/>
      </c>
      <c r="AL888" s="6" t="str">
        <v/>
      </c>
      <c r="AM888" s="6" t="str">
        <v/>
      </c>
      <c r="AN888" s="6" t="n">
        <f aca="false">FALSE()</f>
        <v>0</v>
      </c>
    </row>
    <row r="889" customFormat="false" ht="52.5" hidden="false" customHeight="true" outlineLevel="0" collapsed="false">
      <c r="AJ889" s="6" t="str">
        <v/>
      </c>
      <c r="AK889" s="6" t="str">
        <v/>
      </c>
      <c r="AL889" s="6" t="str">
        <v/>
      </c>
      <c r="AM889" s="6" t="str">
        <v/>
      </c>
      <c r="AN889" s="6" t="n">
        <f aca="false">FALSE()</f>
        <v>0</v>
      </c>
    </row>
    <row r="890" customFormat="false" ht="52.5" hidden="false" customHeight="true" outlineLevel="0" collapsed="false">
      <c r="AJ890" s="6" t="str">
        <v/>
      </c>
      <c r="AK890" s="6" t="str">
        <v/>
      </c>
      <c r="AL890" s="6" t="str">
        <v/>
      </c>
      <c r="AM890" s="6" t="str">
        <v/>
      </c>
      <c r="AN890" s="6" t="n">
        <f aca="false">FALSE()</f>
        <v>0</v>
      </c>
    </row>
    <row r="891" customFormat="false" ht="52.5" hidden="false" customHeight="true" outlineLevel="0" collapsed="false">
      <c r="AJ891" s="6" t="str">
        <v/>
      </c>
      <c r="AK891" s="6" t="str">
        <v/>
      </c>
      <c r="AL891" s="6" t="str">
        <v/>
      </c>
      <c r="AM891" s="6" t="str">
        <v/>
      </c>
      <c r="AN891" s="6" t="n">
        <f aca="false">FALSE()</f>
        <v>0</v>
      </c>
    </row>
    <row r="892" customFormat="false" ht="52.5" hidden="false" customHeight="true" outlineLevel="0" collapsed="false">
      <c r="AJ892" s="6" t="str">
        <v/>
      </c>
      <c r="AK892" s="6" t="str">
        <v/>
      </c>
      <c r="AL892" s="6" t="str">
        <v/>
      </c>
      <c r="AM892" s="6" t="str">
        <v/>
      </c>
      <c r="AN892" s="6" t="n">
        <f aca="false">FALSE()</f>
        <v>0</v>
      </c>
    </row>
    <row r="893" customFormat="false" ht="52.5" hidden="false" customHeight="true" outlineLevel="0" collapsed="false">
      <c r="AJ893" s="6" t="str">
        <v/>
      </c>
      <c r="AK893" s="6" t="str">
        <v/>
      </c>
      <c r="AL893" s="6" t="str">
        <v/>
      </c>
      <c r="AM893" s="6" t="str">
        <v/>
      </c>
      <c r="AN893" s="6" t="n">
        <f aca="false">FALSE()</f>
        <v>0</v>
      </c>
    </row>
    <row r="894" customFormat="false" ht="52.5" hidden="false" customHeight="true" outlineLevel="0" collapsed="false">
      <c r="AJ894" s="6" t="str">
        <v/>
      </c>
      <c r="AK894" s="6" t="str">
        <v/>
      </c>
      <c r="AL894" s="6" t="str">
        <v/>
      </c>
      <c r="AM894" s="6" t="str">
        <v/>
      </c>
      <c r="AN894" s="6" t="n">
        <f aca="false">FALSE()</f>
        <v>0</v>
      </c>
    </row>
    <row r="895" customFormat="false" ht="52.5" hidden="false" customHeight="true" outlineLevel="0" collapsed="false">
      <c r="AJ895" s="6" t="str">
        <v/>
      </c>
      <c r="AK895" s="6" t="str">
        <v/>
      </c>
      <c r="AL895" s="6" t="str">
        <v/>
      </c>
      <c r="AM895" s="6" t="str">
        <v/>
      </c>
      <c r="AN895" s="6" t="n">
        <f aca="false">FALSE()</f>
        <v>0</v>
      </c>
    </row>
    <row r="896" customFormat="false" ht="52.5" hidden="false" customHeight="true" outlineLevel="0" collapsed="false">
      <c r="AJ896" s="6" t="str">
        <v/>
      </c>
      <c r="AK896" s="6" t="str">
        <v/>
      </c>
      <c r="AL896" s="6" t="str">
        <v/>
      </c>
      <c r="AM896" s="6" t="str">
        <v/>
      </c>
      <c r="AN896" s="6" t="n">
        <f aca="false">FALSE()</f>
        <v>0</v>
      </c>
    </row>
    <row r="897" customFormat="false" ht="52.5" hidden="false" customHeight="true" outlineLevel="0" collapsed="false">
      <c r="AJ897" s="6" t="str">
        <v/>
      </c>
      <c r="AK897" s="6" t="str">
        <v/>
      </c>
      <c r="AL897" s="6" t="str">
        <v/>
      </c>
      <c r="AM897" s="6" t="str">
        <v/>
      </c>
      <c r="AN897" s="6" t="n">
        <f aca="false">FALSE()</f>
        <v>0</v>
      </c>
    </row>
    <row r="898" customFormat="false" ht="52.5" hidden="false" customHeight="true" outlineLevel="0" collapsed="false">
      <c r="AJ898" s="6" t="str">
        <v/>
      </c>
      <c r="AK898" s="6" t="str">
        <v/>
      </c>
      <c r="AL898" s="6" t="str">
        <v/>
      </c>
      <c r="AM898" s="6" t="str">
        <v/>
      </c>
      <c r="AN898" s="6" t="n">
        <f aca="false">FALSE()</f>
        <v>0</v>
      </c>
    </row>
    <row r="899" customFormat="false" ht="52.5" hidden="false" customHeight="true" outlineLevel="0" collapsed="false">
      <c r="AJ899" s="6" t="str">
        <v/>
      </c>
      <c r="AK899" s="6" t="str">
        <v/>
      </c>
      <c r="AL899" s="6" t="str">
        <v/>
      </c>
      <c r="AM899" s="6" t="str">
        <v/>
      </c>
      <c r="AN899" s="6" t="n">
        <f aca="false">FALSE()</f>
        <v>0</v>
      </c>
    </row>
    <row r="900" customFormat="false" ht="52.5" hidden="false" customHeight="true" outlineLevel="0" collapsed="false">
      <c r="AJ900" s="6" t="str">
        <v/>
      </c>
      <c r="AK900" s="6" t="str">
        <v/>
      </c>
      <c r="AL900" s="6" t="str">
        <v/>
      </c>
      <c r="AM900" s="6" t="str">
        <v/>
      </c>
      <c r="AN900" s="6" t="n">
        <f aca="false">FALSE()</f>
        <v>0</v>
      </c>
    </row>
    <row r="901" customFormat="false" ht="52.5" hidden="false" customHeight="true" outlineLevel="0" collapsed="false">
      <c r="AJ901" s="6" t="str">
        <v/>
      </c>
      <c r="AK901" s="6" t="str">
        <v/>
      </c>
      <c r="AL901" s="6" t="str">
        <v/>
      </c>
      <c r="AM901" s="6" t="str">
        <v/>
      </c>
      <c r="AN901" s="6" t="n">
        <f aca="false">FALSE()</f>
        <v>0</v>
      </c>
    </row>
    <row r="902" customFormat="false" ht="52.5" hidden="false" customHeight="true" outlineLevel="0" collapsed="false">
      <c r="AJ902" s="6" t="str">
        <v/>
      </c>
      <c r="AK902" s="6" t="str">
        <v/>
      </c>
      <c r="AL902" s="6" t="str">
        <v/>
      </c>
      <c r="AM902" s="6" t="str">
        <v/>
      </c>
      <c r="AN902" s="6" t="n">
        <f aca="false">FALSE()</f>
        <v>0</v>
      </c>
    </row>
    <row r="903" customFormat="false" ht="52.5" hidden="false" customHeight="true" outlineLevel="0" collapsed="false">
      <c r="AJ903" s="6" t="str">
        <v/>
      </c>
      <c r="AK903" s="6" t="str">
        <v/>
      </c>
      <c r="AL903" s="6" t="str">
        <v/>
      </c>
      <c r="AM903" s="6" t="str">
        <v/>
      </c>
      <c r="AN903" s="6" t="n">
        <f aca="false">FALSE()</f>
        <v>0</v>
      </c>
    </row>
    <row r="904" customFormat="false" ht="52.5" hidden="false" customHeight="true" outlineLevel="0" collapsed="false">
      <c r="AJ904" s="6" t="str">
        <v/>
      </c>
      <c r="AK904" s="6" t="str">
        <v/>
      </c>
      <c r="AL904" s="6" t="str">
        <v/>
      </c>
      <c r="AM904" s="6" t="str">
        <v/>
      </c>
      <c r="AN904" s="6" t="n">
        <f aca="false">FALSE()</f>
        <v>0</v>
      </c>
    </row>
    <row r="905" customFormat="false" ht="52.5" hidden="false" customHeight="true" outlineLevel="0" collapsed="false">
      <c r="AJ905" s="6" t="str">
        <v/>
      </c>
      <c r="AK905" s="6" t="str">
        <v/>
      </c>
      <c r="AL905" s="6" t="str">
        <v/>
      </c>
      <c r="AM905" s="6" t="str">
        <v/>
      </c>
      <c r="AN905" s="6" t="n">
        <f aca="false">FALSE()</f>
        <v>0</v>
      </c>
    </row>
    <row r="906" customFormat="false" ht="52.5" hidden="false" customHeight="true" outlineLevel="0" collapsed="false">
      <c r="AJ906" s="6" t="str">
        <v/>
      </c>
      <c r="AK906" s="6" t="str">
        <v/>
      </c>
      <c r="AL906" s="6" t="str">
        <v/>
      </c>
      <c r="AM906" s="6" t="str">
        <v/>
      </c>
      <c r="AN906" s="6" t="n">
        <f aca="false">FALSE()</f>
        <v>0</v>
      </c>
    </row>
    <row r="907" customFormat="false" ht="52.5" hidden="false" customHeight="true" outlineLevel="0" collapsed="false">
      <c r="AJ907" s="6" t="str">
        <v/>
      </c>
      <c r="AK907" s="6" t="str">
        <v/>
      </c>
      <c r="AL907" s="6" t="str">
        <v/>
      </c>
      <c r="AM907" s="6" t="str">
        <v/>
      </c>
      <c r="AN907" s="6" t="n">
        <f aca="false">FALSE()</f>
        <v>0</v>
      </c>
    </row>
    <row r="908" customFormat="false" ht="52.5" hidden="false" customHeight="true" outlineLevel="0" collapsed="false">
      <c r="AJ908" s="6" t="str">
        <v/>
      </c>
      <c r="AK908" s="6" t="str">
        <v/>
      </c>
      <c r="AL908" s="6" t="str">
        <v/>
      </c>
      <c r="AM908" s="6" t="str">
        <v/>
      </c>
      <c r="AN908" s="6" t="n">
        <f aca="false">FALSE()</f>
        <v>0</v>
      </c>
    </row>
    <row r="909" customFormat="false" ht="52.5" hidden="false" customHeight="true" outlineLevel="0" collapsed="false">
      <c r="AJ909" s="6" t="str">
        <v/>
      </c>
      <c r="AK909" s="6" t="str">
        <v/>
      </c>
      <c r="AL909" s="6" t="str">
        <v/>
      </c>
      <c r="AM909" s="6" t="str">
        <v/>
      </c>
      <c r="AN909" s="6" t="n">
        <f aca="false">FALSE()</f>
        <v>0</v>
      </c>
    </row>
    <row r="910" customFormat="false" ht="52.5" hidden="false" customHeight="true" outlineLevel="0" collapsed="false">
      <c r="AJ910" s="6" t="str">
        <v/>
      </c>
      <c r="AK910" s="6" t="str">
        <v/>
      </c>
      <c r="AL910" s="6" t="str">
        <v/>
      </c>
      <c r="AM910" s="6" t="str">
        <v/>
      </c>
      <c r="AN910" s="6" t="n">
        <f aca="false">FALSE()</f>
        <v>0</v>
      </c>
    </row>
    <row r="911" customFormat="false" ht="52.5" hidden="false" customHeight="true" outlineLevel="0" collapsed="false">
      <c r="AJ911" s="6" t="str">
        <v/>
      </c>
      <c r="AK911" s="6" t="str">
        <v/>
      </c>
      <c r="AL911" s="6" t="str">
        <v/>
      </c>
      <c r="AM911" s="6" t="str">
        <v/>
      </c>
      <c r="AN911" s="6" t="n">
        <f aca="false">FALSE()</f>
        <v>0</v>
      </c>
    </row>
    <row r="912" customFormat="false" ht="52.5" hidden="false" customHeight="true" outlineLevel="0" collapsed="false">
      <c r="AJ912" s="6" t="str">
        <v/>
      </c>
      <c r="AK912" s="6" t="str">
        <v/>
      </c>
      <c r="AL912" s="6" t="str">
        <v/>
      </c>
      <c r="AM912" s="6" t="str">
        <v/>
      </c>
      <c r="AN912" s="6" t="n">
        <f aca="false">FALSE()</f>
        <v>0</v>
      </c>
    </row>
    <row r="913" customFormat="false" ht="52.5" hidden="false" customHeight="true" outlineLevel="0" collapsed="false">
      <c r="AJ913" s="6" t="str">
        <v/>
      </c>
      <c r="AK913" s="6" t="str">
        <v/>
      </c>
      <c r="AL913" s="6" t="str">
        <v/>
      </c>
      <c r="AM913" s="6" t="str">
        <v/>
      </c>
      <c r="AN913" s="6" t="n">
        <f aca="false">FALSE()</f>
        <v>0</v>
      </c>
    </row>
    <row r="914" customFormat="false" ht="52.5" hidden="false" customHeight="true" outlineLevel="0" collapsed="false">
      <c r="AJ914" s="6" t="str">
        <v/>
      </c>
      <c r="AK914" s="6" t="str">
        <v/>
      </c>
      <c r="AL914" s="6" t="str">
        <v/>
      </c>
      <c r="AM914" s="6" t="str">
        <v/>
      </c>
      <c r="AN914" s="6" t="n">
        <f aca="false">FALSE()</f>
        <v>0</v>
      </c>
    </row>
    <row r="915" customFormat="false" ht="52.5" hidden="false" customHeight="true" outlineLevel="0" collapsed="false">
      <c r="AJ915" s="6" t="str">
        <v/>
      </c>
      <c r="AK915" s="6" t="str">
        <v/>
      </c>
      <c r="AL915" s="6" t="str">
        <v/>
      </c>
      <c r="AM915" s="6" t="str">
        <v/>
      </c>
      <c r="AN915" s="6" t="n">
        <f aca="false">FALSE()</f>
        <v>0</v>
      </c>
    </row>
    <row r="916" customFormat="false" ht="52.5" hidden="false" customHeight="true" outlineLevel="0" collapsed="false">
      <c r="AJ916" s="6" t="str">
        <v/>
      </c>
      <c r="AK916" s="6" t="str">
        <v/>
      </c>
      <c r="AL916" s="6" t="str">
        <v/>
      </c>
      <c r="AM916" s="6" t="str">
        <v/>
      </c>
      <c r="AN916" s="6" t="n">
        <f aca="false">FALSE()</f>
        <v>0</v>
      </c>
    </row>
    <row r="917" customFormat="false" ht="52.5" hidden="false" customHeight="true" outlineLevel="0" collapsed="false">
      <c r="AJ917" s="6" t="str">
        <v/>
      </c>
      <c r="AK917" s="6" t="str">
        <v/>
      </c>
      <c r="AL917" s="6" t="str">
        <v/>
      </c>
      <c r="AM917" s="6" t="str">
        <v/>
      </c>
      <c r="AN917" s="6" t="n">
        <f aca="false">FALSE()</f>
        <v>0</v>
      </c>
    </row>
    <row r="918" customFormat="false" ht="52.5" hidden="false" customHeight="true" outlineLevel="0" collapsed="false">
      <c r="AJ918" s="6" t="str">
        <v/>
      </c>
      <c r="AK918" s="6" t="str">
        <v/>
      </c>
      <c r="AL918" s="6" t="str">
        <v/>
      </c>
      <c r="AM918" s="6" t="str">
        <v/>
      </c>
      <c r="AN918" s="6" t="n">
        <f aca="false">FALSE()</f>
        <v>0</v>
      </c>
    </row>
    <row r="919" customFormat="false" ht="52.5" hidden="false" customHeight="true" outlineLevel="0" collapsed="false">
      <c r="AJ919" s="6" t="str">
        <v/>
      </c>
      <c r="AK919" s="6" t="str">
        <v/>
      </c>
      <c r="AL919" s="6" t="str">
        <v/>
      </c>
      <c r="AM919" s="6" t="str">
        <v/>
      </c>
      <c r="AN919" s="6" t="n">
        <f aca="false">FALSE()</f>
        <v>0</v>
      </c>
    </row>
    <row r="920" customFormat="false" ht="52.5" hidden="false" customHeight="true" outlineLevel="0" collapsed="false">
      <c r="AJ920" s="6" t="str">
        <v/>
      </c>
      <c r="AK920" s="6" t="str">
        <v/>
      </c>
      <c r="AL920" s="6" t="str">
        <v/>
      </c>
      <c r="AM920" s="6" t="str">
        <v/>
      </c>
      <c r="AN920" s="6" t="n">
        <f aca="false">FALSE()</f>
        <v>0</v>
      </c>
    </row>
    <row r="921" customFormat="false" ht="52.5" hidden="false" customHeight="true" outlineLevel="0" collapsed="false">
      <c r="AJ921" s="6" t="str">
        <v/>
      </c>
      <c r="AK921" s="6" t="str">
        <v/>
      </c>
      <c r="AL921" s="6" t="str">
        <v/>
      </c>
      <c r="AM921" s="6" t="str">
        <v/>
      </c>
      <c r="AN921" s="6" t="n">
        <f aca="false">FALSE()</f>
        <v>0</v>
      </c>
    </row>
    <row r="922" customFormat="false" ht="52.5" hidden="false" customHeight="true" outlineLevel="0" collapsed="false">
      <c r="AJ922" s="6" t="str">
        <v/>
      </c>
      <c r="AK922" s="6" t="str">
        <v/>
      </c>
      <c r="AL922" s="6" t="str">
        <v/>
      </c>
      <c r="AM922" s="6" t="str">
        <v/>
      </c>
      <c r="AN922" s="6" t="n">
        <f aca="false">FALSE()</f>
        <v>0</v>
      </c>
    </row>
    <row r="923" customFormat="false" ht="52.5" hidden="false" customHeight="true" outlineLevel="0" collapsed="false">
      <c r="AJ923" s="6" t="str">
        <v/>
      </c>
      <c r="AK923" s="6" t="str">
        <v/>
      </c>
      <c r="AL923" s="6" t="str">
        <v/>
      </c>
      <c r="AM923" s="6" t="str">
        <v/>
      </c>
      <c r="AN923" s="6" t="n">
        <f aca="false">FALSE()</f>
        <v>0</v>
      </c>
    </row>
    <row r="924" customFormat="false" ht="52.5" hidden="false" customHeight="true" outlineLevel="0" collapsed="false">
      <c r="AJ924" s="6" t="str">
        <v/>
      </c>
      <c r="AK924" s="6" t="str">
        <v/>
      </c>
      <c r="AL924" s="6" t="str">
        <v/>
      </c>
      <c r="AM924" s="6" t="str">
        <v/>
      </c>
      <c r="AN924" s="6" t="n">
        <f aca="false">FALSE()</f>
        <v>0</v>
      </c>
    </row>
    <row r="925" customFormat="false" ht="52.5" hidden="false" customHeight="true" outlineLevel="0" collapsed="false">
      <c r="AJ925" s="6" t="str">
        <v/>
      </c>
      <c r="AK925" s="6" t="str">
        <v/>
      </c>
      <c r="AL925" s="6" t="str">
        <v/>
      </c>
      <c r="AM925" s="6" t="str">
        <v/>
      </c>
      <c r="AN925" s="6" t="n">
        <f aca="false">FALSE()</f>
        <v>0</v>
      </c>
    </row>
    <row r="926" customFormat="false" ht="52.5" hidden="false" customHeight="true" outlineLevel="0" collapsed="false">
      <c r="AJ926" s="6" t="str">
        <v/>
      </c>
      <c r="AK926" s="6" t="str">
        <v/>
      </c>
      <c r="AL926" s="6" t="str">
        <v/>
      </c>
      <c r="AM926" s="6" t="str">
        <v/>
      </c>
      <c r="AN926" s="6" t="n">
        <f aca="false">FALSE()</f>
        <v>0</v>
      </c>
    </row>
    <row r="927" customFormat="false" ht="52.5" hidden="false" customHeight="true" outlineLevel="0" collapsed="false">
      <c r="AJ927" s="6" t="str">
        <v/>
      </c>
      <c r="AK927" s="6" t="str">
        <v/>
      </c>
      <c r="AL927" s="6" t="str">
        <v/>
      </c>
      <c r="AM927" s="6" t="str">
        <v/>
      </c>
      <c r="AN927" s="6" t="n">
        <f aca="false">FALSE()</f>
        <v>0</v>
      </c>
    </row>
    <row r="928" customFormat="false" ht="52.5" hidden="false" customHeight="true" outlineLevel="0" collapsed="false">
      <c r="AJ928" s="6" t="str">
        <v/>
      </c>
      <c r="AK928" s="6" t="str">
        <v/>
      </c>
      <c r="AL928" s="6" t="str">
        <v/>
      </c>
      <c r="AM928" s="6" t="str">
        <v/>
      </c>
      <c r="AN928" s="6" t="n">
        <f aca="false">FALSE()</f>
        <v>0</v>
      </c>
    </row>
    <row r="929" customFormat="false" ht="52.5" hidden="false" customHeight="true" outlineLevel="0" collapsed="false">
      <c r="AJ929" s="6" t="str">
        <v/>
      </c>
      <c r="AK929" s="6" t="str">
        <v/>
      </c>
      <c r="AL929" s="6" t="str">
        <v/>
      </c>
      <c r="AM929" s="6" t="str">
        <v/>
      </c>
      <c r="AN929" s="6" t="n">
        <f aca="false">FALSE()</f>
        <v>0</v>
      </c>
    </row>
    <row r="930" customFormat="false" ht="52.5" hidden="false" customHeight="true" outlineLevel="0" collapsed="false">
      <c r="AJ930" s="6" t="str">
        <v/>
      </c>
      <c r="AK930" s="6" t="str">
        <v/>
      </c>
      <c r="AL930" s="6" t="str">
        <v/>
      </c>
      <c r="AM930" s="6" t="str">
        <v/>
      </c>
      <c r="AN930" s="6" t="n">
        <f aca="false">FALSE()</f>
        <v>0</v>
      </c>
    </row>
    <row r="931" customFormat="false" ht="52.5" hidden="false" customHeight="true" outlineLevel="0" collapsed="false">
      <c r="AJ931" s="6" t="str">
        <v/>
      </c>
      <c r="AK931" s="6" t="str">
        <v/>
      </c>
      <c r="AL931" s="6" t="str">
        <v/>
      </c>
      <c r="AM931" s="6" t="str">
        <v/>
      </c>
      <c r="AN931" s="6" t="n">
        <f aca="false">FALSE()</f>
        <v>0</v>
      </c>
    </row>
    <row r="932" customFormat="false" ht="52.5" hidden="false" customHeight="true" outlineLevel="0" collapsed="false">
      <c r="AJ932" s="6" t="str">
        <v/>
      </c>
      <c r="AK932" s="6" t="str">
        <v/>
      </c>
      <c r="AL932" s="6" t="str">
        <v/>
      </c>
      <c r="AM932" s="6" t="str">
        <v/>
      </c>
      <c r="AN932" s="6" t="n">
        <f aca="false">FALSE()</f>
        <v>0</v>
      </c>
    </row>
    <row r="933" customFormat="false" ht="52.5" hidden="false" customHeight="true" outlineLevel="0" collapsed="false">
      <c r="AJ933" s="6" t="str">
        <v/>
      </c>
      <c r="AK933" s="6" t="str">
        <v/>
      </c>
      <c r="AL933" s="6" t="str">
        <v/>
      </c>
      <c r="AM933" s="6" t="str">
        <v/>
      </c>
      <c r="AN933" s="6" t="n">
        <f aca="false">FALSE()</f>
        <v>0</v>
      </c>
    </row>
    <row r="934" customFormat="false" ht="52.5" hidden="false" customHeight="true" outlineLevel="0" collapsed="false">
      <c r="AJ934" s="6" t="str">
        <v/>
      </c>
      <c r="AK934" s="6" t="str">
        <v/>
      </c>
      <c r="AL934" s="6" t="str">
        <v/>
      </c>
      <c r="AM934" s="6" t="str">
        <v/>
      </c>
      <c r="AN934" s="6" t="n">
        <f aca="false">FALSE()</f>
        <v>0</v>
      </c>
    </row>
    <row r="935" customFormat="false" ht="52.5" hidden="false" customHeight="true" outlineLevel="0" collapsed="false">
      <c r="AJ935" s="6" t="str">
        <v/>
      </c>
      <c r="AK935" s="6" t="str">
        <v/>
      </c>
      <c r="AL935" s="6" t="str">
        <v/>
      </c>
      <c r="AM935" s="6" t="str">
        <v/>
      </c>
      <c r="AN935" s="6" t="n">
        <f aca="false">FALSE()</f>
        <v>0</v>
      </c>
    </row>
    <row r="936" customFormat="false" ht="52.5" hidden="false" customHeight="true" outlineLevel="0" collapsed="false">
      <c r="AJ936" s="6" t="str">
        <v/>
      </c>
      <c r="AK936" s="6" t="str">
        <v/>
      </c>
      <c r="AL936" s="6" t="str">
        <v/>
      </c>
      <c r="AM936" s="6" t="str">
        <v/>
      </c>
      <c r="AN936" s="6" t="n">
        <f aca="false">FALSE()</f>
        <v>0</v>
      </c>
    </row>
    <row r="937" customFormat="false" ht="52.5" hidden="false" customHeight="true" outlineLevel="0" collapsed="false">
      <c r="AJ937" s="6" t="str">
        <v/>
      </c>
      <c r="AK937" s="6" t="str">
        <v/>
      </c>
      <c r="AL937" s="6" t="str">
        <v/>
      </c>
      <c r="AM937" s="6" t="str">
        <v/>
      </c>
      <c r="AN937" s="6" t="n">
        <f aca="false">FALSE()</f>
        <v>0</v>
      </c>
    </row>
    <row r="938" customFormat="false" ht="52.5" hidden="false" customHeight="true" outlineLevel="0" collapsed="false">
      <c r="AJ938" s="6" t="str">
        <v/>
      </c>
      <c r="AK938" s="6" t="str">
        <v/>
      </c>
      <c r="AL938" s="6" t="str">
        <v/>
      </c>
      <c r="AM938" s="6" t="str">
        <v/>
      </c>
      <c r="AN938" s="6" t="n">
        <f aca="false">FALSE()</f>
        <v>0</v>
      </c>
    </row>
    <row r="939" customFormat="false" ht="52.5" hidden="false" customHeight="true" outlineLevel="0" collapsed="false">
      <c r="AJ939" s="6" t="str">
        <v/>
      </c>
      <c r="AK939" s="6" t="str">
        <v/>
      </c>
      <c r="AL939" s="6" t="str">
        <v/>
      </c>
      <c r="AM939" s="6" t="str">
        <v/>
      </c>
      <c r="AN939" s="6" t="n">
        <f aca="false">FALSE()</f>
        <v>0</v>
      </c>
    </row>
    <row r="940" customFormat="false" ht="52.5" hidden="false" customHeight="true" outlineLevel="0" collapsed="false">
      <c r="AJ940" s="6" t="str">
        <v/>
      </c>
      <c r="AK940" s="6" t="str">
        <v/>
      </c>
      <c r="AL940" s="6" t="str">
        <v/>
      </c>
      <c r="AM940" s="6" t="str">
        <v/>
      </c>
      <c r="AN940" s="6" t="n">
        <f aca="false">FALSE()</f>
        <v>0</v>
      </c>
    </row>
    <row r="941" customFormat="false" ht="52.5" hidden="false" customHeight="true" outlineLevel="0" collapsed="false">
      <c r="AJ941" s="6" t="str">
        <v/>
      </c>
      <c r="AK941" s="6" t="str">
        <v/>
      </c>
      <c r="AL941" s="6" t="str">
        <v/>
      </c>
      <c r="AM941" s="6" t="str">
        <v/>
      </c>
      <c r="AN941" s="6" t="n">
        <f aca="false">FALSE()</f>
        <v>0</v>
      </c>
    </row>
    <row r="942" customFormat="false" ht="52.5" hidden="false" customHeight="true" outlineLevel="0" collapsed="false">
      <c r="AJ942" s="6" t="str">
        <v/>
      </c>
      <c r="AK942" s="6" t="str">
        <v/>
      </c>
      <c r="AL942" s="6" t="str">
        <v/>
      </c>
      <c r="AM942" s="6" t="str">
        <v/>
      </c>
      <c r="AN942" s="6" t="n">
        <f aca="false">FALSE()</f>
        <v>0</v>
      </c>
    </row>
    <row r="943" customFormat="false" ht="52.5" hidden="false" customHeight="true" outlineLevel="0" collapsed="false">
      <c r="AJ943" s="6" t="str">
        <v/>
      </c>
      <c r="AK943" s="6" t="str">
        <v/>
      </c>
      <c r="AL943" s="6" t="str">
        <v/>
      </c>
      <c r="AM943" s="6" t="str">
        <v/>
      </c>
      <c r="AN943" s="6" t="n">
        <f aca="false">FALSE()</f>
        <v>0</v>
      </c>
    </row>
    <row r="944" customFormat="false" ht="52.5" hidden="false" customHeight="true" outlineLevel="0" collapsed="false">
      <c r="AJ944" s="6" t="str">
        <v/>
      </c>
      <c r="AK944" s="6" t="str">
        <v/>
      </c>
      <c r="AL944" s="6" t="str">
        <v/>
      </c>
      <c r="AM944" s="6" t="str">
        <v/>
      </c>
      <c r="AN944" s="6" t="n">
        <f aca="false">FALSE()</f>
        <v>0</v>
      </c>
    </row>
    <row r="945" customFormat="false" ht="52.5" hidden="false" customHeight="true" outlineLevel="0" collapsed="false">
      <c r="AJ945" s="6" t="str">
        <v/>
      </c>
      <c r="AK945" s="6" t="str">
        <v/>
      </c>
      <c r="AL945" s="6" t="str">
        <v/>
      </c>
      <c r="AM945" s="6" t="str">
        <v/>
      </c>
      <c r="AN945" s="6" t="n">
        <f aca="false">FALSE()</f>
        <v>0</v>
      </c>
    </row>
    <row r="946" customFormat="false" ht="52.5" hidden="false" customHeight="true" outlineLevel="0" collapsed="false">
      <c r="AJ946" s="6" t="str">
        <v/>
      </c>
      <c r="AK946" s="6" t="str">
        <v/>
      </c>
      <c r="AL946" s="6" t="str">
        <v/>
      </c>
      <c r="AM946" s="6" t="str">
        <v/>
      </c>
      <c r="AN946" s="6" t="n">
        <f aca="false">FALSE()</f>
        <v>0</v>
      </c>
    </row>
    <row r="947" customFormat="false" ht="52.5" hidden="false" customHeight="true" outlineLevel="0" collapsed="false">
      <c r="AJ947" s="6" t="str">
        <v/>
      </c>
      <c r="AK947" s="6" t="str">
        <v/>
      </c>
      <c r="AL947" s="6" t="str">
        <v/>
      </c>
      <c r="AM947" s="6" t="str">
        <v/>
      </c>
      <c r="AN947" s="6" t="n">
        <f aca="false">FALSE()</f>
        <v>0</v>
      </c>
    </row>
    <row r="948" customFormat="false" ht="52.5" hidden="false" customHeight="true" outlineLevel="0" collapsed="false">
      <c r="AJ948" s="6" t="str">
        <v/>
      </c>
      <c r="AK948" s="6" t="str">
        <v/>
      </c>
      <c r="AL948" s="6" t="str">
        <v/>
      </c>
      <c r="AM948" s="6" t="str">
        <v/>
      </c>
      <c r="AN948" s="6" t="n">
        <f aca="false">FALSE()</f>
        <v>0</v>
      </c>
    </row>
    <row r="949" customFormat="false" ht="52.5" hidden="false" customHeight="true" outlineLevel="0" collapsed="false">
      <c r="AJ949" s="6" t="str">
        <v/>
      </c>
      <c r="AK949" s="6" t="str">
        <v/>
      </c>
      <c r="AL949" s="6" t="str">
        <v/>
      </c>
      <c r="AM949" s="6" t="str">
        <v/>
      </c>
      <c r="AN949" s="6" t="n">
        <f aca="false">FALSE()</f>
        <v>0</v>
      </c>
    </row>
    <row r="950" customFormat="false" ht="52.5" hidden="false" customHeight="true" outlineLevel="0" collapsed="false">
      <c r="AJ950" s="6" t="str">
        <v/>
      </c>
      <c r="AK950" s="6" t="str">
        <v/>
      </c>
      <c r="AL950" s="6" t="str">
        <v/>
      </c>
      <c r="AM950" s="6" t="str">
        <v/>
      </c>
      <c r="AN950" s="6" t="n">
        <f aca="false">FALSE()</f>
        <v>0</v>
      </c>
    </row>
    <row r="951" customFormat="false" ht="52.5" hidden="false" customHeight="true" outlineLevel="0" collapsed="false">
      <c r="AJ951" s="6" t="str">
        <v/>
      </c>
      <c r="AK951" s="6" t="str">
        <v/>
      </c>
      <c r="AL951" s="6" t="str">
        <v/>
      </c>
      <c r="AM951" s="6" t="str">
        <v/>
      </c>
      <c r="AN951" s="6" t="n">
        <f aca="false">FALSE()</f>
        <v>0</v>
      </c>
    </row>
    <row r="952" customFormat="false" ht="52.5" hidden="false" customHeight="true" outlineLevel="0" collapsed="false">
      <c r="AJ952" s="6" t="str">
        <v/>
      </c>
      <c r="AK952" s="6" t="str">
        <v/>
      </c>
      <c r="AL952" s="6" t="str">
        <v/>
      </c>
      <c r="AM952" s="6" t="str">
        <v/>
      </c>
      <c r="AN952" s="6" t="n">
        <f aca="false">FALSE()</f>
        <v>0</v>
      </c>
    </row>
    <row r="953" customFormat="false" ht="52.5" hidden="false" customHeight="true" outlineLevel="0" collapsed="false">
      <c r="AJ953" s="6" t="str">
        <v/>
      </c>
      <c r="AK953" s="6" t="str">
        <v/>
      </c>
      <c r="AL953" s="6" t="str">
        <v/>
      </c>
      <c r="AM953" s="6" t="str">
        <v/>
      </c>
      <c r="AN953" s="6" t="n">
        <f aca="false">FALSE()</f>
        <v>0</v>
      </c>
    </row>
    <row r="954" customFormat="false" ht="52.5" hidden="false" customHeight="true" outlineLevel="0" collapsed="false">
      <c r="AJ954" s="6" t="str">
        <v/>
      </c>
      <c r="AK954" s="6" t="str">
        <v/>
      </c>
      <c r="AL954" s="6" t="str">
        <v/>
      </c>
      <c r="AM954" s="6" t="str">
        <v/>
      </c>
      <c r="AN954" s="6" t="n">
        <f aca="false">FALSE()</f>
        <v>0</v>
      </c>
    </row>
    <row r="955" customFormat="false" ht="52.5" hidden="false" customHeight="true" outlineLevel="0" collapsed="false">
      <c r="AJ955" s="6" t="str">
        <v/>
      </c>
      <c r="AK955" s="6" t="str">
        <v/>
      </c>
      <c r="AL955" s="6" t="str">
        <v/>
      </c>
      <c r="AM955" s="6" t="str">
        <v/>
      </c>
      <c r="AN955" s="6" t="n">
        <f aca="false">FALSE()</f>
        <v>0</v>
      </c>
    </row>
    <row r="956" customFormat="false" ht="52.5" hidden="false" customHeight="true" outlineLevel="0" collapsed="false">
      <c r="AJ956" s="6" t="str">
        <v/>
      </c>
      <c r="AK956" s="6" t="str">
        <v/>
      </c>
      <c r="AL956" s="6" t="str">
        <v/>
      </c>
      <c r="AM956" s="6" t="str">
        <v/>
      </c>
      <c r="AN956" s="6" t="n">
        <f aca="false">FALSE()</f>
        <v>0</v>
      </c>
    </row>
    <row r="957" customFormat="false" ht="52.5" hidden="false" customHeight="true" outlineLevel="0" collapsed="false">
      <c r="AJ957" s="6" t="str">
        <v/>
      </c>
      <c r="AK957" s="6" t="str">
        <v/>
      </c>
      <c r="AL957" s="6" t="str">
        <v/>
      </c>
      <c r="AM957" s="6" t="str">
        <v/>
      </c>
      <c r="AN957" s="6" t="n">
        <f aca="false">FALSE()</f>
        <v>0</v>
      </c>
    </row>
    <row r="958" customFormat="false" ht="52.5" hidden="false" customHeight="true" outlineLevel="0" collapsed="false">
      <c r="AJ958" s="6" t="str">
        <v/>
      </c>
      <c r="AK958" s="6" t="str">
        <v/>
      </c>
      <c r="AL958" s="6" t="str">
        <v/>
      </c>
      <c r="AM958" s="6" t="str">
        <v/>
      </c>
      <c r="AN958" s="6" t="n">
        <f aca="false">FALSE()</f>
        <v>0</v>
      </c>
    </row>
    <row r="959" customFormat="false" ht="52.5" hidden="false" customHeight="true" outlineLevel="0" collapsed="false">
      <c r="AJ959" s="6" t="str">
        <v/>
      </c>
      <c r="AK959" s="6" t="str">
        <v/>
      </c>
      <c r="AL959" s="6" t="str">
        <v/>
      </c>
      <c r="AM959" s="6" t="str">
        <v/>
      </c>
      <c r="AN959" s="6" t="n">
        <f aca="false">FALSE()</f>
        <v>0</v>
      </c>
    </row>
    <row r="960" customFormat="false" ht="52.5" hidden="false" customHeight="true" outlineLevel="0" collapsed="false">
      <c r="AJ960" s="6" t="str">
        <v/>
      </c>
      <c r="AK960" s="6" t="str">
        <v/>
      </c>
      <c r="AL960" s="6" t="str">
        <v/>
      </c>
      <c r="AM960" s="6" t="str">
        <v/>
      </c>
      <c r="AN960" s="6" t="n">
        <f aca="false">FALSE()</f>
        <v>0</v>
      </c>
    </row>
    <row r="961" customFormat="false" ht="52.5" hidden="false" customHeight="true" outlineLevel="0" collapsed="false">
      <c r="AJ961" s="6" t="str">
        <v/>
      </c>
      <c r="AK961" s="6" t="str">
        <v/>
      </c>
      <c r="AL961" s="6" t="str">
        <v/>
      </c>
      <c r="AM961" s="6" t="str">
        <v/>
      </c>
      <c r="AN961" s="6" t="n">
        <f aca="false">FALSE()</f>
        <v>0</v>
      </c>
    </row>
    <row r="962" customFormat="false" ht="52.5" hidden="false" customHeight="true" outlineLevel="0" collapsed="false">
      <c r="AJ962" s="6" t="str">
        <v/>
      </c>
      <c r="AK962" s="6" t="str">
        <v/>
      </c>
      <c r="AL962" s="6" t="str">
        <v/>
      </c>
      <c r="AM962" s="6" t="str">
        <v/>
      </c>
      <c r="AN962" s="6" t="n">
        <f aca="false">FALSE()</f>
        <v>0</v>
      </c>
    </row>
    <row r="963" customFormat="false" ht="52.5" hidden="false" customHeight="true" outlineLevel="0" collapsed="false">
      <c r="AJ963" s="6" t="str">
        <v/>
      </c>
      <c r="AK963" s="6" t="str">
        <v/>
      </c>
      <c r="AL963" s="6" t="str">
        <v/>
      </c>
      <c r="AM963" s="6" t="str">
        <v/>
      </c>
      <c r="AN963" s="6" t="n">
        <f aca="false">FALSE()</f>
        <v>0</v>
      </c>
    </row>
    <row r="964" customFormat="false" ht="52.5" hidden="false" customHeight="true" outlineLevel="0" collapsed="false">
      <c r="AJ964" s="6" t="str">
        <v/>
      </c>
      <c r="AK964" s="6" t="str">
        <v/>
      </c>
      <c r="AL964" s="6" t="str">
        <v/>
      </c>
      <c r="AM964" s="6" t="str">
        <v/>
      </c>
      <c r="AN964" s="6" t="n">
        <f aca="false">FALSE()</f>
        <v>0</v>
      </c>
    </row>
    <row r="965" customFormat="false" ht="52.5" hidden="false" customHeight="true" outlineLevel="0" collapsed="false">
      <c r="AJ965" s="6" t="str">
        <v/>
      </c>
      <c r="AK965" s="6" t="str">
        <v/>
      </c>
      <c r="AL965" s="6" t="str">
        <v/>
      </c>
      <c r="AM965" s="6" t="str">
        <v/>
      </c>
      <c r="AN965" s="6" t="n">
        <f aca="false">FALSE()</f>
        <v>0</v>
      </c>
    </row>
    <row r="966" customFormat="false" ht="52.5" hidden="false" customHeight="true" outlineLevel="0" collapsed="false">
      <c r="AJ966" s="6" t="str">
        <v/>
      </c>
      <c r="AK966" s="6" t="str">
        <v/>
      </c>
      <c r="AL966" s="6" t="str">
        <v/>
      </c>
      <c r="AM966" s="6" t="str">
        <v/>
      </c>
      <c r="AN966" s="6" t="n">
        <f aca="false">FALSE()</f>
        <v>0</v>
      </c>
    </row>
    <row r="967" customFormat="false" ht="52.5" hidden="false" customHeight="true" outlineLevel="0" collapsed="false">
      <c r="AJ967" s="6" t="str">
        <v/>
      </c>
      <c r="AK967" s="6" t="str">
        <v/>
      </c>
      <c r="AL967" s="6" t="str">
        <v/>
      </c>
      <c r="AM967" s="6" t="str">
        <v/>
      </c>
      <c r="AN967" s="6" t="n">
        <f aca="false">FALSE()</f>
        <v>0</v>
      </c>
    </row>
    <row r="968" customFormat="false" ht="52.5" hidden="false" customHeight="true" outlineLevel="0" collapsed="false">
      <c r="AJ968" s="6" t="str">
        <v/>
      </c>
      <c r="AK968" s="6" t="str">
        <v/>
      </c>
      <c r="AL968" s="6" t="str">
        <v/>
      </c>
      <c r="AM968" s="6" t="str">
        <v/>
      </c>
      <c r="AN968" s="6" t="n">
        <f aca="false">FALSE()</f>
        <v>0</v>
      </c>
    </row>
    <row r="969" customFormat="false" ht="52.5" hidden="false" customHeight="true" outlineLevel="0" collapsed="false">
      <c r="AJ969" s="6" t="str">
        <v/>
      </c>
      <c r="AK969" s="6" t="str">
        <v/>
      </c>
      <c r="AL969" s="6" t="str">
        <v/>
      </c>
      <c r="AM969" s="6" t="str">
        <v/>
      </c>
      <c r="AN969" s="6" t="n">
        <f aca="false">FALSE()</f>
        <v>0</v>
      </c>
    </row>
    <row r="970" customFormat="false" ht="52.5" hidden="false" customHeight="true" outlineLevel="0" collapsed="false">
      <c r="AJ970" s="6" t="str">
        <v/>
      </c>
      <c r="AK970" s="6" t="str">
        <v/>
      </c>
      <c r="AL970" s="6" t="str">
        <v/>
      </c>
      <c r="AM970" s="6" t="str">
        <v/>
      </c>
      <c r="AN970" s="6" t="n">
        <f aca="false">FALSE()</f>
        <v>0</v>
      </c>
    </row>
    <row r="971" customFormat="false" ht="52.5" hidden="false" customHeight="true" outlineLevel="0" collapsed="false">
      <c r="AJ971" s="6" t="str">
        <v/>
      </c>
      <c r="AK971" s="6" t="str">
        <v/>
      </c>
      <c r="AL971" s="6" t="str">
        <v/>
      </c>
      <c r="AM971" s="6" t="str">
        <v/>
      </c>
      <c r="AN971" s="6" t="n">
        <f aca="false">FALSE()</f>
        <v>0</v>
      </c>
    </row>
    <row r="972" customFormat="false" ht="52.5" hidden="false" customHeight="true" outlineLevel="0" collapsed="false">
      <c r="AJ972" s="6" t="str">
        <v/>
      </c>
      <c r="AK972" s="6" t="str">
        <v/>
      </c>
      <c r="AL972" s="6" t="str">
        <v/>
      </c>
      <c r="AM972" s="6" t="str">
        <v/>
      </c>
      <c r="AN972" s="6" t="n">
        <f aca="false">FALSE()</f>
        <v>0</v>
      </c>
    </row>
    <row r="973" customFormat="false" ht="52.5" hidden="false" customHeight="true" outlineLevel="0" collapsed="false">
      <c r="AJ973" s="6" t="str">
        <v/>
      </c>
      <c r="AK973" s="6" t="str">
        <v/>
      </c>
      <c r="AL973" s="6" t="str">
        <v/>
      </c>
      <c r="AM973" s="6" t="str">
        <v/>
      </c>
      <c r="AN973" s="6" t="n">
        <f aca="false">FALSE()</f>
        <v>0</v>
      </c>
    </row>
    <row r="974" customFormat="false" ht="52.5" hidden="false" customHeight="true" outlineLevel="0" collapsed="false">
      <c r="AJ974" s="6" t="str">
        <v/>
      </c>
      <c r="AK974" s="6" t="str">
        <v/>
      </c>
      <c r="AL974" s="6" t="str">
        <v/>
      </c>
      <c r="AM974" s="6" t="str">
        <v/>
      </c>
      <c r="AN974" s="6" t="n">
        <f aca="false">FALSE()</f>
        <v>0</v>
      </c>
    </row>
    <row r="975" customFormat="false" ht="52.5" hidden="false" customHeight="true" outlineLevel="0" collapsed="false">
      <c r="AJ975" s="6" t="str">
        <v/>
      </c>
      <c r="AK975" s="6" t="str">
        <v/>
      </c>
      <c r="AL975" s="6" t="str">
        <v/>
      </c>
      <c r="AM975" s="6" t="str">
        <v/>
      </c>
      <c r="AN975" s="6" t="n">
        <f aca="false">FALSE()</f>
        <v>0</v>
      </c>
    </row>
    <row r="976" customFormat="false" ht="52.5" hidden="false" customHeight="true" outlineLevel="0" collapsed="false">
      <c r="AJ976" s="6" t="str">
        <v/>
      </c>
      <c r="AK976" s="6" t="str">
        <v/>
      </c>
      <c r="AL976" s="6" t="str">
        <v/>
      </c>
      <c r="AM976" s="6" t="str">
        <v/>
      </c>
      <c r="AN976" s="6" t="n">
        <f aca="false">FALSE()</f>
        <v>0</v>
      </c>
    </row>
    <row r="977" customFormat="false" ht="52.5" hidden="false" customHeight="true" outlineLevel="0" collapsed="false">
      <c r="AJ977" s="6" t="str">
        <v/>
      </c>
      <c r="AK977" s="6" t="str">
        <v/>
      </c>
      <c r="AL977" s="6" t="str">
        <v/>
      </c>
      <c r="AM977" s="6" t="str">
        <v/>
      </c>
      <c r="AN977" s="6" t="n">
        <f aca="false">FALSE()</f>
        <v>0</v>
      </c>
    </row>
    <row r="978" customFormat="false" ht="52.5" hidden="false" customHeight="true" outlineLevel="0" collapsed="false">
      <c r="AJ978" s="6" t="str">
        <v/>
      </c>
      <c r="AK978" s="6" t="str">
        <v/>
      </c>
      <c r="AL978" s="6" t="str">
        <v/>
      </c>
      <c r="AM978" s="6" t="str">
        <v/>
      </c>
      <c r="AN978" s="6" t="n">
        <f aca="false">FALSE()</f>
        <v>0</v>
      </c>
    </row>
    <row r="979" customFormat="false" ht="52.5" hidden="false" customHeight="true" outlineLevel="0" collapsed="false">
      <c r="AJ979" s="6" t="str">
        <v/>
      </c>
      <c r="AK979" s="6" t="str">
        <v/>
      </c>
      <c r="AL979" s="6" t="str">
        <v/>
      </c>
      <c r="AM979" s="6" t="str">
        <v/>
      </c>
      <c r="AN979" s="6" t="n">
        <f aca="false">FALSE()</f>
        <v>0</v>
      </c>
    </row>
    <row r="980" customFormat="false" ht="52.5" hidden="false" customHeight="true" outlineLevel="0" collapsed="false">
      <c r="AJ980" s="6" t="str">
        <v/>
      </c>
      <c r="AK980" s="6" t="str">
        <v/>
      </c>
      <c r="AL980" s="6" t="str">
        <v/>
      </c>
      <c r="AM980" s="6" t="str">
        <v/>
      </c>
      <c r="AN980" s="6" t="n">
        <f aca="false">FALSE()</f>
        <v>0</v>
      </c>
    </row>
    <row r="981" customFormat="false" ht="52.5" hidden="false" customHeight="true" outlineLevel="0" collapsed="false">
      <c r="AJ981" s="6" t="str">
        <v/>
      </c>
      <c r="AK981" s="6" t="str">
        <v/>
      </c>
      <c r="AL981" s="6" t="str">
        <v/>
      </c>
      <c r="AM981" s="6" t="str">
        <v/>
      </c>
      <c r="AN981" s="6" t="n">
        <f aca="false">FALSE()</f>
        <v>0</v>
      </c>
    </row>
    <row r="982" customFormat="false" ht="52.5" hidden="false" customHeight="true" outlineLevel="0" collapsed="false">
      <c r="AJ982" s="6" t="str">
        <v/>
      </c>
      <c r="AK982" s="6" t="str">
        <v/>
      </c>
      <c r="AL982" s="6" t="str">
        <v/>
      </c>
      <c r="AM982" s="6" t="str">
        <v/>
      </c>
      <c r="AN982" s="6" t="n">
        <f aca="false">FALSE()</f>
        <v>0</v>
      </c>
    </row>
    <row r="983" customFormat="false" ht="52.5" hidden="false" customHeight="true" outlineLevel="0" collapsed="false">
      <c r="AJ983" s="6" t="str">
        <v/>
      </c>
      <c r="AK983" s="6" t="str">
        <v/>
      </c>
      <c r="AL983" s="6" t="str">
        <v/>
      </c>
      <c r="AM983" s="6" t="str">
        <v/>
      </c>
      <c r="AN983" s="6" t="n">
        <f aca="false">FALSE()</f>
        <v>0</v>
      </c>
    </row>
    <row r="984" customFormat="false" ht="52.5" hidden="false" customHeight="true" outlineLevel="0" collapsed="false">
      <c r="AJ984" s="6" t="str">
        <v/>
      </c>
      <c r="AK984" s="6" t="str">
        <v/>
      </c>
      <c r="AL984" s="6" t="str">
        <v/>
      </c>
      <c r="AM984" s="6" t="str">
        <v/>
      </c>
      <c r="AN984" s="6" t="n">
        <f aca="false">FALSE()</f>
        <v>0</v>
      </c>
    </row>
    <row r="985" customFormat="false" ht="52.5" hidden="false" customHeight="true" outlineLevel="0" collapsed="false">
      <c r="AJ985" s="6" t="str">
        <v/>
      </c>
      <c r="AK985" s="6" t="str">
        <v/>
      </c>
      <c r="AL985" s="6" t="str">
        <v/>
      </c>
      <c r="AM985" s="6" t="str">
        <v/>
      </c>
      <c r="AN985" s="6" t="n">
        <f aca="false">FALSE()</f>
        <v>0</v>
      </c>
    </row>
    <row r="986" customFormat="false" ht="52.5" hidden="false" customHeight="true" outlineLevel="0" collapsed="false">
      <c r="AJ986" s="6" t="str">
        <v/>
      </c>
      <c r="AK986" s="6" t="str">
        <v/>
      </c>
      <c r="AL986" s="6" t="str">
        <v/>
      </c>
      <c r="AM986" s="6" t="str">
        <v/>
      </c>
      <c r="AN986" s="6" t="n">
        <f aca="false">FALSE()</f>
        <v>0</v>
      </c>
    </row>
    <row r="987" customFormat="false" ht="52.5" hidden="false" customHeight="true" outlineLevel="0" collapsed="false">
      <c r="AJ987" s="6" t="str">
        <v/>
      </c>
      <c r="AK987" s="6" t="str">
        <v/>
      </c>
      <c r="AL987" s="6" t="str">
        <v/>
      </c>
      <c r="AM987" s="6" t="str">
        <v/>
      </c>
      <c r="AN987" s="6" t="n">
        <f aca="false">FALSE()</f>
        <v>0</v>
      </c>
    </row>
    <row r="988" customFormat="false" ht="52.5" hidden="false" customHeight="true" outlineLevel="0" collapsed="false">
      <c r="AJ988" s="6" t="str">
        <v/>
      </c>
      <c r="AK988" s="6" t="str">
        <v/>
      </c>
      <c r="AL988" s="6" t="str">
        <v/>
      </c>
      <c r="AM988" s="6" t="str">
        <v/>
      </c>
      <c r="AN988" s="6" t="n">
        <f aca="false">FALSE()</f>
        <v>0</v>
      </c>
    </row>
    <row r="989" customFormat="false" ht="52.5" hidden="false" customHeight="true" outlineLevel="0" collapsed="false">
      <c r="AJ989" s="6" t="str">
        <v/>
      </c>
      <c r="AK989" s="6" t="str">
        <v/>
      </c>
      <c r="AL989" s="6" t="str">
        <v/>
      </c>
      <c r="AM989" s="6" t="str">
        <v/>
      </c>
      <c r="AN989" s="6" t="n">
        <f aca="false">FALSE()</f>
        <v>0</v>
      </c>
    </row>
    <row r="990" customFormat="false" ht="52.5" hidden="false" customHeight="true" outlineLevel="0" collapsed="false">
      <c r="AJ990" s="6" t="str">
        <v/>
      </c>
      <c r="AK990" s="6" t="str">
        <v/>
      </c>
      <c r="AL990" s="6" t="str">
        <v/>
      </c>
      <c r="AM990" s="6" t="str">
        <v/>
      </c>
      <c r="AN990" s="6" t="n">
        <f aca="false">FALSE()</f>
        <v>0</v>
      </c>
    </row>
    <row r="991" customFormat="false" ht="52.5" hidden="false" customHeight="true" outlineLevel="0" collapsed="false">
      <c r="AJ991" s="6" t="str">
        <v/>
      </c>
      <c r="AK991" s="6" t="str">
        <v/>
      </c>
      <c r="AL991" s="6" t="str">
        <v/>
      </c>
      <c r="AM991" s="6" t="str">
        <v/>
      </c>
      <c r="AN991" s="6" t="n">
        <f aca="false">FALSE()</f>
        <v>0</v>
      </c>
    </row>
    <row r="992" customFormat="false" ht="52.5" hidden="false" customHeight="true" outlineLevel="0" collapsed="false">
      <c r="AJ992" s="6" t="str">
        <v/>
      </c>
      <c r="AK992" s="6" t="str">
        <v/>
      </c>
      <c r="AL992" s="6" t="str">
        <v/>
      </c>
      <c r="AM992" s="6" t="str">
        <v/>
      </c>
      <c r="AN992" s="6" t="n">
        <f aca="false">FALSE()</f>
        <v>0</v>
      </c>
    </row>
    <row r="993" customFormat="false" ht="52.5" hidden="false" customHeight="true" outlineLevel="0" collapsed="false">
      <c r="AJ993" s="6" t="str">
        <v/>
      </c>
      <c r="AK993" s="6" t="str">
        <v/>
      </c>
      <c r="AL993" s="6" t="str">
        <v/>
      </c>
      <c r="AM993" s="6" t="str">
        <v/>
      </c>
      <c r="AN993" s="6" t="n">
        <f aca="false">FALSE()</f>
        <v>0</v>
      </c>
    </row>
    <row r="994" customFormat="false" ht="52.5" hidden="false" customHeight="true" outlineLevel="0" collapsed="false">
      <c r="AJ994" s="6" t="str">
        <v/>
      </c>
      <c r="AK994" s="6" t="str">
        <v/>
      </c>
      <c r="AL994" s="6" t="str">
        <v/>
      </c>
      <c r="AM994" s="6" t="str">
        <v/>
      </c>
      <c r="AN994" s="6" t="n">
        <f aca="false">FALSE()</f>
        <v>0</v>
      </c>
    </row>
    <row r="995" customFormat="false" ht="52.5" hidden="false" customHeight="true" outlineLevel="0" collapsed="false">
      <c r="AJ995" s="6" t="str">
        <v/>
      </c>
      <c r="AK995" s="6" t="str">
        <v/>
      </c>
      <c r="AL995" s="6" t="str">
        <v/>
      </c>
      <c r="AM995" s="6" t="str">
        <v/>
      </c>
      <c r="AN995" s="6" t="n">
        <f aca="false">FALSE()</f>
        <v>0</v>
      </c>
    </row>
    <row r="996" customFormat="false" ht="52.5" hidden="false" customHeight="true" outlineLevel="0" collapsed="false">
      <c r="AJ996" s="6" t="str">
        <v/>
      </c>
      <c r="AK996" s="6" t="str">
        <v/>
      </c>
      <c r="AL996" s="6" t="str">
        <v/>
      </c>
      <c r="AM996" s="6" t="str">
        <v/>
      </c>
      <c r="AN996" s="6" t="n">
        <f aca="false">FALSE()</f>
        <v>0</v>
      </c>
    </row>
    <row r="997" customFormat="false" ht="52.5" hidden="false" customHeight="true" outlineLevel="0" collapsed="false">
      <c r="AJ997" s="6" t="str">
        <v/>
      </c>
      <c r="AK997" s="6" t="str">
        <v/>
      </c>
      <c r="AL997" s="6" t="str">
        <v/>
      </c>
      <c r="AM997" s="6" t="str">
        <v/>
      </c>
      <c r="AN997" s="6" t="n">
        <f aca="false">FALSE()</f>
        <v>0</v>
      </c>
    </row>
    <row r="998" customFormat="false" ht="52.5" hidden="false" customHeight="true" outlineLevel="0" collapsed="false">
      <c r="AJ998" s="6" t="str">
        <v/>
      </c>
      <c r="AK998" s="6" t="str">
        <v/>
      </c>
      <c r="AL998" s="6" t="str">
        <v/>
      </c>
      <c r="AM998" s="6" t="str">
        <v/>
      </c>
      <c r="AN998" s="6" t="n">
        <f aca="false">FALSE()</f>
        <v>0</v>
      </c>
    </row>
    <row r="999" customFormat="false" ht="52.5" hidden="false" customHeight="true" outlineLevel="0" collapsed="false">
      <c r="AJ999" s="6" t="str">
        <v/>
      </c>
      <c r="AK999" s="6" t="str">
        <v/>
      </c>
      <c r="AL999" s="6" t="str">
        <v/>
      </c>
      <c r="AM999" s="6" t="str">
        <v/>
      </c>
      <c r="AN999" s="6" t="n">
        <f aca="false">FALSE()</f>
        <v>0</v>
      </c>
    </row>
    <row r="1000" customFormat="false" ht="52.5" hidden="false" customHeight="true" outlineLevel="0" collapsed="false">
      <c r="AJ1000" s="6" t="str">
        <v/>
      </c>
      <c r="AK1000" s="6" t="str">
        <v/>
      </c>
      <c r="AL1000" s="6" t="str">
        <v/>
      </c>
      <c r="AM1000" s="6" t="str">
        <v/>
      </c>
      <c r="AN1000" s="6" t="n">
        <f aca="false">FALSE()</f>
        <v>0</v>
      </c>
    </row>
    <row r="1001" customFormat="false" ht="52.5" hidden="false" customHeight="true" outlineLevel="0" collapsed="false">
      <c r="AJ1001" s="6" t="str">
        <v/>
      </c>
      <c r="AK1001" s="6" t="str">
        <v/>
      </c>
      <c r="AL1001" s="6" t="str">
        <v/>
      </c>
      <c r="AM1001" s="6" t="str">
        <v/>
      </c>
      <c r="AN1001" s="6" t="n">
        <f aca="false">FALSE()</f>
        <v>0</v>
      </c>
    </row>
    <row r="1002" customFormat="false" ht="52.5" hidden="false" customHeight="true" outlineLevel="0" collapsed="false">
      <c r="AJ1002" s="6" t="str">
        <v/>
      </c>
      <c r="AK1002" s="6" t="str">
        <v/>
      </c>
      <c r="AL1002" s="6" t="str">
        <v/>
      </c>
      <c r="AM1002" s="6" t="str">
        <v/>
      </c>
      <c r="AN1002" s="6" t="n">
        <f aca="false">FALSE()</f>
        <v>0</v>
      </c>
    </row>
    <row r="1003" customFormat="false" ht="52.5" hidden="false" customHeight="true" outlineLevel="0" collapsed="false">
      <c r="AJ1003" s="6" t="str">
        <v/>
      </c>
      <c r="AK1003" s="6" t="str">
        <v/>
      </c>
      <c r="AL1003" s="6" t="str">
        <v/>
      </c>
      <c r="AM1003" s="6" t="str">
        <v/>
      </c>
      <c r="AN1003" s="6" t="n">
        <f aca="false">FALSE()</f>
        <v>0</v>
      </c>
    </row>
    <row r="1004" customFormat="false" ht="52.5" hidden="false" customHeight="true" outlineLevel="0" collapsed="false">
      <c r="AJ1004" s="6" t="str">
        <v/>
      </c>
      <c r="AK1004" s="6" t="str">
        <v/>
      </c>
      <c r="AL1004" s="6" t="str">
        <v/>
      </c>
      <c r="AM1004" s="6" t="str">
        <v/>
      </c>
      <c r="AN1004" s="6" t="n">
        <f aca="false">FALSE()</f>
        <v>0</v>
      </c>
    </row>
    <row r="1005" customFormat="false" ht="52.5" hidden="false" customHeight="true" outlineLevel="0" collapsed="false">
      <c r="AJ1005" s="6" t="str">
        <v/>
      </c>
      <c r="AK1005" s="6" t="str">
        <v/>
      </c>
      <c r="AL1005" s="6" t="str">
        <v/>
      </c>
      <c r="AM1005" s="6" t="str">
        <v/>
      </c>
      <c r="AN1005" s="6" t="n">
        <f aca="false">FALSE()</f>
        <v>0</v>
      </c>
    </row>
    <row r="1006" customFormat="false" ht="52.5" hidden="false" customHeight="true" outlineLevel="0" collapsed="false">
      <c r="AJ1006" s="6" t="str">
        <v/>
      </c>
      <c r="AK1006" s="6" t="str">
        <v/>
      </c>
      <c r="AL1006" s="6" t="str">
        <v/>
      </c>
      <c r="AM1006" s="6" t="str">
        <v/>
      </c>
      <c r="AN1006" s="6" t="n">
        <f aca="false">FALSE()</f>
        <v>0</v>
      </c>
    </row>
    <row r="1007" customFormat="false" ht="52.5" hidden="false" customHeight="true" outlineLevel="0" collapsed="false">
      <c r="AJ1007" s="6" t="str">
        <v/>
      </c>
      <c r="AK1007" s="6" t="str">
        <v/>
      </c>
      <c r="AL1007" s="6" t="str">
        <v/>
      </c>
      <c r="AM1007" s="6" t="str">
        <v/>
      </c>
      <c r="AN1007" s="6" t="n">
        <f aca="false">FALSE()</f>
        <v>0</v>
      </c>
    </row>
    <row r="1008" customFormat="false" ht="52.5" hidden="false" customHeight="true" outlineLevel="0" collapsed="false">
      <c r="AJ1008" s="6" t="str">
        <v/>
      </c>
      <c r="AK1008" s="6" t="str">
        <v/>
      </c>
      <c r="AL1008" s="6" t="str">
        <v/>
      </c>
      <c r="AM1008" s="6" t="str">
        <v/>
      </c>
      <c r="AN1008" s="6" t="n">
        <f aca="false">FALSE()</f>
        <v>0</v>
      </c>
    </row>
    <row r="1009" customFormat="false" ht="52.5" hidden="false" customHeight="true" outlineLevel="0" collapsed="false">
      <c r="AJ1009" s="6" t="str">
        <v/>
      </c>
      <c r="AK1009" s="6" t="str">
        <v/>
      </c>
      <c r="AL1009" s="6" t="str">
        <v/>
      </c>
      <c r="AM1009" s="6" t="str">
        <v/>
      </c>
      <c r="AN1009" s="6" t="n">
        <f aca="false">FALSE()</f>
        <v>0</v>
      </c>
    </row>
    <row r="1010" customFormat="false" ht="52.5" hidden="false" customHeight="true" outlineLevel="0" collapsed="false">
      <c r="AJ1010" s="6" t="str">
        <v/>
      </c>
      <c r="AK1010" s="6" t="str">
        <v/>
      </c>
      <c r="AL1010" s="6" t="str">
        <v/>
      </c>
      <c r="AM1010" s="6" t="str">
        <v/>
      </c>
      <c r="AN1010" s="6" t="n">
        <f aca="false">FALSE()</f>
        <v>0</v>
      </c>
    </row>
    <row r="1011" customFormat="false" ht="52.5" hidden="false" customHeight="true" outlineLevel="0" collapsed="false">
      <c r="AJ1011" s="6" t="str">
        <v/>
      </c>
      <c r="AK1011" s="6" t="str">
        <v/>
      </c>
      <c r="AL1011" s="6" t="str">
        <v/>
      </c>
      <c r="AM1011" s="6" t="str">
        <v/>
      </c>
      <c r="AN1011" s="6" t="n">
        <f aca="false">FALSE()</f>
        <v>0</v>
      </c>
    </row>
    <row r="1012" customFormat="false" ht="52.5" hidden="false" customHeight="true" outlineLevel="0" collapsed="false">
      <c r="AJ1012" s="6" t="str">
        <v/>
      </c>
      <c r="AK1012" s="6" t="str">
        <v/>
      </c>
      <c r="AL1012" s="6" t="str">
        <v/>
      </c>
      <c r="AM1012" s="6" t="str">
        <v/>
      </c>
      <c r="AN1012" s="6" t="n">
        <f aca="false">FALSE()</f>
        <v>0</v>
      </c>
    </row>
    <row r="1013" customFormat="false" ht="52.5" hidden="false" customHeight="true" outlineLevel="0" collapsed="false">
      <c r="AJ1013" s="6" t="str">
        <v/>
      </c>
      <c r="AK1013" s="6" t="str">
        <v/>
      </c>
      <c r="AL1013" s="6" t="str">
        <v/>
      </c>
      <c r="AM1013" s="6" t="str">
        <v/>
      </c>
      <c r="AN1013" s="6" t="n">
        <f aca="false">FALSE()</f>
        <v>0</v>
      </c>
    </row>
    <row r="1014" customFormat="false" ht="52.5" hidden="false" customHeight="true" outlineLevel="0" collapsed="false">
      <c r="AJ1014" s="6" t="str">
        <v/>
      </c>
      <c r="AK1014" s="6" t="str">
        <v/>
      </c>
      <c r="AL1014" s="6" t="str">
        <v/>
      </c>
      <c r="AM1014" s="6" t="str">
        <v/>
      </c>
      <c r="AN1014" s="6" t="n">
        <f aca="false">FALSE()</f>
        <v>0</v>
      </c>
    </row>
    <row r="1015" customFormat="false" ht="52.5" hidden="false" customHeight="true" outlineLevel="0" collapsed="false">
      <c r="AJ1015" s="6" t="str">
        <v/>
      </c>
      <c r="AK1015" s="6" t="str">
        <v/>
      </c>
      <c r="AL1015" s="6" t="str">
        <v/>
      </c>
      <c r="AM1015" s="6" t="str">
        <v/>
      </c>
      <c r="AN1015" s="6" t="n">
        <f aca="false">FALSE()</f>
        <v>0</v>
      </c>
    </row>
    <row r="1016" customFormat="false" ht="52.5" hidden="false" customHeight="true" outlineLevel="0" collapsed="false">
      <c r="AJ1016" s="6" t="str">
        <v/>
      </c>
      <c r="AK1016" s="6" t="str">
        <v/>
      </c>
      <c r="AL1016" s="6" t="str">
        <v/>
      </c>
      <c r="AM1016" s="6" t="str">
        <v/>
      </c>
      <c r="AN1016" s="6" t="n">
        <f aca="false">FALSE()</f>
        <v>0</v>
      </c>
    </row>
    <row r="1017" customFormat="false" ht="52.5" hidden="false" customHeight="true" outlineLevel="0" collapsed="false">
      <c r="AJ1017" s="6" t="str">
        <v/>
      </c>
      <c r="AK1017" s="6" t="str">
        <v/>
      </c>
      <c r="AL1017" s="6" t="str">
        <v/>
      </c>
      <c r="AM1017" s="6" t="str">
        <v/>
      </c>
      <c r="AN1017" s="6" t="n">
        <f aca="false">FALSE()</f>
        <v>0</v>
      </c>
    </row>
    <row r="1018" customFormat="false" ht="52.5" hidden="false" customHeight="true" outlineLevel="0" collapsed="false">
      <c r="AJ1018" s="6" t="str">
        <v/>
      </c>
      <c r="AK1018" s="6" t="str">
        <v/>
      </c>
      <c r="AL1018" s="6" t="str">
        <v/>
      </c>
      <c r="AM1018" s="6" t="str">
        <v/>
      </c>
      <c r="AN1018" s="6" t="n">
        <f aca="false">FALSE()</f>
        <v>0</v>
      </c>
    </row>
    <row r="1019" customFormat="false" ht="52.5" hidden="false" customHeight="true" outlineLevel="0" collapsed="false">
      <c r="AJ1019" s="6" t="str">
        <v/>
      </c>
      <c r="AK1019" s="6" t="str">
        <v/>
      </c>
      <c r="AL1019" s="6" t="str">
        <v/>
      </c>
      <c r="AM1019" s="6" t="str">
        <v/>
      </c>
      <c r="AN1019" s="6" t="n">
        <f aca="false">FALSE()</f>
        <v>0</v>
      </c>
    </row>
    <row r="1020" customFormat="false" ht="52.5" hidden="false" customHeight="true" outlineLevel="0" collapsed="false">
      <c r="AJ1020" s="6" t="str">
        <v/>
      </c>
      <c r="AK1020" s="6" t="str">
        <v/>
      </c>
      <c r="AL1020" s="6" t="str">
        <v/>
      </c>
      <c r="AM1020" s="6" t="str">
        <v/>
      </c>
      <c r="AN1020" s="6" t="n">
        <f aca="false">FALSE()</f>
        <v>0</v>
      </c>
    </row>
    <row r="1021" customFormat="false" ht="52.5" hidden="false" customHeight="true" outlineLevel="0" collapsed="false">
      <c r="AJ1021" s="6" t="str">
        <v/>
      </c>
      <c r="AK1021" s="6" t="str">
        <v/>
      </c>
      <c r="AL1021" s="6" t="str">
        <v/>
      </c>
      <c r="AM1021" s="6" t="str">
        <v/>
      </c>
      <c r="AN1021" s="6" t="n">
        <f aca="false">FALSE()</f>
        <v>0</v>
      </c>
    </row>
    <row r="1022" customFormat="false" ht="52.5" hidden="false" customHeight="true" outlineLevel="0" collapsed="false">
      <c r="AJ1022" s="6" t="str">
        <v/>
      </c>
      <c r="AK1022" s="6" t="str">
        <v/>
      </c>
      <c r="AL1022" s="6" t="str">
        <v/>
      </c>
      <c r="AM1022" s="6" t="str">
        <v/>
      </c>
      <c r="AN1022" s="6" t="n">
        <f aca="false">FALSE()</f>
        <v>0</v>
      </c>
    </row>
    <row r="1023" customFormat="false" ht="52.5" hidden="false" customHeight="true" outlineLevel="0" collapsed="false">
      <c r="AJ1023" s="6" t="str">
        <v/>
      </c>
      <c r="AK1023" s="6" t="str">
        <v/>
      </c>
      <c r="AL1023" s="6" t="str">
        <v/>
      </c>
      <c r="AM1023" s="6" t="str">
        <v/>
      </c>
      <c r="AN1023" s="6" t="n">
        <f aca="false">FALSE()</f>
        <v>0</v>
      </c>
    </row>
    <row r="1024" customFormat="false" ht="52.5" hidden="false" customHeight="true" outlineLevel="0" collapsed="false">
      <c r="AJ1024" s="6" t="str">
        <v/>
      </c>
      <c r="AK1024" s="6" t="str">
        <v/>
      </c>
      <c r="AL1024" s="6" t="str">
        <v/>
      </c>
      <c r="AM1024" s="6" t="str">
        <v/>
      </c>
      <c r="AN1024" s="6" t="n">
        <f aca="false">FALSE()</f>
        <v>0</v>
      </c>
    </row>
    <row r="1025" customFormat="false" ht="52.5" hidden="false" customHeight="true" outlineLevel="0" collapsed="false">
      <c r="AJ1025" s="6" t="str">
        <v/>
      </c>
      <c r="AK1025" s="6" t="str">
        <v/>
      </c>
      <c r="AL1025" s="6" t="str">
        <v/>
      </c>
      <c r="AM1025" s="6" t="str">
        <v/>
      </c>
      <c r="AN1025" s="6" t="n">
        <f aca="false">FALSE()</f>
        <v>0</v>
      </c>
    </row>
    <row r="1026" customFormat="false" ht="52.5" hidden="false" customHeight="true" outlineLevel="0" collapsed="false">
      <c r="AJ1026" s="6" t="str">
        <v/>
      </c>
      <c r="AK1026" s="6" t="str">
        <v/>
      </c>
      <c r="AL1026" s="6" t="str">
        <v/>
      </c>
      <c r="AM1026" s="6" t="str">
        <v/>
      </c>
      <c r="AN1026" s="6" t="n">
        <f aca="false">FALSE()</f>
        <v>0</v>
      </c>
    </row>
    <row r="1027" customFormat="false" ht="52.5" hidden="false" customHeight="true" outlineLevel="0" collapsed="false">
      <c r="AJ1027" s="6" t="str">
        <v/>
      </c>
      <c r="AK1027" s="6" t="str">
        <v/>
      </c>
      <c r="AL1027" s="6" t="str">
        <v/>
      </c>
      <c r="AM1027" s="6" t="str">
        <v/>
      </c>
      <c r="AN1027" s="6" t="n">
        <f aca="false">FALSE()</f>
        <v>0</v>
      </c>
    </row>
    <row r="1028" customFormat="false" ht="52.5" hidden="false" customHeight="true" outlineLevel="0" collapsed="false">
      <c r="AJ1028" s="6" t="str">
        <v/>
      </c>
      <c r="AK1028" s="6" t="str">
        <v/>
      </c>
      <c r="AL1028" s="6" t="str">
        <v/>
      </c>
      <c r="AM1028" s="6" t="str">
        <v/>
      </c>
      <c r="AN1028" s="6" t="n">
        <f aca="false">FALSE()</f>
        <v>0</v>
      </c>
    </row>
    <row r="1029" customFormat="false" ht="52.5" hidden="false" customHeight="true" outlineLevel="0" collapsed="false">
      <c r="AJ1029" s="6" t="str">
        <v/>
      </c>
      <c r="AK1029" s="6" t="str">
        <v/>
      </c>
      <c r="AL1029" s="6" t="str">
        <v/>
      </c>
      <c r="AM1029" s="6" t="str">
        <v/>
      </c>
      <c r="AN1029" s="6" t="n">
        <f aca="false">FALSE()</f>
        <v>0</v>
      </c>
    </row>
    <row r="1030" customFormat="false" ht="52.5" hidden="false" customHeight="true" outlineLevel="0" collapsed="false">
      <c r="AJ1030" s="6" t="str">
        <v/>
      </c>
      <c r="AK1030" s="6" t="str">
        <v/>
      </c>
      <c r="AL1030" s="6" t="str">
        <v/>
      </c>
      <c r="AM1030" s="6" t="str">
        <v/>
      </c>
      <c r="AN1030" s="6" t="n">
        <f aca="false">FALSE()</f>
        <v>0</v>
      </c>
    </row>
    <row r="1031" customFormat="false" ht="52.5" hidden="false" customHeight="true" outlineLevel="0" collapsed="false">
      <c r="AJ1031" s="6" t="str">
        <v/>
      </c>
      <c r="AK1031" s="6" t="str">
        <v/>
      </c>
      <c r="AL1031" s="6" t="str">
        <v/>
      </c>
      <c r="AM1031" s="6" t="str">
        <v/>
      </c>
      <c r="AN1031" s="6" t="n">
        <f aca="false">FALSE()</f>
        <v>0</v>
      </c>
    </row>
    <row r="1032" customFormat="false" ht="52.5" hidden="false" customHeight="true" outlineLevel="0" collapsed="false">
      <c r="AJ1032" s="6" t="str">
        <v/>
      </c>
      <c r="AK1032" s="6" t="str">
        <v/>
      </c>
      <c r="AL1032" s="6" t="str">
        <v/>
      </c>
      <c r="AM1032" s="6" t="str">
        <v/>
      </c>
      <c r="AN1032" s="6" t="n">
        <f aca="false">FALSE()</f>
        <v>0</v>
      </c>
    </row>
    <row r="1033" customFormat="false" ht="52.5" hidden="false" customHeight="true" outlineLevel="0" collapsed="false">
      <c r="AJ1033" s="6" t="str">
        <v/>
      </c>
      <c r="AK1033" s="6" t="str">
        <v/>
      </c>
      <c r="AL1033" s="6" t="str">
        <v/>
      </c>
      <c r="AM1033" s="6" t="str">
        <v/>
      </c>
      <c r="AN1033" s="6" t="n">
        <f aca="false">FALSE()</f>
        <v>0</v>
      </c>
    </row>
    <row r="1034" customFormat="false" ht="52.5" hidden="false" customHeight="true" outlineLevel="0" collapsed="false">
      <c r="AJ1034" s="6" t="str">
        <v/>
      </c>
      <c r="AK1034" s="6" t="str">
        <v/>
      </c>
      <c r="AL1034" s="6" t="str">
        <v/>
      </c>
      <c r="AM1034" s="6" t="str">
        <v/>
      </c>
      <c r="AN1034" s="6" t="n">
        <f aca="false">FALSE()</f>
        <v>0</v>
      </c>
    </row>
    <row r="1035" customFormat="false" ht="52.5" hidden="false" customHeight="true" outlineLevel="0" collapsed="false">
      <c r="AJ1035" s="6" t="str">
        <v/>
      </c>
      <c r="AK1035" s="6" t="str">
        <v/>
      </c>
      <c r="AL1035" s="6" t="str">
        <v/>
      </c>
      <c r="AM1035" s="6" t="str">
        <v/>
      </c>
      <c r="AN1035" s="6" t="n">
        <f aca="false">FALSE()</f>
        <v>0</v>
      </c>
    </row>
    <row r="1036" customFormat="false" ht="52.5" hidden="false" customHeight="true" outlineLevel="0" collapsed="false">
      <c r="AJ1036" s="6" t="str">
        <v/>
      </c>
      <c r="AK1036" s="6" t="str">
        <v/>
      </c>
      <c r="AL1036" s="6" t="str">
        <v/>
      </c>
      <c r="AM1036" s="6" t="str">
        <v/>
      </c>
      <c r="AN1036" s="6" t="n">
        <f aca="false">FALSE()</f>
        <v>0</v>
      </c>
    </row>
    <row r="1037" customFormat="false" ht="52.5" hidden="false" customHeight="true" outlineLevel="0" collapsed="false">
      <c r="AJ1037" s="6" t="str">
        <v/>
      </c>
      <c r="AK1037" s="6" t="str">
        <v/>
      </c>
      <c r="AL1037" s="6" t="str">
        <v/>
      </c>
      <c r="AM1037" s="6" t="str">
        <v/>
      </c>
      <c r="AN1037" s="6" t="n">
        <f aca="false">FALSE()</f>
        <v>0</v>
      </c>
    </row>
    <row r="1038" customFormat="false" ht="52.5" hidden="false" customHeight="true" outlineLevel="0" collapsed="false">
      <c r="AJ1038" s="6" t="str">
        <v/>
      </c>
      <c r="AK1038" s="6" t="str">
        <v/>
      </c>
      <c r="AL1038" s="6" t="str">
        <v/>
      </c>
      <c r="AM1038" s="6" t="str">
        <v/>
      </c>
      <c r="AN1038" s="6" t="n">
        <f aca="false">FALSE()</f>
        <v>0</v>
      </c>
    </row>
    <row r="1039" customFormat="false" ht="52.5" hidden="false" customHeight="true" outlineLevel="0" collapsed="false">
      <c r="AJ1039" s="6" t="str">
        <v/>
      </c>
      <c r="AK1039" s="6" t="str">
        <v/>
      </c>
      <c r="AL1039" s="6" t="str">
        <v/>
      </c>
      <c r="AM1039" s="6" t="str">
        <v/>
      </c>
      <c r="AN1039" s="6" t="n">
        <f aca="false">FALSE()</f>
        <v>0</v>
      </c>
    </row>
    <row r="1040" customFormat="false" ht="52.5" hidden="false" customHeight="true" outlineLevel="0" collapsed="false">
      <c r="AJ1040" s="6" t="str">
        <v/>
      </c>
      <c r="AK1040" s="6" t="str">
        <v/>
      </c>
      <c r="AL1040" s="6" t="str">
        <v/>
      </c>
      <c r="AM1040" s="6" t="str">
        <v/>
      </c>
      <c r="AN1040" s="6" t="n">
        <f aca="false">FALSE()</f>
        <v>0</v>
      </c>
    </row>
    <row r="1041" customFormat="false" ht="52.5" hidden="false" customHeight="true" outlineLevel="0" collapsed="false">
      <c r="AJ1041" s="6" t="str">
        <v/>
      </c>
      <c r="AK1041" s="6" t="str">
        <v/>
      </c>
      <c r="AL1041" s="6" t="str">
        <v/>
      </c>
      <c r="AM1041" s="6" t="str">
        <v/>
      </c>
      <c r="AN1041" s="6" t="n">
        <f aca="false">FALSE()</f>
        <v>0</v>
      </c>
    </row>
    <row r="1042" customFormat="false" ht="52.5" hidden="false" customHeight="true" outlineLevel="0" collapsed="false">
      <c r="AJ1042" s="6" t="str">
        <v/>
      </c>
      <c r="AK1042" s="6" t="str">
        <v/>
      </c>
      <c r="AL1042" s="6" t="str">
        <v/>
      </c>
      <c r="AM1042" s="6" t="str">
        <v/>
      </c>
      <c r="AN1042" s="6" t="n">
        <f aca="false">FALSE()</f>
        <v>0</v>
      </c>
    </row>
    <row r="1043" customFormat="false" ht="52.5" hidden="false" customHeight="true" outlineLevel="0" collapsed="false">
      <c r="AJ1043" s="6" t="str">
        <v/>
      </c>
      <c r="AK1043" s="6" t="str">
        <v/>
      </c>
      <c r="AL1043" s="6" t="str">
        <v/>
      </c>
      <c r="AM1043" s="6" t="str">
        <v/>
      </c>
      <c r="AN1043" s="6" t="n">
        <f aca="false">FALSE()</f>
        <v>0</v>
      </c>
    </row>
    <row r="1044" customFormat="false" ht="52.5" hidden="false" customHeight="true" outlineLevel="0" collapsed="false">
      <c r="AJ1044" s="6" t="str">
        <v/>
      </c>
      <c r="AK1044" s="6" t="str">
        <v/>
      </c>
      <c r="AL1044" s="6" t="str">
        <v/>
      </c>
      <c r="AM1044" s="6" t="str">
        <v/>
      </c>
      <c r="AN1044" s="6" t="n">
        <f aca="false">FALSE()</f>
        <v>0</v>
      </c>
    </row>
    <row r="1045" customFormat="false" ht="52.5" hidden="false" customHeight="true" outlineLevel="0" collapsed="false">
      <c r="AJ1045" s="6" t="str">
        <v/>
      </c>
      <c r="AK1045" s="6" t="str">
        <v/>
      </c>
      <c r="AL1045" s="6" t="str">
        <v/>
      </c>
      <c r="AM1045" s="6" t="str">
        <v/>
      </c>
      <c r="AN1045" s="6" t="n">
        <f aca="false">FALSE()</f>
        <v>0</v>
      </c>
    </row>
    <row r="1046" customFormat="false" ht="52.5" hidden="false" customHeight="true" outlineLevel="0" collapsed="false">
      <c r="AJ1046" s="6" t="str">
        <v/>
      </c>
      <c r="AK1046" s="6" t="str">
        <v/>
      </c>
      <c r="AL1046" s="6" t="str">
        <v/>
      </c>
      <c r="AM1046" s="6" t="str">
        <v/>
      </c>
      <c r="AN1046" s="6" t="n">
        <f aca="false">FALSE()</f>
        <v>0</v>
      </c>
    </row>
    <row r="1047" customFormat="false" ht="52.5" hidden="false" customHeight="true" outlineLevel="0" collapsed="false">
      <c r="AJ1047" s="6" t="str">
        <v/>
      </c>
      <c r="AK1047" s="6" t="str">
        <v/>
      </c>
      <c r="AL1047" s="6" t="str">
        <v/>
      </c>
      <c r="AM1047" s="6" t="str">
        <v/>
      </c>
      <c r="AN1047" s="6" t="n">
        <f aca="false">FALSE()</f>
        <v>0</v>
      </c>
    </row>
    <row r="1048" customFormat="false" ht="52.5" hidden="false" customHeight="true" outlineLevel="0" collapsed="false">
      <c r="AJ1048" s="6" t="str">
        <v/>
      </c>
      <c r="AK1048" s="6" t="str">
        <v/>
      </c>
      <c r="AL1048" s="6" t="str">
        <v/>
      </c>
      <c r="AM1048" s="6" t="str">
        <v/>
      </c>
      <c r="AN1048" s="6" t="n">
        <f aca="false">FALSE()</f>
        <v>0</v>
      </c>
    </row>
    <row r="1049" customFormat="false" ht="52.5" hidden="false" customHeight="true" outlineLevel="0" collapsed="false">
      <c r="AJ1049" s="6" t="str">
        <v/>
      </c>
      <c r="AK1049" s="6" t="str">
        <v/>
      </c>
      <c r="AL1049" s="6" t="str">
        <v/>
      </c>
      <c r="AM1049" s="6" t="str">
        <v/>
      </c>
      <c r="AN1049" s="6" t="n">
        <f aca="false">FALSE()</f>
        <v>0</v>
      </c>
    </row>
    <row r="1050" customFormat="false" ht="52.5" hidden="false" customHeight="true" outlineLevel="0" collapsed="false">
      <c r="AJ1050" s="6" t="str">
        <v/>
      </c>
      <c r="AK1050" s="6" t="str">
        <v/>
      </c>
      <c r="AL1050" s="6" t="str">
        <v/>
      </c>
      <c r="AM1050" s="6" t="str">
        <v/>
      </c>
      <c r="AN1050" s="6" t="n">
        <f aca="false">FALSE()</f>
        <v>0</v>
      </c>
    </row>
    <row r="1051" customFormat="false" ht="52.5" hidden="false" customHeight="true" outlineLevel="0" collapsed="false">
      <c r="AJ1051" s="6" t="str">
        <v/>
      </c>
      <c r="AK1051" s="6" t="str">
        <v/>
      </c>
      <c r="AL1051" s="6" t="str">
        <v/>
      </c>
      <c r="AM1051" s="6" t="str">
        <v/>
      </c>
      <c r="AN1051" s="6" t="n">
        <f aca="false">FALSE()</f>
        <v>0</v>
      </c>
    </row>
    <row r="1052" customFormat="false" ht="52.5" hidden="false" customHeight="true" outlineLevel="0" collapsed="false">
      <c r="AJ1052" s="6" t="str">
        <v/>
      </c>
      <c r="AK1052" s="6" t="str">
        <v/>
      </c>
      <c r="AL1052" s="6" t="str">
        <v/>
      </c>
      <c r="AM1052" s="6" t="str">
        <v/>
      </c>
      <c r="AN1052" s="6" t="n">
        <f aca="false">FALSE()</f>
        <v>0</v>
      </c>
    </row>
    <row r="1053" customFormat="false" ht="52.5" hidden="false" customHeight="true" outlineLevel="0" collapsed="false">
      <c r="AJ1053" s="6" t="str">
        <v/>
      </c>
      <c r="AK1053" s="6" t="str">
        <v/>
      </c>
      <c r="AL1053" s="6" t="str">
        <v/>
      </c>
      <c r="AM1053" s="6" t="str">
        <v/>
      </c>
      <c r="AN1053" s="6" t="n">
        <f aca="false">FALSE()</f>
        <v>0</v>
      </c>
    </row>
    <row r="1054" customFormat="false" ht="52.5" hidden="false" customHeight="true" outlineLevel="0" collapsed="false">
      <c r="AJ1054" s="6" t="str">
        <v/>
      </c>
      <c r="AK1054" s="6" t="str">
        <v/>
      </c>
      <c r="AL1054" s="6" t="str">
        <v/>
      </c>
      <c r="AM1054" s="6" t="str">
        <v/>
      </c>
      <c r="AN1054" s="6" t="n">
        <f aca="false">FALSE()</f>
        <v>0</v>
      </c>
    </row>
    <row r="1055" customFormat="false" ht="52.5" hidden="false" customHeight="true" outlineLevel="0" collapsed="false">
      <c r="AJ1055" s="6" t="str">
        <v/>
      </c>
      <c r="AK1055" s="6" t="str">
        <v/>
      </c>
      <c r="AL1055" s="6" t="str">
        <v/>
      </c>
      <c r="AM1055" s="6" t="str">
        <v/>
      </c>
      <c r="AN1055" s="6" t="n">
        <f aca="false">FALSE()</f>
        <v>0</v>
      </c>
    </row>
    <row r="1056" customFormat="false" ht="52.5" hidden="false" customHeight="true" outlineLevel="0" collapsed="false">
      <c r="AJ1056" s="6" t="str">
        <v/>
      </c>
      <c r="AK1056" s="6" t="str">
        <v/>
      </c>
      <c r="AL1056" s="6" t="str">
        <v/>
      </c>
      <c r="AM1056" s="6" t="str">
        <v/>
      </c>
      <c r="AN1056" s="6" t="n">
        <f aca="false">FALSE()</f>
        <v>0</v>
      </c>
    </row>
    <row r="1057" customFormat="false" ht="52.5" hidden="false" customHeight="true" outlineLevel="0" collapsed="false">
      <c r="AJ1057" s="6" t="str">
        <v/>
      </c>
      <c r="AK1057" s="6" t="str">
        <v/>
      </c>
      <c r="AL1057" s="6" t="str">
        <v/>
      </c>
      <c r="AM1057" s="6" t="str">
        <v/>
      </c>
      <c r="AN1057" s="6" t="n">
        <f aca="false">FALSE()</f>
        <v>0</v>
      </c>
    </row>
    <row r="1058" customFormat="false" ht="52.5" hidden="false" customHeight="true" outlineLevel="0" collapsed="false">
      <c r="AJ1058" s="6" t="str">
        <v/>
      </c>
      <c r="AK1058" s="6" t="str">
        <v/>
      </c>
      <c r="AL1058" s="6" t="str">
        <v/>
      </c>
      <c r="AM1058" s="6" t="str">
        <v/>
      </c>
      <c r="AN1058" s="6" t="n">
        <f aca="false">FALSE()</f>
        <v>0</v>
      </c>
    </row>
    <row r="1059" customFormat="false" ht="52.5" hidden="false" customHeight="true" outlineLevel="0" collapsed="false">
      <c r="AJ1059" s="6" t="str">
        <v/>
      </c>
      <c r="AK1059" s="6" t="str">
        <v/>
      </c>
      <c r="AL1059" s="6" t="str">
        <v/>
      </c>
      <c r="AM1059" s="6" t="str">
        <v/>
      </c>
      <c r="AN1059" s="6" t="n">
        <f aca="false">FALSE()</f>
        <v>0</v>
      </c>
    </row>
    <row r="1060" customFormat="false" ht="52.5" hidden="false" customHeight="true" outlineLevel="0" collapsed="false">
      <c r="AJ1060" s="6" t="str">
        <v/>
      </c>
      <c r="AK1060" s="6" t="str">
        <v/>
      </c>
      <c r="AL1060" s="6" t="str">
        <v/>
      </c>
      <c r="AM1060" s="6" t="str">
        <v/>
      </c>
      <c r="AN1060" s="6" t="n">
        <f aca="false">FALSE()</f>
        <v>0</v>
      </c>
    </row>
    <row r="1061" customFormat="false" ht="52.5" hidden="false" customHeight="true" outlineLevel="0" collapsed="false">
      <c r="AJ1061" s="6" t="str">
        <v/>
      </c>
      <c r="AK1061" s="6" t="str">
        <v/>
      </c>
      <c r="AL1061" s="6" t="str">
        <v/>
      </c>
      <c r="AM1061" s="6" t="str">
        <v/>
      </c>
      <c r="AN1061" s="6" t="n">
        <f aca="false">FALSE()</f>
        <v>0</v>
      </c>
    </row>
    <row r="1062" customFormat="false" ht="52.5" hidden="false" customHeight="true" outlineLevel="0" collapsed="false">
      <c r="AJ1062" s="6" t="str">
        <v/>
      </c>
      <c r="AK1062" s="6" t="str">
        <v/>
      </c>
      <c r="AL1062" s="6" t="str">
        <v/>
      </c>
      <c r="AM1062" s="6" t="str">
        <v/>
      </c>
      <c r="AN1062" s="6" t="n">
        <f aca="false">FALSE()</f>
        <v>0</v>
      </c>
    </row>
    <row r="1063" customFormat="false" ht="52.5" hidden="false" customHeight="true" outlineLevel="0" collapsed="false">
      <c r="AJ1063" s="6" t="str">
        <v/>
      </c>
      <c r="AK1063" s="6" t="str">
        <v/>
      </c>
      <c r="AL1063" s="6" t="str">
        <v/>
      </c>
      <c r="AM1063" s="6" t="str">
        <v/>
      </c>
      <c r="AN1063" s="6" t="n">
        <f aca="false">FALSE()</f>
        <v>0</v>
      </c>
    </row>
    <row r="1064" customFormat="false" ht="52.5" hidden="false" customHeight="true" outlineLevel="0" collapsed="false">
      <c r="AJ1064" s="6" t="str">
        <v/>
      </c>
      <c r="AK1064" s="6" t="str">
        <v/>
      </c>
      <c r="AL1064" s="6" t="str">
        <v/>
      </c>
      <c r="AM1064" s="6" t="str">
        <v/>
      </c>
      <c r="AN1064" s="6" t="n">
        <f aca="false">FALSE()</f>
        <v>0</v>
      </c>
    </row>
    <row r="1065" customFormat="false" ht="52.5" hidden="false" customHeight="true" outlineLevel="0" collapsed="false">
      <c r="AJ1065" s="6" t="str">
        <v/>
      </c>
      <c r="AK1065" s="6" t="str">
        <v/>
      </c>
      <c r="AL1065" s="6" t="str">
        <v/>
      </c>
      <c r="AM1065" s="6" t="str">
        <v/>
      </c>
      <c r="AN1065" s="6" t="n">
        <f aca="false">FALSE()</f>
        <v>0</v>
      </c>
    </row>
    <row r="1066" customFormat="false" ht="52.5" hidden="false" customHeight="true" outlineLevel="0" collapsed="false">
      <c r="AJ1066" s="6" t="str">
        <v/>
      </c>
      <c r="AK1066" s="6" t="str">
        <v/>
      </c>
      <c r="AL1066" s="6" t="str">
        <v/>
      </c>
      <c r="AM1066" s="6" t="str">
        <v/>
      </c>
      <c r="AN1066" s="6" t="n">
        <f aca="false">FALSE()</f>
        <v>0</v>
      </c>
    </row>
    <row r="1067" customFormat="false" ht="52.5" hidden="false" customHeight="true" outlineLevel="0" collapsed="false">
      <c r="AJ1067" s="6" t="str">
        <v/>
      </c>
      <c r="AK1067" s="6" t="str">
        <v/>
      </c>
      <c r="AL1067" s="6" t="str">
        <v/>
      </c>
      <c r="AM1067" s="6" t="str">
        <v/>
      </c>
      <c r="AN1067" s="6" t="n">
        <f aca="false">FALSE()</f>
        <v>0</v>
      </c>
    </row>
    <row r="1068" customFormat="false" ht="52.5" hidden="false" customHeight="true" outlineLevel="0" collapsed="false">
      <c r="AJ1068" s="6" t="str">
        <v/>
      </c>
      <c r="AK1068" s="6" t="str">
        <v/>
      </c>
      <c r="AL1068" s="6" t="str">
        <v/>
      </c>
      <c r="AM1068" s="6" t="str">
        <v/>
      </c>
      <c r="AN1068" s="6" t="n">
        <f aca="false">FALSE()</f>
        <v>0</v>
      </c>
    </row>
    <row r="1069" customFormat="false" ht="52.5" hidden="false" customHeight="true" outlineLevel="0" collapsed="false">
      <c r="AJ1069" s="6" t="str">
        <v/>
      </c>
      <c r="AK1069" s="6" t="str">
        <v/>
      </c>
      <c r="AL1069" s="6" t="str">
        <v/>
      </c>
      <c r="AM1069" s="6" t="str">
        <v/>
      </c>
      <c r="AN1069" s="6" t="n">
        <f aca="false">FALSE()</f>
        <v>0</v>
      </c>
    </row>
    <row r="1070" customFormat="false" ht="52.5" hidden="false" customHeight="true" outlineLevel="0" collapsed="false">
      <c r="AJ1070" s="6" t="str">
        <v/>
      </c>
      <c r="AK1070" s="6" t="str">
        <v/>
      </c>
      <c r="AL1070" s="6" t="str">
        <v/>
      </c>
      <c r="AM1070" s="6" t="str">
        <v/>
      </c>
      <c r="AN1070" s="6" t="n">
        <f aca="false">FALSE()</f>
        <v>0</v>
      </c>
    </row>
    <row r="1071" customFormat="false" ht="52.5" hidden="false" customHeight="true" outlineLevel="0" collapsed="false">
      <c r="AJ1071" s="6" t="str">
        <v/>
      </c>
      <c r="AK1071" s="6" t="str">
        <v/>
      </c>
      <c r="AL1071" s="6" t="str">
        <v/>
      </c>
      <c r="AM1071" s="6" t="str">
        <v/>
      </c>
      <c r="AN1071" s="6" t="n">
        <f aca="false">FALSE()</f>
        <v>0</v>
      </c>
    </row>
    <row r="1072" customFormat="false" ht="52.5" hidden="false" customHeight="true" outlineLevel="0" collapsed="false">
      <c r="AJ1072" s="6" t="str">
        <v/>
      </c>
      <c r="AK1072" s="6" t="str">
        <v/>
      </c>
      <c r="AL1072" s="6" t="str">
        <v/>
      </c>
      <c r="AM1072" s="6" t="str">
        <v/>
      </c>
      <c r="AN1072" s="6" t="n">
        <f aca="false">FALSE()</f>
        <v>0</v>
      </c>
    </row>
    <row r="1073" customFormat="false" ht="52.5" hidden="false" customHeight="true" outlineLevel="0" collapsed="false">
      <c r="AJ1073" s="6" t="str">
        <v/>
      </c>
      <c r="AK1073" s="6" t="str">
        <v/>
      </c>
      <c r="AL1073" s="6" t="str">
        <v/>
      </c>
      <c r="AM1073" s="6" t="str">
        <v/>
      </c>
      <c r="AN1073" s="6" t="n">
        <f aca="false">FALSE()</f>
        <v>0</v>
      </c>
    </row>
    <row r="1074" customFormat="false" ht="52.5" hidden="false" customHeight="true" outlineLevel="0" collapsed="false">
      <c r="AJ1074" s="6" t="str">
        <v/>
      </c>
      <c r="AK1074" s="6" t="str">
        <v/>
      </c>
      <c r="AL1074" s="6" t="str">
        <v/>
      </c>
      <c r="AM1074" s="6" t="str">
        <v/>
      </c>
      <c r="AN1074" s="6" t="n">
        <f aca="false">FALSE()</f>
        <v>0</v>
      </c>
    </row>
    <row r="1075" customFormat="false" ht="52.5" hidden="false" customHeight="true" outlineLevel="0" collapsed="false">
      <c r="AJ1075" s="6" t="str">
        <v/>
      </c>
      <c r="AK1075" s="6" t="str">
        <v/>
      </c>
      <c r="AL1075" s="6" t="str">
        <v/>
      </c>
      <c r="AM1075" s="6" t="str">
        <v/>
      </c>
      <c r="AN1075" s="6" t="n">
        <f aca="false">FALSE()</f>
        <v>0</v>
      </c>
    </row>
    <row r="1076" customFormat="false" ht="52.5" hidden="false" customHeight="true" outlineLevel="0" collapsed="false">
      <c r="AJ1076" s="6" t="str">
        <v/>
      </c>
      <c r="AK1076" s="6" t="str">
        <v/>
      </c>
      <c r="AL1076" s="6" t="str">
        <v/>
      </c>
      <c r="AM1076" s="6" t="str">
        <v/>
      </c>
      <c r="AN1076" s="6" t="n">
        <f aca="false">FALSE()</f>
        <v>0</v>
      </c>
    </row>
    <row r="1077" customFormat="false" ht="52.5" hidden="false" customHeight="true" outlineLevel="0" collapsed="false">
      <c r="AJ1077" s="6" t="str">
        <v/>
      </c>
      <c r="AK1077" s="6" t="str">
        <v/>
      </c>
      <c r="AL1077" s="6" t="str">
        <v/>
      </c>
      <c r="AM1077" s="6" t="str">
        <v/>
      </c>
      <c r="AN1077" s="6" t="n">
        <f aca="false">FALSE()</f>
        <v>0</v>
      </c>
    </row>
    <row r="1078" customFormat="false" ht="52.5" hidden="false" customHeight="true" outlineLevel="0" collapsed="false">
      <c r="AJ1078" s="6" t="str">
        <v/>
      </c>
      <c r="AK1078" s="6" t="str">
        <v/>
      </c>
      <c r="AL1078" s="6" t="str">
        <v/>
      </c>
      <c r="AM1078" s="6" t="str">
        <v/>
      </c>
      <c r="AN1078" s="6" t="n">
        <f aca="false">FALSE()</f>
        <v>0</v>
      </c>
    </row>
    <row r="1079" customFormat="false" ht="52.5" hidden="false" customHeight="true" outlineLevel="0" collapsed="false">
      <c r="AJ1079" s="6" t="str">
        <v/>
      </c>
      <c r="AK1079" s="6" t="str">
        <v/>
      </c>
      <c r="AL1079" s="6" t="str">
        <v/>
      </c>
      <c r="AM1079" s="6" t="str">
        <v/>
      </c>
      <c r="AN1079" s="6" t="n">
        <f aca="false">FALSE()</f>
        <v>0</v>
      </c>
    </row>
    <row r="1080" customFormat="false" ht="52.5" hidden="false" customHeight="true" outlineLevel="0" collapsed="false">
      <c r="AJ1080" s="6" t="str">
        <v/>
      </c>
      <c r="AK1080" s="6" t="str">
        <v/>
      </c>
      <c r="AL1080" s="6" t="str">
        <v/>
      </c>
      <c r="AM1080" s="6" t="str">
        <v/>
      </c>
      <c r="AN1080" s="6" t="n">
        <f aca="false">FALSE()</f>
        <v>0</v>
      </c>
    </row>
    <row r="1081" customFormat="false" ht="52.5" hidden="false" customHeight="true" outlineLevel="0" collapsed="false">
      <c r="AJ1081" s="6" t="str">
        <v/>
      </c>
      <c r="AK1081" s="6" t="str">
        <v/>
      </c>
      <c r="AL1081" s="6" t="str">
        <v/>
      </c>
      <c r="AM1081" s="6" t="str">
        <v/>
      </c>
      <c r="AN1081" s="6" t="n">
        <f aca="false">FALSE()</f>
        <v>0</v>
      </c>
    </row>
    <row r="1082" customFormat="false" ht="52.5" hidden="false" customHeight="true" outlineLevel="0" collapsed="false">
      <c r="AJ1082" s="6" t="str">
        <v/>
      </c>
      <c r="AK1082" s="6" t="str">
        <v/>
      </c>
      <c r="AL1082" s="6" t="str">
        <v/>
      </c>
      <c r="AM1082" s="6" t="str">
        <v/>
      </c>
      <c r="AN1082" s="6" t="n">
        <f aca="false">FALSE()</f>
        <v>0</v>
      </c>
    </row>
    <row r="1083" customFormat="false" ht="52.5" hidden="false" customHeight="true" outlineLevel="0" collapsed="false">
      <c r="AJ1083" s="6" t="str">
        <v/>
      </c>
      <c r="AK1083" s="6" t="str">
        <v/>
      </c>
      <c r="AL1083" s="6" t="str">
        <v/>
      </c>
      <c r="AM1083" s="6" t="str">
        <v/>
      </c>
      <c r="AN1083" s="6" t="n">
        <f aca="false">FALSE()</f>
        <v>0</v>
      </c>
    </row>
    <row r="1084" customFormat="false" ht="52.5" hidden="false" customHeight="true" outlineLevel="0" collapsed="false">
      <c r="AJ1084" s="6" t="str">
        <v/>
      </c>
      <c r="AK1084" s="6" t="str">
        <v/>
      </c>
      <c r="AL1084" s="6" t="str">
        <v/>
      </c>
      <c r="AM1084" s="6" t="str">
        <v/>
      </c>
      <c r="AN1084" s="6" t="n">
        <f aca="false">FALSE()</f>
        <v>0</v>
      </c>
    </row>
    <row r="1085" customFormat="false" ht="52.5" hidden="false" customHeight="true" outlineLevel="0" collapsed="false">
      <c r="AJ1085" s="6" t="str">
        <v/>
      </c>
      <c r="AK1085" s="6" t="str">
        <v/>
      </c>
      <c r="AL1085" s="6" t="str">
        <v/>
      </c>
      <c r="AM1085" s="6" t="str">
        <v/>
      </c>
      <c r="AN1085" s="6" t="n">
        <f aca="false">FALSE()</f>
        <v>0</v>
      </c>
    </row>
    <row r="1086" customFormat="false" ht="52.5" hidden="false" customHeight="true" outlineLevel="0" collapsed="false">
      <c r="AJ1086" s="6" t="str">
        <v/>
      </c>
      <c r="AK1086" s="6" t="str">
        <v/>
      </c>
      <c r="AL1086" s="6" t="str">
        <v/>
      </c>
      <c r="AM1086" s="6" t="str">
        <v/>
      </c>
      <c r="AN1086" s="6" t="n">
        <f aca="false">FALSE()</f>
        <v>0</v>
      </c>
    </row>
    <row r="1087" customFormat="false" ht="52.5" hidden="false" customHeight="true" outlineLevel="0" collapsed="false">
      <c r="AJ1087" s="6" t="str">
        <v/>
      </c>
      <c r="AK1087" s="6" t="str">
        <v/>
      </c>
      <c r="AL1087" s="6" t="str">
        <v/>
      </c>
      <c r="AM1087" s="6" t="str">
        <v/>
      </c>
      <c r="AN1087" s="6" t="n">
        <f aca="false">FALSE()</f>
        <v>0</v>
      </c>
    </row>
    <row r="1088" customFormat="false" ht="52.5" hidden="false" customHeight="true" outlineLevel="0" collapsed="false">
      <c r="AJ1088" s="6" t="str">
        <v/>
      </c>
      <c r="AK1088" s="6" t="str">
        <v/>
      </c>
      <c r="AL1088" s="6" t="str">
        <v/>
      </c>
      <c r="AM1088" s="6" t="str">
        <v/>
      </c>
      <c r="AN1088" s="6" t="n">
        <f aca="false">FALSE()</f>
        <v>0</v>
      </c>
    </row>
    <row r="1089" customFormat="false" ht="52.5" hidden="false" customHeight="true" outlineLevel="0" collapsed="false">
      <c r="AJ1089" s="6" t="str">
        <v/>
      </c>
      <c r="AK1089" s="6" t="str">
        <v/>
      </c>
      <c r="AL1089" s="6" t="str">
        <v/>
      </c>
      <c r="AM1089" s="6" t="str">
        <v/>
      </c>
      <c r="AN1089" s="6" t="n">
        <f aca="false">FALSE()</f>
        <v>0</v>
      </c>
    </row>
    <row r="1090" customFormat="false" ht="52.5" hidden="false" customHeight="true" outlineLevel="0" collapsed="false">
      <c r="AJ1090" s="6" t="str">
        <v/>
      </c>
      <c r="AK1090" s="6" t="str">
        <v/>
      </c>
      <c r="AL1090" s="6" t="str">
        <v/>
      </c>
      <c r="AM1090" s="6" t="str">
        <v/>
      </c>
      <c r="AN1090" s="6" t="n">
        <f aca="false">FALSE()</f>
        <v>0</v>
      </c>
    </row>
    <row r="1091" customFormat="false" ht="52.5" hidden="false" customHeight="true" outlineLevel="0" collapsed="false">
      <c r="AJ1091" s="6" t="str">
        <v/>
      </c>
      <c r="AK1091" s="6" t="str">
        <v/>
      </c>
      <c r="AL1091" s="6" t="str">
        <v/>
      </c>
      <c r="AM1091" s="6" t="str">
        <v/>
      </c>
      <c r="AN1091" s="6" t="n">
        <f aca="false">FALSE()</f>
        <v>0</v>
      </c>
    </row>
    <row r="1092" customFormat="false" ht="52.5" hidden="false" customHeight="true" outlineLevel="0" collapsed="false">
      <c r="AJ1092" s="6" t="str">
        <v/>
      </c>
      <c r="AK1092" s="6" t="str">
        <v/>
      </c>
      <c r="AL1092" s="6" t="str">
        <v/>
      </c>
      <c r="AM1092" s="6" t="str">
        <v/>
      </c>
      <c r="AN1092" s="6" t="n">
        <f aca="false">FALSE()</f>
        <v>0</v>
      </c>
    </row>
    <row r="1093" customFormat="false" ht="52.5" hidden="false" customHeight="true" outlineLevel="0" collapsed="false">
      <c r="AJ1093" s="6" t="str">
        <v/>
      </c>
      <c r="AK1093" s="6" t="str">
        <v/>
      </c>
      <c r="AL1093" s="6" t="str">
        <v/>
      </c>
      <c r="AM1093" s="6" t="str">
        <v/>
      </c>
      <c r="AN1093" s="6" t="n">
        <f aca="false">FALSE()</f>
        <v>0</v>
      </c>
    </row>
    <row r="1094" customFormat="false" ht="52.5" hidden="false" customHeight="true" outlineLevel="0" collapsed="false">
      <c r="AJ1094" s="6" t="str">
        <v/>
      </c>
      <c r="AK1094" s="6" t="str">
        <v/>
      </c>
      <c r="AL1094" s="6" t="str">
        <v/>
      </c>
      <c r="AM1094" s="6" t="str">
        <v/>
      </c>
      <c r="AN1094" s="6" t="n">
        <f aca="false">FALSE()</f>
        <v>0</v>
      </c>
    </row>
    <row r="1095" customFormat="false" ht="52.5" hidden="false" customHeight="true" outlineLevel="0" collapsed="false">
      <c r="AJ1095" s="6" t="str">
        <v/>
      </c>
      <c r="AK1095" s="6" t="str">
        <v/>
      </c>
      <c r="AL1095" s="6" t="str">
        <v/>
      </c>
      <c r="AM1095" s="6" t="str">
        <v/>
      </c>
      <c r="AN1095" s="6" t="n">
        <f aca="false">FALSE()</f>
        <v>0</v>
      </c>
    </row>
    <row r="1096" customFormat="false" ht="52.5" hidden="false" customHeight="true" outlineLevel="0" collapsed="false">
      <c r="AJ1096" s="6" t="str">
        <v/>
      </c>
      <c r="AK1096" s="6" t="str">
        <v/>
      </c>
      <c r="AL1096" s="6" t="str">
        <v/>
      </c>
      <c r="AM1096" s="6" t="str">
        <v/>
      </c>
      <c r="AN1096" s="6" t="n">
        <f aca="false">FALSE()</f>
        <v>0</v>
      </c>
    </row>
    <row r="1097" customFormat="false" ht="52.5" hidden="false" customHeight="true" outlineLevel="0" collapsed="false">
      <c r="AJ1097" s="6" t="str">
        <v/>
      </c>
      <c r="AK1097" s="6" t="str">
        <v/>
      </c>
      <c r="AL1097" s="6" t="str">
        <v/>
      </c>
      <c r="AM1097" s="6" t="str">
        <v/>
      </c>
      <c r="AN1097" s="6" t="n">
        <f aca="false">FALSE()</f>
        <v>0</v>
      </c>
    </row>
    <row r="1098" customFormat="false" ht="52.5" hidden="false" customHeight="true" outlineLevel="0" collapsed="false">
      <c r="AJ1098" s="6" t="str">
        <v/>
      </c>
      <c r="AK1098" s="6" t="str">
        <v/>
      </c>
      <c r="AL1098" s="6" t="str">
        <v/>
      </c>
      <c r="AM1098" s="6" t="str">
        <v/>
      </c>
      <c r="AN1098" s="6" t="n">
        <f aca="false">FALSE()</f>
        <v>0</v>
      </c>
    </row>
    <row r="1099" customFormat="false" ht="52.5" hidden="false" customHeight="true" outlineLevel="0" collapsed="false">
      <c r="AJ1099" s="6" t="str">
        <v/>
      </c>
      <c r="AK1099" s="6" t="str">
        <v/>
      </c>
      <c r="AL1099" s="6" t="str">
        <v/>
      </c>
      <c r="AM1099" s="6" t="str">
        <v/>
      </c>
      <c r="AN1099" s="6" t="n">
        <f aca="false">FALSE()</f>
        <v>0</v>
      </c>
    </row>
    <row r="1100" customFormat="false" ht="52.5" hidden="false" customHeight="true" outlineLevel="0" collapsed="false">
      <c r="AJ1100" s="6" t="str">
        <v/>
      </c>
      <c r="AK1100" s="6" t="str">
        <v/>
      </c>
      <c r="AL1100" s="6" t="str">
        <v/>
      </c>
      <c r="AM1100" s="6" t="str">
        <v/>
      </c>
      <c r="AN1100" s="6" t="n">
        <f aca="false">FALSE()</f>
        <v>0</v>
      </c>
    </row>
    <row r="1101" customFormat="false" ht="52.5" hidden="false" customHeight="true" outlineLevel="0" collapsed="false">
      <c r="AJ1101" s="6" t="str">
        <v/>
      </c>
      <c r="AK1101" s="6" t="str">
        <v/>
      </c>
      <c r="AL1101" s="6" t="str">
        <v/>
      </c>
      <c r="AM1101" s="6" t="str">
        <v/>
      </c>
      <c r="AN1101" s="6" t="n">
        <f aca="false">FALSE()</f>
        <v>0</v>
      </c>
    </row>
    <row r="1102" customFormat="false" ht="52.5" hidden="false" customHeight="true" outlineLevel="0" collapsed="false">
      <c r="AJ1102" s="6" t="str">
        <v/>
      </c>
      <c r="AK1102" s="6" t="str">
        <v/>
      </c>
      <c r="AL1102" s="6" t="str">
        <v/>
      </c>
      <c r="AM1102" s="6" t="str">
        <v/>
      </c>
      <c r="AN1102" s="6" t="n">
        <f aca="false">FALSE()</f>
        <v>0</v>
      </c>
    </row>
    <row r="1103" customFormat="false" ht="52.5" hidden="false" customHeight="true" outlineLevel="0" collapsed="false">
      <c r="AJ1103" s="6" t="str">
        <v/>
      </c>
      <c r="AK1103" s="6" t="str">
        <v/>
      </c>
      <c r="AL1103" s="6" t="str">
        <v/>
      </c>
      <c r="AM1103" s="6" t="str">
        <v/>
      </c>
      <c r="AN1103" s="6" t="n">
        <f aca="false">FALSE()</f>
        <v>0</v>
      </c>
    </row>
    <row r="1104" customFormat="false" ht="52.5" hidden="false" customHeight="true" outlineLevel="0" collapsed="false">
      <c r="AJ1104" s="6" t="str">
        <v/>
      </c>
      <c r="AK1104" s="6" t="str">
        <v/>
      </c>
      <c r="AL1104" s="6" t="str">
        <v/>
      </c>
      <c r="AM1104" s="6" t="str">
        <v/>
      </c>
      <c r="AN1104" s="6" t="n">
        <f aca="false">FALSE()</f>
        <v>0</v>
      </c>
    </row>
    <row r="1105" customFormat="false" ht="52.5" hidden="false" customHeight="true" outlineLevel="0" collapsed="false">
      <c r="AJ1105" s="6" t="str">
        <v/>
      </c>
      <c r="AK1105" s="6" t="str">
        <v/>
      </c>
      <c r="AL1105" s="6" t="str">
        <v/>
      </c>
      <c r="AM1105" s="6" t="str">
        <v/>
      </c>
      <c r="AN1105" s="6" t="n">
        <f aca="false">FALSE()</f>
        <v>0</v>
      </c>
    </row>
    <row r="1106" customFormat="false" ht="52.5" hidden="false" customHeight="true" outlineLevel="0" collapsed="false">
      <c r="AJ1106" s="6" t="str">
        <v/>
      </c>
      <c r="AK1106" s="6" t="str">
        <v/>
      </c>
      <c r="AL1106" s="6" t="str">
        <v/>
      </c>
      <c r="AM1106" s="6" t="str">
        <v/>
      </c>
      <c r="AN1106" s="6" t="n">
        <f aca="false">FALSE()</f>
        <v>0</v>
      </c>
    </row>
    <row r="1107" customFormat="false" ht="52.5" hidden="false" customHeight="true" outlineLevel="0" collapsed="false">
      <c r="AJ1107" s="6" t="str">
        <v/>
      </c>
      <c r="AK1107" s="6" t="str">
        <v/>
      </c>
      <c r="AL1107" s="6" t="str">
        <v/>
      </c>
      <c r="AM1107" s="6" t="str">
        <v/>
      </c>
      <c r="AN1107" s="6" t="n">
        <f aca="false">FALSE()</f>
        <v>0</v>
      </c>
    </row>
    <row r="1108" customFormat="false" ht="52.5" hidden="false" customHeight="true" outlineLevel="0" collapsed="false">
      <c r="AJ1108" s="6" t="str">
        <v/>
      </c>
      <c r="AK1108" s="6" t="str">
        <v/>
      </c>
      <c r="AL1108" s="6" t="str">
        <v/>
      </c>
      <c r="AM1108" s="6" t="str">
        <v/>
      </c>
      <c r="AN1108" s="6" t="n">
        <f aca="false">FALSE()</f>
        <v>0</v>
      </c>
    </row>
    <row r="1109" customFormat="false" ht="52.5" hidden="false" customHeight="true" outlineLevel="0" collapsed="false">
      <c r="AJ1109" s="6" t="str">
        <v/>
      </c>
      <c r="AK1109" s="6" t="str">
        <v/>
      </c>
      <c r="AL1109" s="6" t="str">
        <v/>
      </c>
      <c r="AM1109" s="6" t="str">
        <v/>
      </c>
      <c r="AN1109" s="6" t="n">
        <f aca="false">FALSE()</f>
        <v>0</v>
      </c>
    </row>
    <row r="1110" customFormat="false" ht="52.5" hidden="false" customHeight="true" outlineLevel="0" collapsed="false">
      <c r="AJ1110" s="6" t="str">
        <v/>
      </c>
      <c r="AK1110" s="6" t="str">
        <v/>
      </c>
      <c r="AL1110" s="6" t="str">
        <v/>
      </c>
      <c r="AM1110" s="6" t="str">
        <v/>
      </c>
      <c r="AN1110" s="6" t="n">
        <f aca="false">FALSE()</f>
        <v>0</v>
      </c>
    </row>
    <row r="1111" customFormat="false" ht="52.5" hidden="false" customHeight="true" outlineLevel="0" collapsed="false">
      <c r="AJ1111" s="6" t="str">
        <v/>
      </c>
      <c r="AK1111" s="6" t="str">
        <v/>
      </c>
      <c r="AL1111" s="6" t="str">
        <v/>
      </c>
      <c r="AM1111" s="6" t="str">
        <v/>
      </c>
      <c r="AN1111" s="6" t="n">
        <f aca="false">FALSE()</f>
        <v>0</v>
      </c>
    </row>
    <row r="1112" customFormat="false" ht="52.5" hidden="false" customHeight="true" outlineLevel="0" collapsed="false">
      <c r="AJ1112" s="6" t="str">
        <v/>
      </c>
      <c r="AK1112" s="6" t="str">
        <v/>
      </c>
      <c r="AL1112" s="6" t="str">
        <v/>
      </c>
      <c r="AM1112" s="6" t="str">
        <v/>
      </c>
      <c r="AN1112" s="6" t="n">
        <f aca="false">FALSE()</f>
        <v>0</v>
      </c>
    </row>
    <row r="1113" customFormat="false" ht="52.5" hidden="false" customHeight="true" outlineLevel="0" collapsed="false">
      <c r="AJ1113" s="6" t="str">
        <v/>
      </c>
      <c r="AK1113" s="6" t="str">
        <v/>
      </c>
      <c r="AL1113" s="6" t="str">
        <v/>
      </c>
      <c r="AM1113" s="6" t="str">
        <v/>
      </c>
      <c r="AN1113" s="6" t="n">
        <f aca="false">FALSE()</f>
        <v>0</v>
      </c>
    </row>
    <row r="1114" customFormat="false" ht="52.5" hidden="false" customHeight="true" outlineLevel="0" collapsed="false">
      <c r="AJ1114" s="6" t="str">
        <v/>
      </c>
      <c r="AK1114" s="6" t="str">
        <v/>
      </c>
      <c r="AL1114" s="6" t="str">
        <v/>
      </c>
      <c r="AM1114" s="6" t="str">
        <v/>
      </c>
      <c r="AN1114" s="6" t="n">
        <f aca="false">FALSE()</f>
        <v>0</v>
      </c>
    </row>
    <row r="1115" customFormat="false" ht="52.5" hidden="false" customHeight="true" outlineLevel="0" collapsed="false">
      <c r="AJ1115" s="6" t="str">
        <v/>
      </c>
      <c r="AK1115" s="6" t="str">
        <v/>
      </c>
      <c r="AL1115" s="6" t="str">
        <v/>
      </c>
      <c r="AM1115" s="6" t="str">
        <v/>
      </c>
      <c r="AN1115" s="6" t="n">
        <f aca="false">FALSE()</f>
        <v>0</v>
      </c>
    </row>
    <row r="1116" customFormat="false" ht="52.5" hidden="false" customHeight="true" outlineLevel="0" collapsed="false">
      <c r="AJ1116" s="6" t="str">
        <v/>
      </c>
      <c r="AK1116" s="6" t="str">
        <v/>
      </c>
      <c r="AL1116" s="6" t="str">
        <v/>
      </c>
      <c r="AM1116" s="6" t="str">
        <v/>
      </c>
      <c r="AN1116" s="6" t="n">
        <f aca="false">FALSE()</f>
        <v>0</v>
      </c>
    </row>
    <row r="1117" customFormat="false" ht="52.5" hidden="false" customHeight="true" outlineLevel="0" collapsed="false">
      <c r="AJ1117" s="6" t="str">
        <v/>
      </c>
      <c r="AK1117" s="6" t="str">
        <v/>
      </c>
      <c r="AL1117" s="6" t="str">
        <v/>
      </c>
      <c r="AM1117" s="6" t="str">
        <v/>
      </c>
      <c r="AN1117" s="6" t="n">
        <f aca="false">FALSE()</f>
        <v>0</v>
      </c>
    </row>
    <row r="1118" customFormat="false" ht="52.5" hidden="false" customHeight="true" outlineLevel="0" collapsed="false">
      <c r="AJ1118" s="6" t="str">
        <v/>
      </c>
      <c r="AK1118" s="6" t="str">
        <v/>
      </c>
      <c r="AL1118" s="6" t="str">
        <v/>
      </c>
      <c r="AM1118" s="6" t="str">
        <v/>
      </c>
      <c r="AN1118" s="6" t="n">
        <f aca="false">FALSE()</f>
        <v>0</v>
      </c>
    </row>
    <row r="1119" customFormat="false" ht="52.5" hidden="false" customHeight="true" outlineLevel="0" collapsed="false">
      <c r="AJ1119" s="6" t="str">
        <v/>
      </c>
      <c r="AK1119" s="6" t="str">
        <v/>
      </c>
      <c r="AL1119" s="6" t="str">
        <v/>
      </c>
      <c r="AM1119" s="6" t="str">
        <v/>
      </c>
      <c r="AN1119" s="6" t="n">
        <f aca="false">FALSE()</f>
        <v>0</v>
      </c>
    </row>
    <row r="1120" customFormat="false" ht="52.5" hidden="false" customHeight="true" outlineLevel="0" collapsed="false">
      <c r="AJ1120" s="6" t="str">
        <v/>
      </c>
      <c r="AK1120" s="6" t="str">
        <v/>
      </c>
      <c r="AL1120" s="6" t="str">
        <v/>
      </c>
      <c r="AM1120" s="6" t="str">
        <v/>
      </c>
      <c r="AN1120" s="6" t="n">
        <f aca="false">FALSE()</f>
        <v>0</v>
      </c>
    </row>
    <row r="1121" customFormat="false" ht="52.5" hidden="false" customHeight="true" outlineLevel="0" collapsed="false">
      <c r="AJ1121" s="6" t="str">
        <v/>
      </c>
      <c r="AK1121" s="6" t="str">
        <v/>
      </c>
      <c r="AL1121" s="6" t="str">
        <v/>
      </c>
      <c r="AM1121" s="6" t="str">
        <v/>
      </c>
      <c r="AN1121" s="6" t="n">
        <f aca="false">FALSE()</f>
        <v>0</v>
      </c>
    </row>
    <row r="1122" customFormat="false" ht="52.5" hidden="false" customHeight="true" outlineLevel="0" collapsed="false">
      <c r="AJ1122" s="6" t="str">
        <v/>
      </c>
      <c r="AK1122" s="6" t="str">
        <v/>
      </c>
      <c r="AL1122" s="6" t="str">
        <v/>
      </c>
      <c r="AM1122" s="6" t="str">
        <v/>
      </c>
      <c r="AN1122" s="6" t="n">
        <f aca="false">FALSE()</f>
        <v>0</v>
      </c>
    </row>
    <row r="1123" customFormat="false" ht="52.5" hidden="false" customHeight="true" outlineLevel="0" collapsed="false">
      <c r="AJ1123" s="6" t="str">
        <v/>
      </c>
      <c r="AK1123" s="6" t="str">
        <v/>
      </c>
      <c r="AL1123" s="6" t="str">
        <v/>
      </c>
      <c r="AM1123" s="6" t="str">
        <v/>
      </c>
      <c r="AN1123" s="6" t="n">
        <f aca="false">FALSE()</f>
        <v>0</v>
      </c>
    </row>
    <row r="1124" customFormat="false" ht="52.5" hidden="false" customHeight="true" outlineLevel="0" collapsed="false">
      <c r="AJ1124" s="6" t="str">
        <v/>
      </c>
      <c r="AK1124" s="6" t="str">
        <v/>
      </c>
      <c r="AL1124" s="6" t="str">
        <v/>
      </c>
      <c r="AM1124" s="6" t="str">
        <v/>
      </c>
      <c r="AN1124" s="6" t="n">
        <f aca="false">FALSE()</f>
        <v>0</v>
      </c>
    </row>
    <row r="1125" customFormat="false" ht="52.5" hidden="false" customHeight="true" outlineLevel="0" collapsed="false">
      <c r="AJ1125" s="6" t="str">
        <v/>
      </c>
      <c r="AK1125" s="6" t="str">
        <v/>
      </c>
      <c r="AL1125" s="6" t="str">
        <v/>
      </c>
      <c r="AM1125" s="6" t="str">
        <v/>
      </c>
      <c r="AN1125" s="6" t="n">
        <f aca="false">FALSE()</f>
        <v>0</v>
      </c>
    </row>
    <row r="1126" customFormat="false" ht="52.5" hidden="false" customHeight="true" outlineLevel="0" collapsed="false">
      <c r="AJ1126" s="6" t="str">
        <v/>
      </c>
      <c r="AK1126" s="6" t="str">
        <v/>
      </c>
      <c r="AL1126" s="6" t="str">
        <v/>
      </c>
      <c r="AM1126" s="6" t="str">
        <v/>
      </c>
      <c r="AN1126" s="6" t="n">
        <f aca="false">FALSE()</f>
        <v>0</v>
      </c>
    </row>
    <row r="1127" customFormat="false" ht="52.5" hidden="false" customHeight="true" outlineLevel="0" collapsed="false">
      <c r="AJ1127" s="6" t="str">
        <v/>
      </c>
      <c r="AK1127" s="6" t="str">
        <v/>
      </c>
      <c r="AL1127" s="6" t="str">
        <v/>
      </c>
      <c r="AM1127" s="6" t="str">
        <v/>
      </c>
      <c r="AN1127" s="6" t="n">
        <f aca="false">FALSE()</f>
        <v>0</v>
      </c>
    </row>
    <row r="1128" customFormat="false" ht="52.5" hidden="false" customHeight="true" outlineLevel="0" collapsed="false">
      <c r="AJ1128" s="6" t="str">
        <v/>
      </c>
      <c r="AK1128" s="6" t="str">
        <v/>
      </c>
      <c r="AL1128" s="6" t="str">
        <v/>
      </c>
      <c r="AM1128" s="6" t="str">
        <v/>
      </c>
      <c r="AN1128" s="6" t="n">
        <f aca="false">FALSE()</f>
        <v>0</v>
      </c>
    </row>
    <row r="1129" customFormat="false" ht="52.5" hidden="false" customHeight="true" outlineLevel="0" collapsed="false">
      <c r="AJ1129" s="6" t="str">
        <v/>
      </c>
      <c r="AK1129" s="6" t="str">
        <v/>
      </c>
      <c r="AL1129" s="6" t="str">
        <v/>
      </c>
      <c r="AM1129" s="6" t="str">
        <v/>
      </c>
      <c r="AN1129" s="6" t="n">
        <f aca="false">FALSE()</f>
        <v>0</v>
      </c>
    </row>
    <row r="1130" customFormat="false" ht="52.5" hidden="false" customHeight="true" outlineLevel="0" collapsed="false">
      <c r="AJ1130" s="6" t="str">
        <v/>
      </c>
      <c r="AK1130" s="6" t="str">
        <v/>
      </c>
      <c r="AL1130" s="6" t="str">
        <v/>
      </c>
      <c r="AM1130" s="6" t="str">
        <v/>
      </c>
      <c r="AN1130" s="6" t="n">
        <f aca="false">FALSE()</f>
        <v>0</v>
      </c>
    </row>
    <row r="1131" customFormat="false" ht="52.5" hidden="false" customHeight="true" outlineLevel="0" collapsed="false">
      <c r="AJ1131" s="6" t="str">
        <v/>
      </c>
      <c r="AK1131" s="6" t="str">
        <v/>
      </c>
      <c r="AL1131" s="6" t="str">
        <v/>
      </c>
      <c r="AM1131" s="6" t="str">
        <v/>
      </c>
      <c r="AN1131" s="6" t="n">
        <f aca="false">FALSE()</f>
        <v>0</v>
      </c>
    </row>
    <row r="1132" customFormat="false" ht="52.5" hidden="false" customHeight="true" outlineLevel="0" collapsed="false">
      <c r="AJ1132" s="6" t="str">
        <v/>
      </c>
      <c r="AK1132" s="6" t="str">
        <v/>
      </c>
      <c r="AL1132" s="6" t="str">
        <v/>
      </c>
      <c r="AM1132" s="6" t="str">
        <v/>
      </c>
      <c r="AN1132" s="6" t="n">
        <f aca="false">FALSE()</f>
        <v>0</v>
      </c>
    </row>
    <row r="1133" customFormat="false" ht="52.5" hidden="false" customHeight="true" outlineLevel="0" collapsed="false">
      <c r="AJ1133" s="6" t="str">
        <v/>
      </c>
      <c r="AK1133" s="6" t="str">
        <v/>
      </c>
      <c r="AL1133" s="6" t="str">
        <v/>
      </c>
      <c r="AM1133" s="6" t="str">
        <v/>
      </c>
      <c r="AN1133" s="6" t="n">
        <f aca="false">FALSE()</f>
        <v>0</v>
      </c>
    </row>
    <row r="1134" customFormat="false" ht="52.5" hidden="false" customHeight="true" outlineLevel="0" collapsed="false">
      <c r="AJ1134" s="6" t="str">
        <v/>
      </c>
      <c r="AK1134" s="6" t="str">
        <v/>
      </c>
      <c r="AL1134" s="6" t="str">
        <v/>
      </c>
      <c r="AM1134" s="6" t="str">
        <v/>
      </c>
      <c r="AN1134" s="6" t="n">
        <f aca="false">FALSE()</f>
        <v>0</v>
      </c>
    </row>
    <row r="1135" customFormat="false" ht="52.5" hidden="false" customHeight="true" outlineLevel="0" collapsed="false">
      <c r="AJ1135" s="6" t="str">
        <v/>
      </c>
      <c r="AK1135" s="6" t="str">
        <v/>
      </c>
      <c r="AL1135" s="6" t="str">
        <v/>
      </c>
      <c r="AM1135" s="6" t="str">
        <v/>
      </c>
      <c r="AN1135" s="6" t="n">
        <f aca="false">FALSE()</f>
        <v>0</v>
      </c>
    </row>
    <row r="1136" customFormat="false" ht="52.5" hidden="false" customHeight="true" outlineLevel="0" collapsed="false">
      <c r="AJ1136" s="6" t="str">
        <v/>
      </c>
      <c r="AK1136" s="6" t="str">
        <v/>
      </c>
      <c r="AL1136" s="6" t="str">
        <v/>
      </c>
      <c r="AM1136" s="6" t="str">
        <v/>
      </c>
      <c r="AN1136" s="6" t="n">
        <f aca="false">FALSE()</f>
        <v>0</v>
      </c>
    </row>
    <row r="1137" customFormat="false" ht="52.5" hidden="false" customHeight="true" outlineLevel="0" collapsed="false">
      <c r="AJ1137" s="6" t="str">
        <v/>
      </c>
      <c r="AK1137" s="6" t="str">
        <v/>
      </c>
      <c r="AL1137" s="6" t="str">
        <v/>
      </c>
      <c r="AM1137" s="6" t="str">
        <v/>
      </c>
      <c r="AN1137" s="6" t="n">
        <f aca="false">FALSE()</f>
        <v>0</v>
      </c>
    </row>
    <row r="1138" customFormat="false" ht="52.5" hidden="false" customHeight="true" outlineLevel="0" collapsed="false">
      <c r="AJ1138" s="6" t="str">
        <v/>
      </c>
      <c r="AK1138" s="6" t="str">
        <v/>
      </c>
      <c r="AL1138" s="6" t="str">
        <v/>
      </c>
      <c r="AM1138" s="6" t="str">
        <v/>
      </c>
      <c r="AN1138" s="6" t="n">
        <f aca="false">FALSE()</f>
        <v>0</v>
      </c>
    </row>
    <row r="1139" customFormat="false" ht="52.5" hidden="false" customHeight="true" outlineLevel="0" collapsed="false">
      <c r="AJ1139" s="6" t="str">
        <v/>
      </c>
      <c r="AK1139" s="6" t="str">
        <v/>
      </c>
      <c r="AL1139" s="6" t="str">
        <v/>
      </c>
      <c r="AM1139" s="6" t="str">
        <v/>
      </c>
      <c r="AN1139" s="6" t="n">
        <f aca="false">FALSE()</f>
        <v>0</v>
      </c>
    </row>
    <row r="1140" customFormat="false" ht="52.5" hidden="false" customHeight="true" outlineLevel="0" collapsed="false">
      <c r="AJ1140" s="6" t="str">
        <v/>
      </c>
      <c r="AK1140" s="6" t="str">
        <v/>
      </c>
      <c r="AL1140" s="6" t="str">
        <v/>
      </c>
      <c r="AM1140" s="6" t="str">
        <v/>
      </c>
      <c r="AN1140" s="6" t="n">
        <f aca="false">FALSE()</f>
        <v>0</v>
      </c>
    </row>
    <row r="1141" customFormat="false" ht="52.5" hidden="false" customHeight="true" outlineLevel="0" collapsed="false">
      <c r="AJ1141" s="6" t="str">
        <v/>
      </c>
      <c r="AK1141" s="6" t="str">
        <v/>
      </c>
      <c r="AL1141" s="6" t="str">
        <v/>
      </c>
      <c r="AM1141" s="6" t="str">
        <v/>
      </c>
      <c r="AN1141" s="6" t="n">
        <f aca="false">FALSE()</f>
        <v>0</v>
      </c>
    </row>
    <row r="1142" customFormat="false" ht="52.5" hidden="false" customHeight="true" outlineLevel="0" collapsed="false">
      <c r="AJ1142" s="6" t="str">
        <v/>
      </c>
      <c r="AK1142" s="6" t="str">
        <v/>
      </c>
      <c r="AL1142" s="6" t="str">
        <v/>
      </c>
      <c r="AM1142" s="6" t="str">
        <v/>
      </c>
      <c r="AN1142" s="6" t="n">
        <f aca="false">FALSE()</f>
        <v>0</v>
      </c>
    </row>
    <row r="1143" customFormat="false" ht="52.5" hidden="false" customHeight="true" outlineLevel="0" collapsed="false">
      <c r="AJ1143" s="6" t="str">
        <v/>
      </c>
      <c r="AK1143" s="6" t="str">
        <v/>
      </c>
      <c r="AL1143" s="6" t="str">
        <v/>
      </c>
      <c r="AM1143" s="6" t="str">
        <v/>
      </c>
      <c r="AN1143" s="6" t="n">
        <f aca="false">FALSE()</f>
        <v>0</v>
      </c>
    </row>
    <row r="1144" customFormat="false" ht="52.5" hidden="false" customHeight="true" outlineLevel="0" collapsed="false">
      <c r="AJ1144" s="6" t="str">
        <v/>
      </c>
      <c r="AK1144" s="6" t="str">
        <v/>
      </c>
      <c r="AL1144" s="6" t="str">
        <v/>
      </c>
      <c r="AM1144" s="6" t="str">
        <v/>
      </c>
      <c r="AN1144" s="6" t="n">
        <f aca="false">FALSE()</f>
        <v>0</v>
      </c>
    </row>
    <row r="1145" customFormat="false" ht="52.5" hidden="false" customHeight="true" outlineLevel="0" collapsed="false">
      <c r="AJ1145" s="6" t="str">
        <v/>
      </c>
      <c r="AK1145" s="6" t="str">
        <v/>
      </c>
      <c r="AL1145" s="6" t="str">
        <v/>
      </c>
      <c r="AM1145" s="6" t="str">
        <v/>
      </c>
      <c r="AN1145" s="6" t="n">
        <f aca="false">FALSE()</f>
        <v>0</v>
      </c>
    </row>
    <row r="1146" customFormat="false" ht="52.5" hidden="false" customHeight="true" outlineLevel="0" collapsed="false">
      <c r="AJ1146" s="6" t="str">
        <v/>
      </c>
      <c r="AK1146" s="6" t="str">
        <v/>
      </c>
      <c r="AL1146" s="6" t="str">
        <v/>
      </c>
      <c r="AM1146" s="6" t="str">
        <v/>
      </c>
      <c r="AN1146" s="6" t="n">
        <f aca="false">FALSE()</f>
        <v>0</v>
      </c>
    </row>
    <row r="1147" customFormat="false" ht="52.5" hidden="false" customHeight="true" outlineLevel="0" collapsed="false">
      <c r="AJ1147" s="6" t="str">
        <v/>
      </c>
      <c r="AK1147" s="6" t="str">
        <v/>
      </c>
      <c r="AL1147" s="6" t="str">
        <v/>
      </c>
      <c r="AM1147" s="6" t="str">
        <v/>
      </c>
      <c r="AN1147" s="6" t="n">
        <f aca="false">FALSE()</f>
        <v>0</v>
      </c>
    </row>
    <row r="1148" customFormat="false" ht="52.5" hidden="false" customHeight="true" outlineLevel="0" collapsed="false">
      <c r="AJ1148" s="6" t="str">
        <v/>
      </c>
      <c r="AK1148" s="6" t="str">
        <v/>
      </c>
      <c r="AL1148" s="6" t="str">
        <v/>
      </c>
      <c r="AM1148" s="6" t="str">
        <v/>
      </c>
      <c r="AN1148" s="6" t="n">
        <f aca="false">FALSE()</f>
        <v>0</v>
      </c>
    </row>
    <row r="1149" customFormat="false" ht="52.5" hidden="false" customHeight="true" outlineLevel="0" collapsed="false">
      <c r="AJ1149" s="6" t="str">
        <v/>
      </c>
      <c r="AK1149" s="6" t="str">
        <v/>
      </c>
      <c r="AL1149" s="6" t="str">
        <v/>
      </c>
      <c r="AM1149" s="6" t="str">
        <v/>
      </c>
      <c r="AN1149" s="6" t="n">
        <f aca="false">FALSE()</f>
        <v>0</v>
      </c>
    </row>
    <row r="1150" customFormat="false" ht="52.5" hidden="false" customHeight="true" outlineLevel="0" collapsed="false">
      <c r="AJ1150" s="6" t="str">
        <v/>
      </c>
      <c r="AK1150" s="6" t="str">
        <v/>
      </c>
      <c r="AL1150" s="6" t="str">
        <v/>
      </c>
      <c r="AM1150" s="6" t="str">
        <v/>
      </c>
      <c r="AN1150" s="6" t="n">
        <f aca="false">FALSE()</f>
        <v>0</v>
      </c>
    </row>
    <row r="1151" customFormat="false" ht="52.5" hidden="false" customHeight="true" outlineLevel="0" collapsed="false">
      <c r="AJ1151" s="6" t="str">
        <v/>
      </c>
      <c r="AK1151" s="6" t="str">
        <v/>
      </c>
      <c r="AL1151" s="6" t="str">
        <v/>
      </c>
      <c r="AM1151" s="6" t="str">
        <v/>
      </c>
      <c r="AN1151" s="6" t="n">
        <f aca="false">FALSE()</f>
        <v>0</v>
      </c>
    </row>
    <row r="1152" customFormat="false" ht="52.5" hidden="false" customHeight="true" outlineLevel="0" collapsed="false">
      <c r="AJ1152" s="6" t="str">
        <v/>
      </c>
      <c r="AK1152" s="6" t="str">
        <v/>
      </c>
      <c r="AL1152" s="6" t="str">
        <v/>
      </c>
      <c r="AM1152" s="6" t="str">
        <v/>
      </c>
      <c r="AN1152" s="6" t="n">
        <f aca="false">FALSE()</f>
        <v>0</v>
      </c>
    </row>
    <row r="1153" customFormat="false" ht="52.5" hidden="false" customHeight="true" outlineLevel="0" collapsed="false">
      <c r="AJ1153" s="6" t="str">
        <v/>
      </c>
      <c r="AK1153" s="6" t="str">
        <v/>
      </c>
      <c r="AL1153" s="6" t="str">
        <v/>
      </c>
      <c r="AM1153" s="6" t="str">
        <v/>
      </c>
      <c r="AN1153" s="6" t="n">
        <f aca="false">FALSE()</f>
        <v>0</v>
      </c>
    </row>
    <row r="1154" customFormat="false" ht="52.5" hidden="false" customHeight="true" outlineLevel="0" collapsed="false">
      <c r="AJ1154" s="6" t="str">
        <v/>
      </c>
      <c r="AK1154" s="6" t="str">
        <v/>
      </c>
      <c r="AL1154" s="6" t="str">
        <v/>
      </c>
      <c r="AM1154" s="6" t="str">
        <v/>
      </c>
      <c r="AN1154" s="6" t="n">
        <f aca="false">FALSE()</f>
        <v>0</v>
      </c>
    </row>
    <row r="1155" customFormat="false" ht="52.5" hidden="false" customHeight="true" outlineLevel="0" collapsed="false">
      <c r="AJ1155" s="6" t="str">
        <v/>
      </c>
      <c r="AK1155" s="6" t="str">
        <v/>
      </c>
      <c r="AL1155" s="6" t="str">
        <v/>
      </c>
      <c r="AM1155" s="6" t="str">
        <v/>
      </c>
      <c r="AN1155" s="6" t="n">
        <f aca="false">FALSE()</f>
        <v>0</v>
      </c>
    </row>
    <row r="1156" customFormat="false" ht="52.5" hidden="false" customHeight="true" outlineLevel="0" collapsed="false">
      <c r="AJ1156" s="6" t="str">
        <v/>
      </c>
      <c r="AK1156" s="6" t="str">
        <v/>
      </c>
      <c r="AL1156" s="6" t="str">
        <v/>
      </c>
      <c r="AM1156" s="6" t="str">
        <v/>
      </c>
      <c r="AN1156" s="6" t="n">
        <f aca="false">FALSE()</f>
        <v>0</v>
      </c>
    </row>
    <row r="1157" customFormat="false" ht="52.5" hidden="false" customHeight="true" outlineLevel="0" collapsed="false">
      <c r="AJ1157" s="6" t="str">
        <v/>
      </c>
      <c r="AK1157" s="6" t="str">
        <v/>
      </c>
      <c r="AL1157" s="6" t="str">
        <v/>
      </c>
      <c r="AM1157" s="6" t="str">
        <v/>
      </c>
      <c r="AN1157" s="6" t="n">
        <f aca="false">FALSE()</f>
        <v>0</v>
      </c>
    </row>
    <row r="1158" customFormat="false" ht="52.5" hidden="false" customHeight="true" outlineLevel="0" collapsed="false">
      <c r="AJ1158" s="6" t="str">
        <v/>
      </c>
      <c r="AK1158" s="6" t="str">
        <v/>
      </c>
      <c r="AL1158" s="6" t="str">
        <v/>
      </c>
      <c r="AM1158" s="6" t="str">
        <v/>
      </c>
      <c r="AN1158" s="6" t="n">
        <f aca="false">FALSE()</f>
        <v>0</v>
      </c>
    </row>
    <row r="1159" customFormat="false" ht="52.5" hidden="false" customHeight="true" outlineLevel="0" collapsed="false">
      <c r="AJ1159" s="6" t="str">
        <v/>
      </c>
      <c r="AK1159" s="6" t="str">
        <v/>
      </c>
      <c r="AL1159" s="6" t="str">
        <v/>
      </c>
      <c r="AM1159" s="6" t="str">
        <v/>
      </c>
      <c r="AN1159" s="6" t="n">
        <f aca="false">FALSE()</f>
        <v>0</v>
      </c>
    </row>
    <row r="1160" customFormat="false" ht="52.5" hidden="false" customHeight="true" outlineLevel="0" collapsed="false">
      <c r="AJ1160" s="6" t="str">
        <v/>
      </c>
      <c r="AK1160" s="6" t="str">
        <v/>
      </c>
      <c r="AL1160" s="6" t="str">
        <v/>
      </c>
      <c r="AM1160" s="6" t="str">
        <v/>
      </c>
      <c r="AN1160" s="6" t="n">
        <f aca="false">FALSE()</f>
        <v>0</v>
      </c>
    </row>
    <row r="1161" customFormat="false" ht="52.5" hidden="false" customHeight="true" outlineLevel="0" collapsed="false">
      <c r="AJ1161" s="6" t="str">
        <v/>
      </c>
      <c r="AK1161" s="6" t="str">
        <v/>
      </c>
      <c r="AL1161" s="6" t="str">
        <v/>
      </c>
      <c r="AM1161" s="6" t="str">
        <v/>
      </c>
      <c r="AN1161" s="6" t="n">
        <f aca="false">FALSE()</f>
        <v>0</v>
      </c>
    </row>
    <row r="1162" customFormat="false" ht="52.5" hidden="false" customHeight="true" outlineLevel="0" collapsed="false">
      <c r="AJ1162" s="6" t="str">
        <v/>
      </c>
      <c r="AK1162" s="6" t="str">
        <v/>
      </c>
      <c r="AL1162" s="6" t="str">
        <v/>
      </c>
      <c r="AM1162" s="6" t="str">
        <v/>
      </c>
      <c r="AN1162" s="6" t="n">
        <f aca="false">FALSE()</f>
        <v>0</v>
      </c>
    </row>
    <row r="1163" customFormat="false" ht="52.5" hidden="false" customHeight="true" outlineLevel="0" collapsed="false">
      <c r="AJ1163" s="6" t="str">
        <v/>
      </c>
      <c r="AK1163" s="6" t="str">
        <v/>
      </c>
      <c r="AL1163" s="6" t="str">
        <v/>
      </c>
      <c r="AM1163" s="6" t="str">
        <v/>
      </c>
      <c r="AN1163" s="6" t="n">
        <f aca="false">FALSE()</f>
        <v>0</v>
      </c>
    </row>
    <row r="1164" customFormat="false" ht="52.5" hidden="false" customHeight="true" outlineLevel="0" collapsed="false">
      <c r="AJ1164" s="6" t="str">
        <v/>
      </c>
      <c r="AK1164" s="6" t="str">
        <v/>
      </c>
      <c r="AL1164" s="6" t="str">
        <v/>
      </c>
      <c r="AM1164" s="6" t="str">
        <v/>
      </c>
      <c r="AN1164" s="6" t="n">
        <f aca="false">FALSE()</f>
        <v>0</v>
      </c>
    </row>
    <row r="1165" customFormat="false" ht="52.5" hidden="false" customHeight="true" outlineLevel="0" collapsed="false">
      <c r="AJ1165" s="6" t="str">
        <v/>
      </c>
      <c r="AK1165" s="6" t="str">
        <v/>
      </c>
      <c r="AL1165" s="6" t="str">
        <v/>
      </c>
      <c r="AM1165" s="6" t="str">
        <v/>
      </c>
      <c r="AN1165" s="6" t="n">
        <f aca="false">FALSE()</f>
        <v>0</v>
      </c>
    </row>
    <row r="1166" customFormat="false" ht="52.5" hidden="false" customHeight="true" outlineLevel="0" collapsed="false">
      <c r="AJ1166" s="6" t="str">
        <v/>
      </c>
      <c r="AK1166" s="6" t="str">
        <v/>
      </c>
      <c r="AL1166" s="6" t="str">
        <v/>
      </c>
      <c r="AM1166" s="6" t="str">
        <v/>
      </c>
      <c r="AN1166" s="6" t="n">
        <f aca="false">FALSE()</f>
        <v>0</v>
      </c>
    </row>
    <row r="1167" customFormat="false" ht="52.5" hidden="false" customHeight="true" outlineLevel="0" collapsed="false">
      <c r="AJ1167" s="6" t="str">
        <v/>
      </c>
      <c r="AK1167" s="6" t="str">
        <v/>
      </c>
      <c r="AL1167" s="6" t="str">
        <v/>
      </c>
      <c r="AM1167" s="6" t="str">
        <v/>
      </c>
      <c r="AN1167" s="6" t="n">
        <f aca="false">FALSE()</f>
        <v>0</v>
      </c>
    </row>
    <row r="1168" customFormat="false" ht="52.5" hidden="false" customHeight="true" outlineLevel="0" collapsed="false">
      <c r="AJ1168" s="6" t="str">
        <v/>
      </c>
      <c r="AK1168" s="6" t="str">
        <v/>
      </c>
      <c r="AL1168" s="6" t="str">
        <v/>
      </c>
      <c r="AM1168" s="6" t="str">
        <v/>
      </c>
      <c r="AN1168" s="6" t="n">
        <f aca="false">FALSE()</f>
        <v>0</v>
      </c>
    </row>
    <row r="1169" customFormat="false" ht="52.5" hidden="false" customHeight="true" outlineLevel="0" collapsed="false">
      <c r="AJ1169" s="6" t="str">
        <v/>
      </c>
      <c r="AK1169" s="6" t="str">
        <v/>
      </c>
      <c r="AL1169" s="6" t="str">
        <v/>
      </c>
      <c r="AM1169" s="6" t="str">
        <v/>
      </c>
      <c r="AN1169" s="6" t="n">
        <f aca="false">FALSE()</f>
        <v>0</v>
      </c>
    </row>
    <row r="1170" customFormat="false" ht="52.5" hidden="false" customHeight="true" outlineLevel="0" collapsed="false">
      <c r="AJ1170" s="6" t="str">
        <v/>
      </c>
      <c r="AK1170" s="6" t="str">
        <v/>
      </c>
      <c r="AL1170" s="6" t="str">
        <v/>
      </c>
      <c r="AM1170" s="6" t="str">
        <v/>
      </c>
      <c r="AN1170" s="6" t="n">
        <f aca="false">FALSE()</f>
        <v>0</v>
      </c>
    </row>
    <row r="1171" customFormat="false" ht="52.5" hidden="false" customHeight="true" outlineLevel="0" collapsed="false">
      <c r="AJ1171" s="6" t="str">
        <v/>
      </c>
      <c r="AK1171" s="6" t="str">
        <v/>
      </c>
      <c r="AL1171" s="6" t="str">
        <v/>
      </c>
      <c r="AM1171" s="6" t="str">
        <v/>
      </c>
      <c r="AN1171" s="6" t="n">
        <f aca="false">FALSE()</f>
        <v>0</v>
      </c>
    </row>
    <row r="1172" customFormat="false" ht="52.5" hidden="false" customHeight="true" outlineLevel="0" collapsed="false">
      <c r="AJ1172" s="6" t="str">
        <v/>
      </c>
      <c r="AK1172" s="6" t="str">
        <v/>
      </c>
      <c r="AL1172" s="6" t="str">
        <v/>
      </c>
      <c r="AM1172" s="6" t="str">
        <v/>
      </c>
      <c r="AN1172" s="6" t="n">
        <f aca="false">FALSE()</f>
        <v>0</v>
      </c>
    </row>
    <row r="1173" customFormat="false" ht="52.5" hidden="false" customHeight="true" outlineLevel="0" collapsed="false">
      <c r="AJ1173" s="6" t="str">
        <v/>
      </c>
      <c r="AK1173" s="6" t="str">
        <v/>
      </c>
      <c r="AL1173" s="6" t="str">
        <v/>
      </c>
      <c r="AM1173" s="6" t="str">
        <v/>
      </c>
      <c r="AN1173" s="6" t="n">
        <f aca="false">FALSE()</f>
        <v>0</v>
      </c>
    </row>
    <row r="1174" customFormat="false" ht="52.5" hidden="false" customHeight="true" outlineLevel="0" collapsed="false">
      <c r="AJ1174" s="6" t="str">
        <v/>
      </c>
      <c r="AK1174" s="6" t="str">
        <v/>
      </c>
      <c r="AL1174" s="6" t="str">
        <v/>
      </c>
      <c r="AM1174" s="6" t="str">
        <v/>
      </c>
      <c r="AN1174" s="6" t="n">
        <f aca="false">FALSE()</f>
        <v>0</v>
      </c>
    </row>
    <row r="1175" customFormat="false" ht="52.5" hidden="false" customHeight="true" outlineLevel="0" collapsed="false">
      <c r="AJ1175" s="6" t="str">
        <v/>
      </c>
      <c r="AK1175" s="6" t="str">
        <v/>
      </c>
      <c r="AL1175" s="6" t="str">
        <v/>
      </c>
      <c r="AM1175" s="6" t="str">
        <v/>
      </c>
      <c r="AN1175" s="6" t="n">
        <f aca="false">FALSE()</f>
        <v>0</v>
      </c>
    </row>
    <row r="1176" customFormat="false" ht="52.5" hidden="false" customHeight="true" outlineLevel="0" collapsed="false">
      <c r="AJ1176" s="6" t="str">
        <v/>
      </c>
      <c r="AK1176" s="6" t="str">
        <v/>
      </c>
      <c r="AL1176" s="6" t="str">
        <v/>
      </c>
      <c r="AM1176" s="6" t="str">
        <v/>
      </c>
      <c r="AN1176" s="6" t="n">
        <f aca="false">FALSE()</f>
        <v>0</v>
      </c>
    </row>
    <row r="1177" customFormat="false" ht="52.5" hidden="false" customHeight="true" outlineLevel="0" collapsed="false">
      <c r="AJ1177" s="6" t="str">
        <v/>
      </c>
      <c r="AK1177" s="6" t="str">
        <v/>
      </c>
      <c r="AL1177" s="6" t="str">
        <v/>
      </c>
      <c r="AM1177" s="6" t="str">
        <v/>
      </c>
      <c r="AN1177" s="6" t="n">
        <f aca="false">FALSE()</f>
        <v>0</v>
      </c>
    </row>
    <row r="1178" customFormat="false" ht="52.5" hidden="false" customHeight="true" outlineLevel="0" collapsed="false">
      <c r="AJ1178" s="6" t="str">
        <v/>
      </c>
      <c r="AK1178" s="6" t="str">
        <v/>
      </c>
      <c r="AL1178" s="6" t="str">
        <v/>
      </c>
      <c r="AM1178" s="6" t="str">
        <v/>
      </c>
      <c r="AN1178" s="6" t="n">
        <f aca="false">FALSE()</f>
        <v>0</v>
      </c>
    </row>
    <row r="1179" customFormat="false" ht="52.5" hidden="false" customHeight="true" outlineLevel="0" collapsed="false">
      <c r="AJ1179" s="6" t="str">
        <v/>
      </c>
      <c r="AK1179" s="6" t="str">
        <v/>
      </c>
      <c r="AL1179" s="6" t="str">
        <v/>
      </c>
      <c r="AM1179" s="6" t="str">
        <v/>
      </c>
      <c r="AN1179" s="6" t="n">
        <f aca="false">FALSE()</f>
        <v>0</v>
      </c>
    </row>
    <row r="1180" customFormat="false" ht="52.5" hidden="false" customHeight="true" outlineLevel="0" collapsed="false">
      <c r="AJ1180" s="6" t="str">
        <v/>
      </c>
      <c r="AK1180" s="6" t="str">
        <v/>
      </c>
      <c r="AL1180" s="6" t="str">
        <v/>
      </c>
      <c r="AM1180" s="6" t="str">
        <v/>
      </c>
      <c r="AN1180" s="6" t="n">
        <f aca="false">FALSE()</f>
        <v>0</v>
      </c>
    </row>
    <row r="1181" customFormat="false" ht="52.5" hidden="false" customHeight="true" outlineLevel="0" collapsed="false">
      <c r="AJ1181" s="6" t="str">
        <v/>
      </c>
      <c r="AK1181" s="6" t="str">
        <v/>
      </c>
      <c r="AL1181" s="6" t="str">
        <v/>
      </c>
      <c r="AM1181" s="6" t="str">
        <v/>
      </c>
      <c r="AN1181" s="6" t="n">
        <f aca="false">FALSE()</f>
        <v>0</v>
      </c>
    </row>
    <row r="1182" customFormat="false" ht="52.5" hidden="false" customHeight="true" outlineLevel="0" collapsed="false">
      <c r="AJ1182" s="6" t="str">
        <v/>
      </c>
      <c r="AK1182" s="6" t="str">
        <v/>
      </c>
      <c r="AL1182" s="6" t="str">
        <v/>
      </c>
      <c r="AM1182" s="6" t="str">
        <v/>
      </c>
      <c r="AN1182" s="6" t="n">
        <f aca="false">FALSE()</f>
        <v>0</v>
      </c>
    </row>
    <row r="1183" customFormat="false" ht="52.5" hidden="false" customHeight="true" outlineLevel="0" collapsed="false">
      <c r="AJ1183" s="6" t="str">
        <v/>
      </c>
      <c r="AK1183" s="6" t="str">
        <v/>
      </c>
      <c r="AL1183" s="6" t="str">
        <v/>
      </c>
      <c r="AM1183" s="6" t="str">
        <v/>
      </c>
      <c r="AN1183" s="6" t="n">
        <f aca="false">FALSE()</f>
        <v>0</v>
      </c>
    </row>
    <row r="1184" customFormat="false" ht="52.5" hidden="false" customHeight="true" outlineLevel="0" collapsed="false">
      <c r="AJ1184" s="6" t="str">
        <v/>
      </c>
      <c r="AK1184" s="6" t="str">
        <v/>
      </c>
      <c r="AL1184" s="6" t="str">
        <v/>
      </c>
      <c r="AM1184" s="6" t="str">
        <v/>
      </c>
      <c r="AN1184" s="6" t="n">
        <f aca="false">FALSE()</f>
        <v>0</v>
      </c>
    </row>
    <row r="1185" customFormat="false" ht="52.5" hidden="false" customHeight="true" outlineLevel="0" collapsed="false">
      <c r="AJ1185" s="6" t="str">
        <v/>
      </c>
      <c r="AK1185" s="6" t="str">
        <v/>
      </c>
      <c r="AL1185" s="6" t="str">
        <v/>
      </c>
      <c r="AM1185" s="6" t="str">
        <v/>
      </c>
      <c r="AN1185" s="6" t="n">
        <f aca="false">FALSE()</f>
        <v>0</v>
      </c>
    </row>
    <row r="1186" customFormat="false" ht="52.5" hidden="false" customHeight="true" outlineLevel="0" collapsed="false">
      <c r="AJ1186" s="6" t="str">
        <v/>
      </c>
      <c r="AK1186" s="6" t="str">
        <v/>
      </c>
      <c r="AL1186" s="6" t="str">
        <v/>
      </c>
      <c r="AM1186" s="6" t="str">
        <v/>
      </c>
      <c r="AN1186" s="6" t="n">
        <f aca="false">FALSE()</f>
        <v>0</v>
      </c>
    </row>
    <row r="1187" customFormat="false" ht="52.5" hidden="false" customHeight="true" outlineLevel="0" collapsed="false">
      <c r="AJ1187" s="6" t="str">
        <v/>
      </c>
      <c r="AK1187" s="6" t="str">
        <v/>
      </c>
      <c r="AL1187" s="6" t="str">
        <v/>
      </c>
      <c r="AM1187" s="6" t="str">
        <v/>
      </c>
      <c r="AN1187" s="6" t="n">
        <f aca="false">FALSE()</f>
        <v>0</v>
      </c>
    </row>
    <row r="1188" customFormat="false" ht="52.5" hidden="false" customHeight="true" outlineLevel="0" collapsed="false">
      <c r="AJ1188" s="6" t="str">
        <v/>
      </c>
      <c r="AK1188" s="6" t="str">
        <v/>
      </c>
      <c r="AL1188" s="6" t="str">
        <v/>
      </c>
      <c r="AM1188" s="6" t="str">
        <v/>
      </c>
      <c r="AN1188" s="6" t="n">
        <f aca="false">FALSE()</f>
        <v>0</v>
      </c>
    </row>
    <row r="1189" customFormat="false" ht="52.5" hidden="false" customHeight="true" outlineLevel="0" collapsed="false">
      <c r="AJ1189" s="6" t="str">
        <v/>
      </c>
      <c r="AK1189" s="6" t="str">
        <v/>
      </c>
      <c r="AL1189" s="6" t="str">
        <v/>
      </c>
      <c r="AM1189" s="6" t="str">
        <v/>
      </c>
      <c r="AN1189" s="6" t="n">
        <f aca="false">FALSE()</f>
        <v>0</v>
      </c>
    </row>
    <row r="1190" customFormat="false" ht="52.5" hidden="false" customHeight="true" outlineLevel="0" collapsed="false">
      <c r="AJ1190" s="6" t="str">
        <v/>
      </c>
      <c r="AK1190" s="6" t="str">
        <v/>
      </c>
      <c r="AL1190" s="6" t="str">
        <v/>
      </c>
      <c r="AM1190" s="6" t="str">
        <v/>
      </c>
      <c r="AN1190" s="6" t="n">
        <f aca="false">FALSE()</f>
        <v>0</v>
      </c>
    </row>
    <row r="1191" customFormat="false" ht="52.5" hidden="false" customHeight="true" outlineLevel="0" collapsed="false">
      <c r="AJ1191" s="6" t="str">
        <v/>
      </c>
      <c r="AK1191" s="6" t="str">
        <v/>
      </c>
      <c r="AL1191" s="6" t="str">
        <v/>
      </c>
      <c r="AM1191" s="6" t="str">
        <v/>
      </c>
      <c r="AN1191" s="6" t="n">
        <f aca="false">FALSE()</f>
        <v>0</v>
      </c>
    </row>
    <row r="1192" customFormat="false" ht="52.5" hidden="false" customHeight="true" outlineLevel="0" collapsed="false">
      <c r="AJ1192" s="6" t="str">
        <v/>
      </c>
      <c r="AK1192" s="6" t="str">
        <v/>
      </c>
      <c r="AL1192" s="6" t="str">
        <v/>
      </c>
      <c r="AM1192" s="6" t="str">
        <v/>
      </c>
      <c r="AN1192" s="6" t="n">
        <f aca="false">FALSE()</f>
        <v>0</v>
      </c>
    </row>
    <row r="1193" customFormat="false" ht="52.5" hidden="false" customHeight="true" outlineLevel="0" collapsed="false">
      <c r="AJ1193" s="6" t="str">
        <v/>
      </c>
      <c r="AK1193" s="6" t="str">
        <v/>
      </c>
      <c r="AL1193" s="6" t="str">
        <v/>
      </c>
      <c r="AM1193" s="6" t="str">
        <v/>
      </c>
      <c r="AN1193" s="6" t="n">
        <f aca="false">FALSE()</f>
        <v>0</v>
      </c>
    </row>
    <row r="1194" customFormat="false" ht="52.5" hidden="false" customHeight="true" outlineLevel="0" collapsed="false">
      <c r="AJ1194" s="6" t="str">
        <v/>
      </c>
      <c r="AK1194" s="6" t="str">
        <v/>
      </c>
      <c r="AL1194" s="6" t="str">
        <v/>
      </c>
      <c r="AM1194" s="6" t="str">
        <v/>
      </c>
      <c r="AN1194" s="6" t="n">
        <f aca="false">FALSE()</f>
        <v>0</v>
      </c>
    </row>
    <row r="1195" customFormat="false" ht="52.5" hidden="false" customHeight="true" outlineLevel="0" collapsed="false">
      <c r="AJ1195" s="6" t="str">
        <v/>
      </c>
      <c r="AK1195" s="6" t="str">
        <v/>
      </c>
      <c r="AL1195" s="6" t="str">
        <v/>
      </c>
      <c r="AM1195" s="6" t="str">
        <v/>
      </c>
      <c r="AN1195" s="6" t="n">
        <f aca="false">FALSE()</f>
        <v>0</v>
      </c>
    </row>
    <row r="1196" customFormat="false" ht="52.5" hidden="false" customHeight="true" outlineLevel="0" collapsed="false">
      <c r="AJ1196" s="6" t="str">
        <v/>
      </c>
      <c r="AK1196" s="6" t="str">
        <v/>
      </c>
      <c r="AL1196" s="6" t="str">
        <v/>
      </c>
      <c r="AM1196" s="6" t="str">
        <v/>
      </c>
      <c r="AN1196" s="6" t="n">
        <f aca="false">FALSE()</f>
        <v>0</v>
      </c>
    </row>
    <row r="1197" customFormat="false" ht="52.5" hidden="false" customHeight="true" outlineLevel="0" collapsed="false">
      <c r="AJ1197" s="6" t="str">
        <v/>
      </c>
      <c r="AK1197" s="6" t="str">
        <v/>
      </c>
      <c r="AL1197" s="6" t="str">
        <v/>
      </c>
      <c r="AM1197" s="6" t="str">
        <v/>
      </c>
      <c r="AN1197" s="6" t="n">
        <f aca="false">FALSE()</f>
        <v>0</v>
      </c>
    </row>
    <row r="1198" customFormat="false" ht="52.5" hidden="false" customHeight="true" outlineLevel="0" collapsed="false">
      <c r="AJ1198" s="6" t="str">
        <v/>
      </c>
      <c r="AK1198" s="6" t="str">
        <v/>
      </c>
      <c r="AL1198" s="6" t="str">
        <v/>
      </c>
      <c r="AM1198" s="6" t="str">
        <v/>
      </c>
      <c r="AN1198" s="6" t="n">
        <f aca="false">FALSE()</f>
        <v>0</v>
      </c>
    </row>
    <row r="1199" customFormat="false" ht="52.5" hidden="false" customHeight="true" outlineLevel="0" collapsed="false">
      <c r="AJ1199" s="6" t="str">
        <v/>
      </c>
      <c r="AK1199" s="6" t="str">
        <v/>
      </c>
      <c r="AL1199" s="6" t="str">
        <v/>
      </c>
      <c r="AM1199" s="6" t="str">
        <v/>
      </c>
      <c r="AN1199" s="6" t="n">
        <f aca="false">FALSE()</f>
        <v>0</v>
      </c>
    </row>
    <row r="1200" customFormat="false" ht="52.5" hidden="false" customHeight="true" outlineLevel="0" collapsed="false">
      <c r="AJ1200" s="6" t="str">
        <v/>
      </c>
      <c r="AK1200" s="6" t="str">
        <v/>
      </c>
      <c r="AL1200" s="6" t="str">
        <v/>
      </c>
      <c r="AM1200" s="6" t="str">
        <v/>
      </c>
      <c r="AN1200" s="6" t="n">
        <f aca="false">FALSE()</f>
        <v>0</v>
      </c>
    </row>
    <row r="1201" customFormat="false" ht="52.5" hidden="false" customHeight="true" outlineLevel="0" collapsed="false">
      <c r="AJ1201" s="6" t="str">
        <v/>
      </c>
      <c r="AK1201" s="6" t="str">
        <v/>
      </c>
      <c r="AL1201" s="6" t="str">
        <v/>
      </c>
      <c r="AM1201" s="6" t="str">
        <v/>
      </c>
      <c r="AN1201" s="6" t="n">
        <f aca="false">FALSE()</f>
        <v>0</v>
      </c>
    </row>
    <row r="1202" customFormat="false" ht="52.5" hidden="false" customHeight="true" outlineLevel="0" collapsed="false">
      <c r="AJ1202" s="6" t="str">
        <v/>
      </c>
      <c r="AK1202" s="6" t="str">
        <v/>
      </c>
      <c r="AL1202" s="6" t="str">
        <v/>
      </c>
      <c r="AM1202" s="6" t="str">
        <v/>
      </c>
      <c r="AN1202" s="6" t="n">
        <f aca="false">FALSE()</f>
        <v>0</v>
      </c>
    </row>
    <row r="1203" customFormat="false" ht="52.5" hidden="false" customHeight="true" outlineLevel="0" collapsed="false">
      <c r="AJ1203" s="6" t="str">
        <v/>
      </c>
      <c r="AK1203" s="6" t="str">
        <v/>
      </c>
      <c r="AL1203" s="6" t="str">
        <v/>
      </c>
      <c r="AM1203" s="6" t="str">
        <v/>
      </c>
      <c r="AN1203" s="6" t="n">
        <f aca="false">FALSE()</f>
        <v>0</v>
      </c>
    </row>
    <row r="1204" customFormat="false" ht="52.5" hidden="false" customHeight="true" outlineLevel="0" collapsed="false">
      <c r="AJ1204" s="6" t="str">
        <v/>
      </c>
      <c r="AK1204" s="6" t="str">
        <v/>
      </c>
      <c r="AL1204" s="6" t="str">
        <v/>
      </c>
      <c r="AM1204" s="6" t="str">
        <v/>
      </c>
      <c r="AN1204" s="6" t="n">
        <f aca="false">FALSE()</f>
        <v>0</v>
      </c>
    </row>
    <row r="1205" customFormat="false" ht="52.5" hidden="false" customHeight="true" outlineLevel="0" collapsed="false">
      <c r="AJ1205" s="6" t="str">
        <v/>
      </c>
      <c r="AK1205" s="6" t="str">
        <v/>
      </c>
      <c r="AL1205" s="6" t="str">
        <v/>
      </c>
      <c r="AM1205" s="6" t="str">
        <v/>
      </c>
      <c r="AN1205" s="6" t="n">
        <f aca="false">FALSE()</f>
        <v>0</v>
      </c>
    </row>
    <row r="1206" customFormat="false" ht="52.5" hidden="false" customHeight="true" outlineLevel="0" collapsed="false">
      <c r="AJ1206" s="6" t="str">
        <v/>
      </c>
      <c r="AK1206" s="6" t="str">
        <v/>
      </c>
      <c r="AL1206" s="6" t="str">
        <v/>
      </c>
      <c r="AM1206" s="6" t="str">
        <v/>
      </c>
      <c r="AN1206" s="6" t="n">
        <f aca="false">FALSE()</f>
        <v>0</v>
      </c>
    </row>
    <row r="1207" customFormat="false" ht="52.5" hidden="false" customHeight="true" outlineLevel="0" collapsed="false">
      <c r="AJ1207" s="6" t="str">
        <v/>
      </c>
      <c r="AK1207" s="6" t="str">
        <v/>
      </c>
      <c r="AL1207" s="6" t="str">
        <v/>
      </c>
      <c r="AM1207" s="6" t="str">
        <v/>
      </c>
      <c r="AN1207" s="6" t="n">
        <f aca="false">FALSE()</f>
        <v>0</v>
      </c>
    </row>
    <row r="1208" customFormat="false" ht="52.5" hidden="false" customHeight="true" outlineLevel="0" collapsed="false">
      <c r="AJ1208" s="6" t="str">
        <v/>
      </c>
      <c r="AK1208" s="6" t="str">
        <v/>
      </c>
      <c r="AL1208" s="6" t="str">
        <v/>
      </c>
      <c r="AM1208" s="6" t="str">
        <v/>
      </c>
      <c r="AN1208" s="6" t="n">
        <f aca="false">FALSE()</f>
        <v>0</v>
      </c>
    </row>
    <row r="1209" customFormat="false" ht="52.5" hidden="false" customHeight="true" outlineLevel="0" collapsed="false">
      <c r="AJ1209" s="6" t="str">
        <v/>
      </c>
      <c r="AK1209" s="6" t="str">
        <v/>
      </c>
      <c r="AL1209" s="6" t="str">
        <v/>
      </c>
      <c r="AM1209" s="6" t="str">
        <v/>
      </c>
      <c r="AN1209" s="6" t="n">
        <f aca="false">FALSE()</f>
        <v>0</v>
      </c>
    </row>
    <row r="1210" customFormat="false" ht="52.5" hidden="false" customHeight="true" outlineLevel="0" collapsed="false">
      <c r="AJ1210" s="6" t="str">
        <v/>
      </c>
      <c r="AK1210" s="6" t="str">
        <v/>
      </c>
      <c r="AL1210" s="6" t="str">
        <v/>
      </c>
      <c r="AM1210" s="6" t="str">
        <v/>
      </c>
      <c r="AN1210" s="6" t="n">
        <f aca="false">FALSE()</f>
        <v>0</v>
      </c>
    </row>
    <row r="1211" customFormat="false" ht="52.5" hidden="false" customHeight="true" outlineLevel="0" collapsed="false">
      <c r="AJ1211" s="6" t="str">
        <v/>
      </c>
      <c r="AK1211" s="6" t="str">
        <v/>
      </c>
      <c r="AL1211" s="6" t="str">
        <v/>
      </c>
      <c r="AM1211" s="6" t="str">
        <v/>
      </c>
      <c r="AN1211" s="6" t="n">
        <f aca="false">FALSE()</f>
        <v>0</v>
      </c>
    </row>
    <row r="1212" customFormat="false" ht="52.5" hidden="false" customHeight="true" outlineLevel="0" collapsed="false">
      <c r="AJ1212" s="6" t="str">
        <v/>
      </c>
      <c r="AK1212" s="6" t="str">
        <v/>
      </c>
      <c r="AL1212" s="6" t="str">
        <v/>
      </c>
      <c r="AM1212" s="6" t="str">
        <v/>
      </c>
      <c r="AN1212" s="6" t="n">
        <f aca="false">FALSE()</f>
        <v>0</v>
      </c>
    </row>
    <row r="1213" customFormat="false" ht="52.5" hidden="false" customHeight="true" outlineLevel="0" collapsed="false">
      <c r="AJ1213" s="6" t="str">
        <v/>
      </c>
      <c r="AK1213" s="6" t="str">
        <v/>
      </c>
      <c r="AL1213" s="6" t="str">
        <v/>
      </c>
      <c r="AM1213" s="6" t="str">
        <v/>
      </c>
      <c r="AN1213" s="6" t="n">
        <f aca="false">FALSE()</f>
        <v>0</v>
      </c>
    </row>
    <row r="1214" customFormat="false" ht="52.5" hidden="false" customHeight="true" outlineLevel="0" collapsed="false">
      <c r="AJ1214" s="6" t="str">
        <v/>
      </c>
      <c r="AK1214" s="6" t="str">
        <v/>
      </c>
      <c r="AL1214" s="6" t="str">
        <v/>
      </c>
      <c r="AM1214" s="6" t="str">
        <v/>
      </c>
      <c r="AN1214" s="6" t="n">
        <f aca="false">FALSE()</f>
        <v>0</v>
      </c>
    </row>
    <row r="1215" customFormat="false" ht="52.5" hidden="false" customHeight="true" outlineLevel="0" collapsed="false">
      <c r="AJ1215" s="6" t="str">
        <v/>
      </c>
      <c r="AK1215" s="6" t="str">
        <v/>
      </c>
      <c r="AL1215" s="6" t="str">
        <v/>
      </c>
      <c r="AM1215" s="6" t="str">
        <v/>
      </c>
      <c r="AN1215" s="6" t="n">
        <f aca="false">FALSE()</f>
        <v>0</v>
      </c>
    </row>
    <row r="1216" customFormat="false" ht="52.5" hidden="false" customHeight="true" outlineLevel="0" collapsed="false">
      <c r="AJ1216" s="6" t="str">
        <v/>
      </c>
      <c r="AK1216" s="6" t="str">
        <v/>
      </c>
      <c r="AL1216" s="6" t="str">
        <v/>
      </c>
      <c r="AM1216" s="6" t="str">
        <v/>
      </c>
      <c r="AN1216" s="6" t="n">
        <f aca="false">FALSE()</f>
        <v>0</v>
      </c>
    </row>
    <row r="1217" customFormat="false" ht="52.5" hidden="false" customHeight="true" outlineLevel="0" collapsed="false">
      <c r="AJ1217" s="6" t="str">
        <v/>
      </c>
      <c r="AK1217" s="6" t="str">
        <v/>
      </c>
      <c r="AL1217" s="6" t="str">
        <v/>
      </c>
      <c r="AM1217" s="6" t="str">
        <v/>
      </c>
      <c r="AN1217" s="6" t="n">
        <f aca="false">FALSE()</f>
        <v>0</v>
      </c>
    </row>
    <row r="1218" customFormat="false" ht="52.5" hidden="false" customHeight="true" outlineLevel="0" collapsed="false">
      <c r="AJ1218" s="6" t="str">
        <v/>
      </c>
      <c r="AK1218" s="6" t="str">
        <v/>
      </c>
      <c r="AL1218" s="6" t="str">
        <v/>
      </c>
      <c r="AM1218" s="6" t="str">
        <v/>
      </c>
      <c r="AN1218" s="6" t="n">
        <f aca="false">FALSE()</f>
        <v>0</v>
      </c>
    </row>
    <row r="1219" customFormat="false" ht="52.5" hidden="false" customHeight="true" outlineLevel="0" collapsed="false">
      <c r="AJ1219" s="6" t="str">
        <v/>
      </c>
      <c r="AK1219" s="6" t="str">
        <v/>
      </c>
      <c r="AL1219" s="6" t="str">
        <v/>
      </c>
      <c r="AM1219" s="6" t="str">
        <v/>
      </c>
      <c r="AN1219" s="6" t="n">
        <f aca="false">FALSE()</f>
        <v>0</v>
      </c>
    </row>
    <row r="1220" customFormat="false" ht="52.5" hidden="false" customHeight="true" outlineLevel="0" collapsed="false">
      <c r="AJ1220" s="6" t="str">
        <v/>
      </c>
      <c r="AK1220" s="6" t="str">
        <v/>
      </c>
      <c r="AL1220" s="6" t="str">
        <v/>
      </c>
      <c r="AM1220" s="6" t="str">
        <v/>
      </c>
      <c r="AN1220" s="6" t="n">
        <f aca="false">FALSE()</f>
        <v>0</v>
      </c>
    </row>
    <row r="1221" customFormat="false" ht="52.5" hidden="false" customHeight="true" outlineLevel="0" collapsed="false">
      <c r="AJ1221" s="6" t="str">
        <v/>
      </c>
      <c r="AK1221" s="6" t="str">
        <v/>
      </c>
      <c r="AL1221" s="6" t="str">
        <v/>
      </c>
      <c r="AM1221" s="6" t="str">
        <v/>
      </c>
      <c r="AN1221" s="6" t="n">
        <f aca="false">FALSE()</f>
        <v>0</v>
      </c>
    </row>
    <row r="1222" customFormat="false" ht="52.5" hidden="false" customHeight="true" outlineLevel="0" collapsed="false">
      <c r="AJ1222" s="6" t="str">
        <v/>
      </c>
      <c r="AK1222" s="6" t="str">
        <v/>
      </c>
      <c r="AL1222" s="6" t="str">
        <v/>
      </c>
      <c r="AM1222" s="6" t="str">
        <v/>
      </c>
      <c r="AN1222" s="6" t="n">
        <f aca="false">FALSE()</f>
        <v>0</v>
      </c>
    </row>
    <row r="1223" customFormat="false" ht="52.5" hidden="false" customHeight="true" outlineLevel="0" collapsed="false">
      <c r="AJ1223" s="6" t="str">
        <v/>
      </c>
      <c r="AK1223" s="6" t="str">
        <v/>
      </c>
      <c r="AL1223" s="6" t="str">
        <v/>
      </c>
      <c r="AM1223" s="6" t="str">
        <v/>
      </c>
      <c r="AN1223" s="6" t="n">
        <f aca="false">FALSE()</f>
        <v>0</v>
      </c>
    </row>
    <row r="1224" customFormat="false" ht="52.5" hidden="false" customHeight="true" outlineLevel="0" collapsed="false">
      <c r="AJ1224" s="6" t="str">
        <v/>
      </c>
      <c r="AK1224" s="6" t="str">
        <v/>
      </c>
      <c r="AL1224" s="6" t="str">
        <v/>
      </c>
      <c r="AM1224" s="6" t="str">
        <v/>
      </c>
      <c r="AN1224" s="6" t="n">
        <f aca="false">FALSE()</f>
        <v>0</v>
      </c>
    </row>
    <row r="1225" customFormat="false" ht="52.5" hidden="false" customHeight="true" outlineLevel="0" collapsed="false">
      <c r="AJ1225" s="6" t="str">
        <v/>
      </c>
      <c r="AK1225" s="6" t="str">
        <v/>
      </c>
      <c r="AL1225" s="6" t="str">
        <v/>
      </c>
      <c r="AM1225" s="6" t="str">
        <v/>
      </c>
      <c r="AN1225" s="6" t="n">
        <f aca="false">FALSE()</f>
        <v>0</v>
      </c>
    </row>
    <row r="1226" customFormat="false" ht="52.5" hidden="false" customHeight="true" outlineLevel="0" collapsed="false">
      <c r="AJ1226" s="6" t="str">
        <v/>
      </c>
      <c r="AK1226" s="6" t="str">
        <v/>
      </c>
      <c r="AL1226" s="6" t="str">
        <v/>
      </c>
      <c r="AM1226" s="6" t="str">
        <v/>
      </c>
      <c r="AN1226" s="6" t="n">
        <f aca="false">FALSE()</f>
        <v>0</v>
      </c>
    </row>
    <row r="1227" customFormat="false" ht="52.5" hidden="false" customHeight="true" outlineLevel="0" collapsed="false">
      <c r="AJ1227" s="6" t="str">
        <v/>
      </c>
      <c r="AK1227" s="6" t="str">
        <v/>
      </c>
      <c r="AL1227" s="6" t="str">
        <v/>
      </c>
      <c r="AM1227" s="6" t="str">
        <v/>
      </c>
      <c r="AN1227" s="6" t="n">
        <f aca="false">FALSE()</f>
        <v>0</v>
      </c>
    </row>
    <row r="1228" customFormat="false" ht="52.5" hidden="false" customHeight="true" outlineLevel="0" collapsed="false">
      <c r="AJ1228" s="6" t="str">
        <v/>
      </c>
      <c r="AK1228" s="6" t="str">
        <v/>
      </c>
      <c r="AL1228" s="6" t="str">
        <v/>
      </c>
      <c r="AM1228" s="6" t="str">
        <v/>
      </c>
      <c r="AN1228" s="6" t="n">
        <f aca="false">FALSE()</f>
        <v>0</v>
      </c>
    </row>
    <row r="1229" customFormat="false" ht="52.5" hidden="false" customHeight="true" outlineLevel="0" collapsed="false">
      <c r="AJ1229" s="6" t="str">
        <v/>
      </c>
      <c r="AK1229" s="6" t="str">
        <v/>
      </c>
      <c r="AL1229" s="6" t="str">
        <v/>
      </c>
      <c r="AM1229" s="6" t="str">
        <v/>
      </c>
      <c r="AN1229" s="6" t="n">
        <f aca="false">FALSE()</f>
        <v>0</v>
      </c>
    </row>
    <row r="1230" customFormat="false" ht="52.5" hidden="false" customHeight="true" outlineLevel="0" collapsed="false">
      <c r="AJ1230" s="6" t="str">
        <v/>
      </c>
      <c r="AK1230" s="6" t="str">
        <v/>
      </c>
      <c r="AL1230" s="6" t="str">
        <v/>
      </c>
      <c r="AM1230" s="6" t="str">
        <v/>
      </c>
      <c r="AN1230" s="6" t="n">
        <f aca="false">FALSE()</f>
        <v>0</v>
      </c>
    </row>
    <row r="1231" customFormat="false" ht="52.5" hidden="false" customHeight="true" outlineLevel="0" collapsed="false">
      <c r="AJ1231" s="6" t="str">
        <v/>
      </c>
      <c r="AK1231" s="6" t="str">
        <v/>
      </c>
      <c r="AL1231" s="6" t="str">
        <v/>
      </c>
      <c r="AM1231" s="6" t="str">
        <v/>
      </c>
      <c r="AN1231" s="6" t="n">
        <f aca="false">FALSE()</f>
        <v>0</v>
      </c>
    </row>
    <row r="1232" customFormat="false" ht="52.5" hidden="false" customHeight="true" outlineLevel="0" collapsed="false">
      <c r="AJ1232" s="6" t="str">
        <v/>
      </c>
      <c r="AK1232" s="6" t="str">
        <v/>
      </c>
      <c r="AL1232" s="6" t="str">
        <v/>
      </c>
      <c r="AM1232" s="6" t="str">
        <v/>
      </c>
      <c r="AN1232" s="6" t="n">
        <f aca="false">FALSE()</f>
        <v>0</v>
      </c>
    </row>
    <row r="1233" customFormat="false" ht="52.5" hidden="false" customHeight="true" outlineLevel="0" collapsed="false">
      <c r="AJ1233" s="6" t="str">
        <v/>
      </c>
      <c r="AK1233" s="6" t="str">
        <v/>
      </c>
      <c r="AL1233" s="6" t="str">
        <v/>
      </c>
      <c r="AM1233" s="6" t="str">
        <v/>
      </c>
      <c r="AN1233" s="6" t="n">
        <f aca="false">FALSE()</f>
        <v>0</v>
      </c>
    </row>
    <row r="1234" customFormat="false" ht="52.5" hidden="false" customHeight="true" outlineLevel="0" collapsed="false">
      <c r="AJ1234" s="6" t="str">
        <v/>
      </c>
      <c r="AK1234" s="6" t="str">
        <v/>
      </c>
      <c r="AL1234" s="6" t="str">
        <v/>
      </c>
      <c r="AM1234" s="6" t="str">
        <v/>
      </c>
      <c r="AN1234" s="6" t="n">
        <f aca="false">FALSE()</f>
        <v>0</v>
      </c>
    </row>
    <row r="1235" customFormat="false" ht="52.5" hidden="false" customHeight="true" outlineLevel="0" collapsed="false">
      <c r="AJ1235" s="6" t="str">
        <v/>
      </c>
      <c r="AK1235" s="6" t="str">
        <v/>
      </c>
      <c r="AL1235" s="6" t="str">
        <v/>
      </c>
      <c r="AM1235" s="6" t="str">
        <v/>
      </c>
      <c r="AN1235" s="6" t="n">
        <f aca="false">FALSE()</f>
        <v>0</v>
      </c>
    </row>
    <row r="1236" customFormat="false" ht="52.5" hidden="false" customHeight="true" outlineLevel="0" collapsed="false">
      <c r="AJ1236" s="6" t="str">
        <v/>
      </c>
      <c r="AK1236" s="6" t="str">
        <v/>
      </c>
      <c r="AL1236" s="6" t="str">
        <v/>
      </c>
      <c r="AM1236" s="6" t="str">
        <v/>
      </c>
      <c r="AN1236" s="6" t="n">
        <f aca="false">FALSE()</f>
        <v>0</v>
      </c>
    </row>
    <row r="1237" customFormat="false" ht="52.5" hidden="false" customHeight="true" outlineLevel="0" collapsed="false">
      <c r="AJ1237" s="6" t="str">
        <v/>
      </c>
      <c r="AK1237" s="6" t="str">
        <v/>
      </c>
      <c r="AL1237" s="6" t="str">
        <v/>
      </c>
      <c r="AM1237" s="6" t="str">
        <v/>
      </c>
      <c r="AN1237" s="6" t="n">
        <f aca="false">FALSE()</f>
        <v>0</v>
      </c>
    </row>
    <row r="1238" customFormat="false" ht="52.5" hidden="false" customHeight="true" outlineLevel="0" collapsed="false">
      <c r="AJ1238" s="6" t="str">
        <v/>
      </c>
      <c r="AK1238" s="6" t="str">
        <v/>
      </c>
      <c r="AL1238" s="6" t="str">
        <v/>
      </c>
      <c r="AM1238" s="6" t="str">
        <v/>
      </c>
      <c r="AN1238" s="6" t="n">
        <f aca="false">FALSE()</f>
        <v>0</v>
      </c>
    </row>
    <row r="1239" customFormat="false" ht="52.5" hidden="false" customHeight="true" outlineLevel="0" collapsed="false">
      <c r="AJ1239" s="6" t="str">
        <v/>
      </c>
      <c r="AK1239" s="6" t="str">
        <v/>
      </c>
      <c r="AL1239" s="6" t="str">
        <v/>
      </c>
      <c r="AM1239" s="6" t="str">
        <v/>
      </c>
      <c r="AN1239" s="6" t="n">
        <f aca="false">FALSE()</f>
        <v>0</v>
      </c>
    </row>
    <row r="1240" customFormat="false" ht="52.5" hidden="false" customHeight="true" outlineLevel="0" collapsed="false">
      <c r="AJ1240" s="6" t="str">
        <v/>
      </c>
      <c r="AK1240" s="6" t="str">
        <v/>
      </c>
      <c r="AL1240" s="6" t="str">
        <v/>
      </c>
      <c r="AM1240" s="6" t="str">
        <v/>
      </c>
      <c r="AN1240" s="6" t="n">
        <f aca="false">FALSE()</f>
        <v>0</v>
      </c>
    </row>
    <row r="1241" customFormat="false" ht="52.5" hidden="false" customHeight="true" outlineLevel="0" collapsed="false">
      <c r="AJ1241" s="6" t="str">
        <v/>
      </c>
      <c r="AK1241" s="6" t="str">
        <v/>
      </c>
      <c r="AL1241" s="6" t="str">
        <v/>
      </c>
      <c r="AM1241" s="6" t="str">
        <v/>
      </c>
      <c r="AN1241" s="6" t="n">
        <f aca="false">FALSE()</f>
        <v>0</v>
      </c>
    </row>
    <row r="1242" customFormat="false" ht="52.5" hidden="false" customHeight="true" outlineLevel="0" collapsed="false">
      <c r="AJ1242" s="6" t="str">
        <v/>
      </c>
      <c r="AK1242" s="6" t="str">
        <v/>
      </c>
      <c r="AL1242" s="6" t="str">
        <v/>
      </c>
      <c r="AM1242" s="6" t="str">
        <v/>
      </c>
      <c r="AN1242" s="6" t="n">
        <f aca="false">FALSE()</f>
        <v>0</v>
      </c>
    </row>
    <row r="1243" customFormat="false" ht="52.5" hidden="false" customHeight="true" outlineLevel="0" collapsed="false">
      <c r="AJ1243" s="6" t="str">
        <v/>
      </c>
      <c r="AK1243" s="6" t="str">
        <v/>
      </c>
      <c r="AL1243" s="6" t="str">
        <v/>
      </c>
      <c r="AM1243" s="6" t="str">
        <v/>
      </c>
      <c r="AN1243" s="6" t="n">
        <f aca="false">FALSE()</f>
        <v>0</v>
      </c>
    </row>
    <row r="1244" customFormat="false" ht="52.5" hidden="false" customHeight="true" outlineLevel="0" collapsed="false">
      <c r="AJ1244" s="6" t="str">
        <v/>
      </c>
      <c r="AK1244" s="6" t="str">
        <v/>
      </c>
      <c r="AL1244" s="6" t="str">
        <v/>
      </c>
      <c r="AM1244" s="6" t="str">
        <v/>
      </c>
      <c r="AN1244" s="6" t="n">
        <f aca="false">FALSE()</f>
        <v>0</v>
      </c>
    </row>
    <row r="1245" customFormat="false" ht="52.5" hidden="false" customHeight="true" outlineLevel="0" collapsed="false">
      <c r="AJ1245" s="6" t="str">
        <v/>
      </c>
      <c r="AK1245" s="6" t="str">
        <v/>
      </c>
      <c r="AL1245" s="6" t="str">
        <v/>
      </c>
      <c r="AM1245" s="6" t="str">
        <v/>
      </c>
      <c r="AN1245" s="6" t="n">
        <f aca="false">FALSE()</f>
        <v>0</v>
      </c>
    </row>
    <row r="1246" customFormat="false" ht="52.5" hidden="false" customHeight="true" outlineLevel="0" collapsed="false">
      <c r="AJ1246" s="6" t="str">
        <v/>
      </c>
      <c r="AK1246" s="6" t="str">
        <v/>
      </c>
      <c r="AL1246" s="6" t="str">
        <v/>
      </c>
      <c r="AM1246" s="6" t="str">
        <v/>
      </c>
      <c r="AN1246" s="6" t="n">
        <f aca="false">FALSE()</f>
        <v>0</v>
      </c>
    </row>
    <row r="1247" customFormat="false" ht="52.5" hidden="false" customHeight="true" outlineLevel="0" collapsed="false">
      <c r="AJ1247" s="6" t="str">
        <v/>
      </c>
      <c r="AK1247" s="6" t="str">
        <v/>
      </c>
      <c r="AL1247" s="6" t="str">
        <v/>
      </c>
      <c r="AM1247" s="6" t="str">
        <v/>
      </c>
      <c r="AN1247" s="6" t="n">
        <f aca="false">FALSE()</f>
        <v>0</v>
      </c>
    </row>
    <row r="1248" customFormat="false" ht="52.5" hidden="false" customHeight="true" outlineLevel="0" collapsed="false">
      <c r="AJ1248" s="6" t="str">
        <v/>
      </c>
      <c r="AK1248" s="6" t="str">
        <v/>
      </c>
      <c r="AL1248" s="6" t="str">
        <v/>
      </c>
      <c r="AM1248" s="6" t="str">
        <v/>
      </c>
      <c r="AN1248" s="6" t="n">
        <f aca="false">FALSE()</f>
        <v>0</v>
      </c>
    </row>
    <row r="1249" customFormat="false" ht="52.5" hidden="false" customHeight="true" outlineLevel="0" collapsed="false">
      <c r="AJ1249" s="6" t="str">
        <v/>
      </c>
      <c r="AK1249" s="6" t="str">
        <v/>
      </c>
      <c r="AL1249" s="6" t="str">
        <v/>
      </c>
      <c r="AM1249" s="6" t="str">
        <v/>
      </c>
      <c r="AN1249" s="6" t="n">
        <f aca="false">FALSE()</f>
        <v>0</v>
      </c>
    </row>
    <row r="1250" customFormat="false" ht="52.5" hidden="false" customHeight="true" outlineLevel="0" collapsed="false">
      <c r="AJ1250" s="6" t="str">
        <v/>
      </c>
      <c r="AK1250" s="6" t="str">
        <v/>
      </c>
      <c r="AL1250" s="6" t="str">
        <v/>
      </c>
      <c r="AM1250" s="6" t="str">
        <v/>
      </c>
      <c r="AN1250" s="6" t="n">
        <f aca="false">FALSE()</f>
        <v>0</v>
      </c>
    </row>
    <row r="1251" customFormat="false" ht="52.5" hidden="false" customHeight="true" outlineLevel="0" collapsed="false">
      <c r="AJ1251" s="6" t="str">
        <v/>
      </c>
      <c r="AK1251" s="6" t="str">
        <v/>
      </c>
      <c r="AL1251" s="6" t="str">
        <v/>
      </c>
      <c r="AM1251" s="6" t="str">
        <v/>
      </c>
      <c r="AN1251" s="6" t="n">
        <f aca="false">FALSE()</f>
        <v>0</v>
      </c>
    </row>
    <row r="1252" customFormat="false" ht="52.5" hidden="false" customHeight="true" outlineLevel="0" collapsed="false">
      <c r="AJ1252" s="6" t="str">
        <v/>
      </c>
      <c r="AK1252" s="6" t="str">
        <v/>
      </c>
      <c r="AL1252" s="6" t="str">
        <v/>
      </c>
      <c r="AM1252" s="6" t="str">
        <v/>
      </c>
      <c r="AN1252" s="6" t="n">
        <f aca="false">FALSE()</f>
        <v>0</v>
      </c>
    </row>
    <row r="1253" customFormat="false" ht="52.5" hidden="false" customHeight="true" outlineLevel="0" collapsed="false">
      <c r="AJ1253" s="6" t="str">
        <v/>
      </c>
      <c r="AK1253" s="6" t="str">
        <v/>
      </c>
      <c r="AL1253" s="6" t="str">
        <v/>
      </c>
      <c r="AM1253" s="6" t="str">
        <v/>
      </c>
      <c r="AN1253" s="6" t="n">
        <f aca="false">FALSE()</f>
        <v>0</v>
      </c>
    </row>
    <row r="1254" customFormat="false" ht="52.5" hidden="false" customHeight="true" outlineLevel="0" collapsed="false">
      <c r="AJ1254" s="6" t="str">
        <v/>
      </c>
      <c r="AK1254" s="6" t="str">
        <v/>
      </c>
      <c r="AL1254" s="6" t="str">
        <v/>
      </c>
      <c r="AM1254" s="6" t="str">
        <v/>
      </c>
      <c r="AN1254" s="6" t="n">
        <f aca="false">FALSE()</f>
        <v>0</v>
      </c>
    </row>
    <row r="1255" customFormat="false" ht="52.5" hidden="false" customHeight="true" outlineLevel="0" collapsed="false">
      <c r="AJ1255" s="6" t="str">
        <v/>
      </c>
      <c r="AK1255" s="6" t="str">
        <v/>
      </c>
      <c r="AL1255" s="6" t="str">
        <v/>
      </c>
      <c r="AM1255" s="6" t="str">
        <v/>
      </c>
      <c r="AN1255" s="6" t="n">
        <f aca="false">FALSE()</f>
        <v>0</v>
      </c>
    </row>
    <row r="1256" customFormat="false" ht="52.5" hidden="false" customHeight="true" outlineLevel="0" collapsed="false">
      <c r="AJ1256" s="6" t="str">
        <v/>
      </c>
      <c r="AK1256" s="6" t="str">
        <v/>
      </c>
      <c r="AL1256" s="6" t="str">
        <v/>
      </c>
      <c r="AM1256" s="6" t="str">
        <v/>
      </c>
      <c r="AN1256" s="6" t="n">
        <f aca="false">FALSE()</f>
        <v>0</v>
      </c>
    </row>
    <row r="1257" customFormat="false" ht="52.5" hidden="false" customHeight="true" outlineLevel="0" collapsed="false">
      <c r="AJ1257" s="6" t="str">
        <v/>
      </c>
      <c r="AK1257" s="6" t="str">
        <v/>
      </c>
      <c r="AL1257" s="6" t="str">
        <v/>
      </c>
      <c r="AM1257" s="6" t="str">
        <v/>
      </c>
      <c r="AN1257" s="6" t="n">
        <f aca="false">FALSE()</f>
        <v>0</v>
      </c>
    </row>
    <row r="1258" customFormat="false" ht="52.5" hidden="false" customHeight="true" outlineLevel="0" collapsed="false">
      <c r="AJ1258" s="6" t="str">
        <v/>
      </c>
      <c r="AK1258" s="6" t="str">
        <v/>
      </c>
      <c r="AL1258" s="6" t="str">
        <v/>
      </c>
      <c r="AM1258" s="6" t="str">
        <v/>
      </c>
      <c r="AN1258" s="6" t="n">
        <f aca="false">FALSE()</f>
        <v>0</v>
      </c>
    </row>
    <row r="1259" customFormat="false" ht="52.5" hidden="false" customHeight="true" outlineLevel="0" collapsed="false">
      <c r="AJ1259" s="6" t="str">
        <v/>
      </c>
      <c r="AK1259" s="6" t="str">
        <v/>
      </c>
      <c r="AL1259" s="6" t="str">
        <v/>
      </c>
      <c r="AM1259" s="6" t="str">
        <v/>
      </c>
      <c r="AN1259" s="6" t="n">
        <f aca="false">FALSE()</f>
        <v>0</v>
      </c>
    </row>
    <row r="1260" customFormat="false" ht="52.5" hidden="false" customHeight="true" outlineLevel="0" collapsed="false">
      <c r="AJ1260" s="6" t="str">
        <v/>
      </c>
      <c r="AK1260" s="6" t="str">
        <v/>
      </c>
      <c r="AL1260" s="6" t="str">
        <v/>
      </c>
      <c r="AM1260" s="6" t="str">
        <v/>
      </c>
      <c r="AN1260" s="6" t="n">
        <f aca="false">FALSE()</f>
        <v>0</v>
      </c>
    </row>
    <row r="1261" customFormat="false" ht="52.5" hidden="false" customHeight="true" outlineLevel="0" collapsed="false">
      <c r="AJ1261" s="6" t="str">
        <v/>
      </c>
      <c r="AK1261" s="6" t="str">
        <v/>
      </c>
      <c r="AL1261" s="6" t="str">
        <v/>
      </c>
      <c r="AM1261" s="6" t="str">
        <v/>
      </c>
      <c r="AN1261" s="6" t="n">
        <f aca="false">FALSE()</f>
        <v>0</v>
      </c>
    </row>
    <row r="1262" customFormat="false" ht="52.5" hidden="false" customHeight="true" outlineLevel="0" collapsed="false">
      <c r="AJ1262" s="6" t="str">
        <v/>
      </c>
      <c r="AK1262" s="6" t="str">
        <v/>
      </c>
      <c r="AL1262" s="6" t="str">
        <v/>
      </c>
      <c r="AM1262" s="6" t="str">
        <v/>
      </c>
      <c r="AN1262" s="6" t="n">
        <f aca="false">FALSE()</f>
        <v>0</v>
      </c>
    </row>
    <row r="1263" customFormat="false" ht="52.5" hidden="false" customHeight="true" outlineLevel="0" collapsed="false">
      <c r="AJ1263" s="6" t="str">
        <v/>
      </c>
      <c r="AK1263" s="6" t="str">
        <v/>
      </c>
      <c r="AL1263" s="6" t="str">
        <v/>
      </c>
      <c r="AM1263" s="6" t="str">
        <v/>
      </c>
      <c r="AN1263" s="6" t="n">
        <f aca="false">FALSE()</f>
        <v>0</v>
      </c>
    </row>
    <row r="1264" customFormat="false" ht="52.5" hidden="false" customHeight="true" outlineLevel="0" collapsed="false">
      <c r="AJ1264" s="6" t="str">
        <v/>
      </c>
      <c r="AK1264" s="6" t="str">
        <v/>
      </c>
      <c r="AL1264" s="6" t="str">
        <v/>
      </c>
      <c r="AM1264" s="6" t="str">
        <v/>
      </c>
      <c r="AN1264" s="6" t="n">
        <f aca="false">FALSE()</f>
        <v>0</v>
      </c>
    </row>
    <row r="1265" customFormat="false" ht="52.5" hidden="false" customHeight="true" outlineLevel="0" collapsed="false">
      <c r="AJ1265" s="6" t="str">
        <v/>
      </c>
      <c r="AK1265" s="6" t="str">
        <v/>
      </c>
      <c r="AL1265" s="6" t="str">
        <v/>
      </c>
      <c r="AM1265" s="6" t="str">
        <v/>
      </c>
      <c r="AN1265" s="6" t="n">
        <f aca="false">FALSE()</f>
        <v>0</v>
      </c>
    </row>
    <row r="1266" customFormat="false" ht="52.5" hidden="false" customHeight="true" outlineLevel="0" collapsed="false">
      <c r="AJ1266" s="6" t="str">
        <v/>
      </c>
      <c r="AK1266" s="6" t="str">
        <v/>
      </c>
      <c r="AL1266" s="6" t="str">
        <v/>
      </c>
      <c r="AM1266" s="6" t="str">
        <v/>
      </c>
      <c r="AN1266" s="6" t="n">
        <f aca="false">FALSE()</f>
        <v>0</v>
      </c>
    </row>
    <row r="1267" customFormat="false" ht="52.5" hidden="false" customHeight="true" outlineLevel="0" collapsed="false">
      <c r="AJ1267" s="6" t="str">
        <v/>
      </c>
      <c r="AK1267" s="6" t="str">
        <v/>
      </c>
      <c r="AL1267" s="6" t="str">
        <v/>
      </c>
      <c r="AM1267" s="6" t="str">
        <v/>
      </c>
      <c r="AN1267" s="6" t="n">
        <f aca="false">FALSE()</f>
        <v>0</v>
      </c>
    </row>
    <row r="1268" customFormat="false" ht="52.5" hidden="false" customHeight="true" outlineLevel="0" collapsed="false">
      <c r="AJ1268" s="6" t="str">
        <v/>
      </c>
      <c r="AK1268" s="6" t="str">
        <v/>
      </c>
      <c r="AL1268" s="6" t="str">
        <v/>
      </c>
      <c r="AM1268" s="6" t="str">
        <v/>
      </c>
      <c r="AN1268" s="6" t="n">
        <f aca="false">FALSE()</f>
        <v>0</v>
      </c>
    </row>
    <row r="1269" customFormat="false" ht="52.5" hidden="false" customHeight="true" outlineLevel="0" collapsed="false">
      <c r="AJ1269" s="6" t="str">
        <v/>
      </c>
      <c r="AK1269" s="6" t="str">
        <v/>
      </c>
      <c r="AL1269" s="6" t="str">
        <v/>
      </c>
      <c r="AM1269" s="6" t="str">
        <v/>
      </c>
      <c r="AN1269" s="6" t="n">
        <f aca="false">FALSE()</f>
        <v>0</v>
      </c>
    </row>
    <row r="1270" customFormat="false" ht="52.5" hidden="false" customHeight="true" outlineLevel="0" collapsed="false">
      <c r="AJ1270" s="6" t="str">
        <v/>
      </c>
      <c r="AK1270" s="6" t="str">
        <v/>
      </c>
      <c r="AL1270" s="6" t="str">
        <v/>
      </c>
      <c r="AM1270" s="6" t="str">
        <v/>
      </c>
      <c r="AN1270" s="6" t="n">
        <f aca="false">FALSE()</f>
        <v>0</v>
      </c>
    </row>
    <row r="1271" customFormat="false" ht="52.5" hidden="false" customHeight="true" outlineLevel="0" collapsed="false">
      <c r="AJ1271" s="6" t="str">
        <v/>
      </c>
      <c r="AK1271" s="6" t="str">
        <v/>
      </c>
      <c r="AL1271" s="6" t="str">
        <v/>
      </c>
      <c r="AM1271" s="6" t="str">
        <v/>
      </c>
      <c r="AN1271" s="6" t="n">
        <f aca="false">FALSE()</f>
        <v>0</v>
      </c>
    </row>
    <row r="1272" customFormat="false" ht="52.5" hidden="false" customHeight="true" outlineLevel="0" collapsed="false">
      <c r="AJ1272" s="6" t="str">
        <v/>
      </c>
      <c r="AK1272" s="6" t="str">
        <v/>
      </c>
      <c r="AL1272" s="6" t="str">
        <v/>
      </c>
      <c r="AM1272" s="6" t="str">
        <v/>
      </c>
      <c r="AN1272" s="6" t="n">
        <f aca="false">FALSE()</f>
        <v>0</v>
      </c>
    </row>
    <row r="1273" customFormat="false" ht="52.5" hidden="false" customHeight="true" outlineLevel="0" collapsed="false">
      <c r="AJ1273" s="6" t="str">
        <v/>
      </c>
      <c r="AK1273" s="6" t="str">
        <v/>
      </c>
      <c r="AL1273" s="6" t="str">
        <v/>
      </c>
      <c r="AM1273" s="6" t="str">
        <v/>
      </c>
      <c r="AN1273" s="6" t="n">
        <f aca="false">FALSE()</f>
        <v>0</v>
      </c>
    </row>
    <row r="1274" customFormat="false" ht="52.5" hidden="false" customHeight="true" outlineLevel="0" collapsed="false">
      <c r="AJ1274" s="6" t="str">
        <v/>
      </c>
      <c r="AK1274" s="6" t="str">
        <v/>
      </c>
      <c r="AL1274" s="6" t="str">
        <v/>
      </c>
      <c r="AM1274" s="6" t="str">
        <v/>
      </c>
      <c r="AN1274" s="6" t="n">
        <f aca="false">FALSE()</f>
        <v>0</v>
      </c>
    </row>
    <row r="1275" customFormat="false" ht="52.5" hidden="false" customHeight="true" outlineLevel="0" collapsed="false">
      <c r="AJ1275" s="6" t="str">
        <v/>
      </c>
      <c r="AK1275" s="6" t="str">
        <v/>
      </c>
      <c r="AL1275" s="6" t="str">
        <v/>
      </c>
      <c r="AM1275" s="6" t="str">
        <v/>
      </c>
      <c r="AN1275" s="6" t="n">
        <f aca="false">FALSE()</f>
        <v>0</v>
      </c>
    </row>
    <row r="1276" customFormat="false" ht="52.5" hidden="false" customHeight="true" outlineLevel="0" collapsed="false">
      <c r="AJ1276" s="6" t="str">
        <v/>
      </c>
      <c r="AK1276" s="6" t="str">
        <v/>
      </c>
      <c r="AL1276" s="6" t="str">
        <v/>
      </c>
      <c r="AM1276" s="6" t="str">
        <v/>
      </c>
      <c r="AN1276" s="6" t="n">
        <f aca="false">FALSE()</f>
        <v>0</v>
      </c>
    </row>
    <row r="1277" customFormat="false" ht="52.5" hidden="false" customHeight="true" outlineLevel="0" collapsed="false">
      <c r="AJ1277" s="6" t="str">
        <v/>
      </c>
      <c r="AK1277" s="6" t="str">
        <v/>
      </c>
      <c r="AL1277" s="6" t="str">
        <v/>
      </c>
      <c r="AM1277" s="6" t="str">
        <v/>
      </c>
      <c r="AN1277" s="6" t="n">
        <f aca="false">FALSE()</f>
        <v>0</v>
      </c>
    </row>
    <row r="1278" customFormat="false" ht="52.5" hidden="false" customHeight="true" outlineLevel="0" collapsed="false">
      <c r="AJ1278" s="6" t="str">
        <v/>
      </c>
      <c r="AK1278" s="6" t="str">
        <v/>
      </c>
      <c r="AL1278" s="6" t="str">
        <v/>
      </c>
      <c r="AM1278" s="6" t="str">
        <v/>
      </c>
      <c r="AN1278" s="6" t="n">
        <f aca="false">FALSE()</f>
        <v>0</v>
      </c>
    </row>
    <row r="1279" customFormat="false" ht="52.5" hidden="false" customHeight="true" outlineLevel="0" collapsed="false">
      <c r="AJ1279" s="6" t="str">
        <v/>
      </c>
      <c r="AK1279" s="6" t="str">
        <v/>
      </c>
      <c r="AL1279" s="6" t="str">
        <v/>
      </c>
      <c r="AM1279" s="6" t="str">
        <v/>
      </c>
      <c r="AN1279" s="6" t="n">
        <f aca="false">FALSE()</f>
        <v>0</v>
      </c>
    </row>
    <row r="1280" customFormat="false" ht="52.5" hidden="false" customHeight="true" outlineLevel="0" collapsed="false">
      <c r="AJ1280" s="6" t="str">
        <v/>
      </c>
      <c r="AK1280" s="6" t="str">
        <v/>
      </c>
      <c r="AL1280" s="6" t="str">
        <v/>
      </c>
      <c r="AM1280" s="6" t="str">
        <v/>
      </c>
      <c r="AN1280" s="6" t="n">
        <f aca="false">FALSE()</f>
        <v>0</v>
      </c>
    </row>
    <row r="1281" customFormat="false" ht="52.5" hidden="false" customHeight="true" outlineLevel="0" collapsed="false">
      <c r="AJ1281" s="6" t="str">
        <v/>
      </c>
      <c r="AK1281" s="6" t="str">
        <v/>
      </c>
      <c r="AL1281" s="6" t="str">
        <v/>
      </c>
      <c r="AM1281" s="6" t="str">
        <v/>
      </c>
      <c r="AN1281" s="6" t="n">
        <f aca="false">FALSE()</f>
        <v>0</v>
      </c>
    </row>
    <row r="1282" customFormat="false" ht="52.5" hidden="false" customHeight="true" outlineLevel="0" collapsed="false">
      <c r="AJ1282" s="6" t="str">
        <v/>
      </c>
      <c r="AK1282" s="6" t="str">
        <v/>
      </c>
      <c r="AL1282" s="6" t="str">
        <v/>
      </c>
      <c r="AM1282" s="6" t="str">
        <v/>
      </c>
      <c r="AN1282" s="6" t="n">
        <f aca="false">FALSE()</f>
        <v>0</v>
      </c>
    </row>
    <row r="1283" customFormat="false" ht="52.5" hidden="false" customHeight="true" outlineLevel="0" collapsed="false">
      <c r="AJ1283" s="6" t="str">
        <v/>
      </c>
      <c r="AK1283" s="6" t="str">
        <v/>
      </c>
      <c r="AL1283" s="6" t="str">
        <v/>
      </c>
      <c r="AM1283" s="6" t="str">
        <v/>
      </c>
      <c r="AN1283" s="6" t="n">
        <f aca="false">FALSE()</f>
        <v>0</v>
      </c>
    </row>
    <row r="1284" customFormat="false" ht="52.5" hidden="false" customHeight="true" outlineLevel="0" collapsed="false">
      <c r="AJ1284" s="6" t="str">
        <v/>
      </c>
      <c r="AK1284" s="6" t="str">
        <v/>
      </c>
      <c r="AL1284" s="6" t="str">
        <v/>
      </c>
      <c r="AM1284" s="6" t="str">
        <v/>
      </c>
      <c r="AN1284" s="6" t="n">
        <f aca="false">FALSE()</f>
        <v>0</v>
      </c>
    </row>
    <row r="1285" customFormat="false" ht="52.5" hidden="false" customHeight="true" outlineLevel="0" collapsed="false">
      <c r="AJ1285" s="6" t="str">
        <v/>
      </c>
      <c r="AK1285" s="6" t="str">
        <v/>
      </c>
      <c r="AL1285" s="6" t="str">
        <v/>
      </c>
      <c r="AM1285" s="6" t="str">
        <v/>
      </c>
      <c r="AN1285" s="6" t="n">
        <f aca="false">FALSE()</f>
        <v>0</v>
      </c>
    </row>
    <row r="1286" customFormat="false" ht="52.5" hidden="false" customHeight="true" outlineLevel="0" collapsed="false">
      <c r="AJ1286" s="6" t="str">
        <v/>
      </c>
      <c r="AK1286" s="6" t="str">
        <v/>
      </c>
      <c r="AL1286" s="6" t="str">
        <v/>
      </c>
      <c r="AM1286" s="6" t="str">
        <v/>
      </c>
      <c r="AN1286" s="6" t="n">
        <f aca="false">FALSE()</f>
        <v>0</v>
      </c>
    </row>
    <row r="1287" customFormat="false" ht="52.5" hidden="false" customHeight="true" outlineLevel="0" collapsed="false">
      <c r="AJ1287" s="6" t="str">
        <v/>
      </c>
      <c r="AK1287" s="6" t="str">
        <v/>
      </c>
      <c r="AL1287" s="6" t="str">
        <v/>
      </c>
      <c r="AM1287" s="6" t="str">
        <v/>
      </c>
      <c r="AN1287" s="6" t="n">
        <f aca="false">FALSE()</f>
        <v>0</v>
      </c>
    </row>
    <row r="1288" customFormat="false" ht="52.5" hidden="false" customHeight="true" outlineLevel="0" collapsed="false">
      <c r="AJ1288" s="6" t="str">
        <v/>
      </c>
      <c r="AK1288" s="6" t="str">
        <v/>
      </c>
      <c r="AL1288" s="6" t="str">
        <v/>
      </c>
      <c r="AM1288" s="6" t="str">
        <v/>
      </c>
      <c r="AN1288" s="6" t="n">
        <f aca="false">FALSE()</f>
        <v>0</v>
      </c>
    </row>
    <row r="1289" customFormat="false" ht="52.5" hidden="false" customHeight="true" outlineLevel="0" collapsed="false">
      <c r="AJ1289" s="6" t="str">
        <v/>
      </c>
      <c r="AK1289" s="6" t="str">
        <v/>
      </c>
      <c r="AL1289" s="6" t="str">
        <v/>
      </c>
      <c r="AM1289" s="6" t="str">
        <v/>
      </c>
      <c r="AN1289" s="6" t="n">
        <f aca="false">FALSE()</f>
        <v>0</v>
      </c>
    </row>
    <row r="1290" customFormat="false" ht="52.5" hidden="false" customHeight="true" outlineLevel="0" collapsed="false">
      <c r="AJ1290" s="6" t="str">
        <v/>
      </c>
      <c r="AK1290" s="6" t="str">
        <v/>
      </c>
      <c r="AL1290" s="6" t="str">
        <v/>
      </c>
      <c r="AM1290" s="6" t="str">
        <v/>
      </c>
      <c r="AN1290" s="6" t="n">
        <f aca="false">FALSE()</f>
        <v>0</v>
      </c>
    </row>
    <row r="1291" customFormat="false" ht="52.5" hidden="false" customHeight="true" outlineLevel="0" collapsed="false">
      <c r="AJ1291" s="6" t="str">
        <v/>
      </c>
      <c r="AK1291" s="6" t="str">
        <v/>
      </c>
      <c r="AL1291" s="6" t="str">
        <v/>
      </c>
      <c r="AM1291" s="6" t="str">
        <v/>
      </c>
      <c r="AN1291" s="6" t="n">
        <f aca="false">FALSE()</f>
        <v>0</v>
      </c>
    </row>
    <row r="1292" customFormat="false" ht="52.5" hidden="false" customHeight="true" outlineLevel="0" collapsed="false">
      <c r="AJ1292" s="6" t="str">
        <v/>
      </c>
      <c r="AK1292" s="6" t="str">
        <v/>
      </c>
      <c r="AL1292" s="6" t="str">
        <v/>
      </c>
      <c r="AM1292" s="6" t="str">
        <v/>
      </c>
      <c r="AN1292" s="6" t="n">
        <f aca="false">FALSE()</f>
        <v>0</v>
      </c>
    </row>
    <row r="1293" customFormat="false" ht="52.5" hidden="false" customHeight="true" outlineLevel="0" collapsed="false">
      <c r="AJ1293" s="6" t="str">
        <v/>
      </c>
      <c r="AK1293" s="6" t="str">
        <v/>
      </c>
      <c r="AL1293" s="6" t="str">
        <v/>
      </c>
      <c r="AM1293" s="6" t="str">
        <v/>
      </c>
      <c r="AN1293" s="6" t="n">
        <f aca="false">FALSE()</f>
        <v>0</v>
      </c>
    </row>
    <row r="1294" customFormat="false" ht="52.5" hidden="false" customHeight="true" outlineLevel="0" collapsed="false">
      <c r="AJ1294" s="6" t="str">
        <v/>
      </c>
      <c r="AK1294" s="6" t="str">
        <v/>
      </c>
      <c r="AL1294" s="6" t="str">
        <v/>
      </c>
      <c r="AM1294" s="6" t="str">
        <v/>
      </c>
      <c r="AN1294" s="6" t="n">
        <f aca="false">FALSE()</f>
        <v>0</v>
      </c>
    </row>
    <row r="1295" customFormat="false" ht="52.5" hidden="false" customHeight="true" outlineLevel="0" collapsed="false">
      <c r="AJ1295" s="6" t="str">
        <v/>
      </c>
      <c r="AK1295" s="6" t="str">
        <v/>
      </c>
      <c r="AL1295" s="6" t="str">
        <v/>
      </c>
      <c r="AM1295" s="6" t="str">
        <v/>
      </c>
      <c r="AN1295" s="6" t="n">
        <f aca="false">FALSE()</f>
        <v>0</v>
      </c>
    </row>
    <row r="1296" customFormat="false" ht="52.5" hidden="false" customHeight="true" outlineLevel="0" collapsed="false">
      <c r="AJ1296" s="6" t="str">
        <v/>
      </c>
      <c r="AK1296" s="6" t="str">
        <v/>
      </c>
      <c r="AL1296" s="6" t="str">
        <v/>
      </c>
      <c r="AM1296" s="6" t="str">
        <v/>
      </c>
      <c r="AN1296" s="6" t="n">
        <f aca="false">FALSE()</f>
        <v>0</v>
      </c>
    </row>
    <row r="1297" customFormat="false" ht="52.5" hidden="false" customHeight="true" outlineLevel="0" collapsed="false">
      <c r="AJ1297" s="6" t="str">
        <v/>
      </c>
      <c r="AK1297" s="6" t="str">
        <v/>
      </c>
      <c r="AL1297" s="6" t="str">
        <v/>
      </c>
      <c r="AM1297" s="6" t="str">
        <v/>
      </c>
      <c r="AN1297" s="6" t="n">
        <f aca="false">FALSE()</f>
        <v>0</v>
      </c>
    </row>
    <row r="1298" customFormat="false" ht="52.5" hidden="false" customHeight="true" outlineLevel="0" collapsed="false">
      <c r="AJ1298" s="6" t="str">
        <v/>
      </c>
      <c r="AK1298" s="6" t="str">
        <v/>
      </c>
      <c r="AL1298" s="6" t="str">
        <v/>
      </c>
      <c r="AM1298" s="6" t="str">
        <v/>
      </c>
      <c r="AN1298" s="6" t="n">
        <f aca="false">FALSE()</f>
        <v>0</v>
      </c>
    </row>
    <row r="1299" customFormat="false" ht="52.5" hidden="false" customHeight="true" outlineLevel="0" collapsed="false">
      <c r="AJ1299" s="6" t="str">
        <v/>
      </c>
      <c r="AK1299" s="6" t="str">
        <v/>
      </c>
      <c r="AL1299" s="6" t="str">
        <v/>
      </c>
      <c r="AM1299" s="6" t="str">
        <v/>
      </c>
      <c r="AN1299" s="6" t="n">
        <f aca="false">FALSE()</f>
        <v>0</v>
      </c>
    </row>
    <row r="1300" customFormat="false" ht="52.5" hidden="false" customHeight="true" outlineLevel="0" collapsed="false">
      <c r="AJ1300" s="6" t="str">
        <v/>
      </c>
      <c r="AK1300" s="6" t="str">
        <v/>
      </c>
      <c r="AL1300" s="6" t="str">
        <v/>
      </c>
      <c r="AM1300" s="6" t="str">
        <v/>
      </c>
      <c r="AN1300" s="6" t="n">
        <f aca="false">FALSE()</f>
        <v>0</v>
      </c>
    </row>
    <row r="1301" customFormat="false" ht="52.5" hidden="false" customHeight="true" outlineLevel="0" collapsed="false">
      <c r="AJ1301" s="6" t="str">
        <v/>
      </c>
      <c r="AK1301" s="6" t="str">
        <v/>
      </c>
      <c r="AL1301" s="6" t="str">
        <v/>
      </c>
      <c r="AM1301" s="6" t="str">
        <v/>
      </c>
      <c r="AN1301" s="6" t="n">
        <f aca="false">FALSE()</f>
        <v>0</v>
      </c>
    </row>
    <row r="1302" customFormat="false" ht="52.5" hidden="false" customHeight="true" outlineLevel="0" collapsed="false">
      <c r="AJ1302" s="6" t="str">
        <v/>
      </c>
      <c r="AK1302" s="6" t="str">
        <v/>
      </c>
      <c r="AL1302" s="6" t="str">
        <v/>
      </c>
      <c r="AM1302" s="6" t="str">
        <v/>
      </c>
      <c r="AN1302" s="6" t="n">
        <f aca="false">FALSE()</f>
        <v>0</v>
      </c>
    </row>
    <row r="1303" customFormat="false" ht="52.5" hidden="false" customHeight="true" outlineLevel="0" collapsed="false">
      <c r="AJ1303" s="6" t="str">
        <v/>
      </c>
      <c r="AK1303" s="6" t="str">
        <v/>
      </c>
      <c r="AL1303" s="6" t="str">
        <v/>
      </c>
      <c r="AM1303" s="6" t="str">
        <v/>
      </c>
      <c r="AN1303" s="6" t="n">
        <f aca="false">FALSE()</f>
        <v>0</v>
      </c>
    </row>
    <row r="1304" customFormat="false" ht="52.5" hidden="false" customHeight="true" outlineLevel="0" collapsed="false">
      <c r="AJ1304" s="6" t="str">
        <v/>
      </c>
      <c r="AK1304" s="6" t="str">
        <v/>
      </c>
      <c r="AL1304" s="6" t="str">
        <v/>
      </c>
      <c r="AM1304" s="6" t="str">
        <v/>
      </c>
      <c r="AN1304" s="6" t="n">
        <f aca="false">FALSE()</f>
        <v>0</v>
      </c>
    </row>
    <row r="1305" customFormat="false" ht="52.5" hidden="false" customHeight="true" outlineLevel="0" collapsed="false">
      <c r="AJ1305" s="6" t="str">
        <v/>
      </c>
      <c r="AK1305" s="6" t="str">
        <v/>
      </c>
      <c r="AL1305" s="6" t="str">
        <v/>
      </c>
      <c r="AM1305" s="6" t="str">
        <v/>
      </c>
      <c r="AN1305" s="6" t="n">
        <f aca="false">FALSE()</f>
        <v>0</v>
      </c>
    </row>
    <row r="1306" customFormat="false" ht="52.5" hidden="false" customHeight="true" outlineLevel="0" collapsed="false">
      <c r="AJ1306" s="6" t="str">
        <v/>
      </c>
      <c r="AK1306" s="6" t="str">
        <v/>
      </c>
      <c r="AL1306" s="6" t="str">
        <v/>
      </c>
      <c r="AM1306" s="6" t="str">
        <v/>
      </c>
      <c r="AN1306" s="6" t="n">
        <f aca="false">FALSE()</f>
        <v>0</v>
      </c>
    </row>
    <row r="1307" customFormat="false" ht="52.5" hidden="false" customHeight="true" outlineLevel="0" collapsed="false">
      <c r="AJ1307" s="6" t="str">
        <v/>
      </c>
      <c r="AK1307" s="6" t="str">
        <v/>
      </c>
      <c r="AL1307" s="6" t="str">
        <v/>
      </c>
      <c r="AM1307" s="6" t="str">
        <v/>
      </c>
      <c r="AN1307" s="6" t="n">
        <f aca="false">FALSE()</f>
        <v>0</v>
      </c>
    </row>
    <row r="1308" customFormat="false" ht="52.5" hidden="false" customHeight="true" outlineLevel="0" collapsed="false">
      <c r="AJ1308" s="6" t="str">
        <v/>
      </c>
      <c r="AK1308" s="6" t="str">
        <v/>
      </c>
      <c r="AL1308" s="6" t="str">
        <v/>
      </c>
      <c r="AM1308" s="6" t="str">
        <v/>
      </c>
      <c r="AN1308" s="6" t="n">
        <f aca="false">FALSE()</f>
        <v>0</v>
      </c>
    </row>
    <row r="1309" customFormat="false" ht="52.5" hidden="false" customHeight="true" outlineLevel="0" collapsed="false">
      <c r="AJ1309" s="6" t="str">
        <v/>
      </c>
      <c r="AK1309" s="6" t="str">
        <v/>
      </c>
      <c r="AL1309" s="6" t="str">
        <v/>
      </c>
      <c r="AM1309" s="6" t="str">
        <v/>
      </c>
      <c r="AN1309" s="6" t="n">
        <f aca="false">FALSE()</f>
        <v>0</v>
      </c>
    </row>
    <row r="1310" customFormat="false" ht="52.5" hidden="false" customHeight="true" outlineLevel="0" collapsed="false">
      <c r="AJ1310" s="6" t="str">
        <v/>
      </c>
      <c r="AK1310" s="6" t="str">
        <v/>
      </c>
      <c r="AL1310" s="6" t="str">
        <v/>
      </c>
      <c r="AM1310" s="6" t="str">
        <v/>
      </c>
      <c r="AN1310" s="6" t="n">
        <f aca="false">FALSE()</f>
        <v>0</v>
      </c>
    </row>
    <row r="1311" customFormat="false" ht="52.5" hidden="false" customHeight="true" outlineLevel="0" collapsed="false">
      <c r="AJ1311" s="6" t="str">
        <v/>
      </c>
      <c r="AK1311" s="6" t="str">
        <v/>
      </c>
      <c r="AL1311" s="6" t="str">
        <v/>
      </c>
      <c r="AM1311" s="6" t="str">
        <v/>
      </c>
      <c r="AN1311" s="6" t="n">
        <f aca="false">FALSE()</f>
        <v>0</v>
      </c>
    </row>
    <row r="1312" customFormat="false" ht="52.5" hidden="false" customHeight="true" outlineLevel="0" collapsed="false">
      <c r="AJ1312" s="6" t="str">
        <v/>
      </c>
      <c r="AK1312" s="6" t="str">
        <v/>
      </c>
      <c r="AL1312" s="6" t="str">
        <v/>
      </c>
      <c r="AM1312" s="6" t="str">
        <v/>
      </c>
      <c r="AN1312" s="6" t="n">
        <f aca="false">FALSE()</f>
        <v>0</v>
      </c>
    </row>
    <row r="1313" customFormat="false" ht="52.5" hidden="false" customHeight="true" outlineLevel="0" collapsed="false">
      <c r="AJ1313" s="6" t="str">
        <v/>
      </c>
      <c r="AK1313" s="6" t="str">
        <v/>
      </c>
      <c r="AL1313" s="6" t="str">
        <v/>
      </c>
      <c r="AM1313" s="6" t="str">
        <v/>
      </c>
      <c r="AN1313" s="6" t="n">
        <f aca="false">FALSE()</f>
        <v>0</v>
      </c>
    </row>
    <row r="1314" customFormat="false" ht="52.5" hidden="false" customHeight="true" outlineLevel="0" collapsed="false">
      <c r="AJ1314" s="6" t="str">
        <v/>
      </c>
      <c r="AK1314" s="6" t="str">
        <v/>
      </c>
      <c r="AL1314" s="6" t="str">
        <v/>
      </c>
      <c r="AM1314" s="6" t="str">
        <v/>
      </c>
      <c r="AN1314" s="6" t="n">
        <f aca="false">FALSE()</f>
        <v>0</v>
      </c>
    </row>
    <row r="1315" customFormat="false" ht="52.5" hidden="false" customHeight="true" outlineLevel="0" collapsed="false">
      <c r="AJ1315" s="6" t="str">
        <v/>
      </c>
      <c r="AK1315" s="6" t="str">
        <v/>
      </c>
      <c r="AL1315" s="6" t="str">
        <v/>
      </c>
      <c r="AM1315" s="6" t="str">
        <v/>
      </c>
      <c r="AN1315" s="6" t="n">
        <f aca="false">FALSE()</f>
        <v>0</v>
      </c>
    </row>
    <row r="1316" customFormat="false" ht="52.5" hidden="false" customHeight="true" outlineLevel="0" collapsed="false">
      <c r="AJ1316" s="6" t="str">
        <v/>
      </c>
      <c r="AK1316" s="6" t="str">
        <v/>
      </c>
      <c r="AL1316" s="6" t="str">
        <v/>
      </c>
      <c r="AM1316" s="6" t="str">
        <v/>
      </c>
      <c r="AN1316" s="6" t="n">
        <f aca="false">FALSE()</f>
        <v>0</v>
      </c>
    </row>
    <row r="1317" customFormat="false" ht="52.5" hidden="false" customHeight="true" outlineLevel="0" collapsed="false">
      <c r="AJ1317" s="6" t="str">
        <v/>
      </c>
      <c r="AK1317" s="6" t="str">
        <v/>
      </c>
      <c r="AL1317" s="6" t="str">
        <v/>
      </c>
      <c r="AM1317" s="6" t="str">
        <v/>
      </c>
      <c r="AN1317" s="6" t="n">
        <f aca="false">FALSE()</f>
        <v>0</v>
      </c>
    </row>
    <row r="1318" customFormat="false" ht="52.5" hidden="false" customHeight="true" outlineLevel="0" collapsed="false">
      <c r="AJ1318" s="6" t="str">
        <v/>
      </c>
      <c r="AK1318" s="6" t="str">
        <v/>
      </c>
      <c r="AL1318" s="6" t="str">
        <v/>
      </c>
      <c r="AM1318" s="6" t="str">
        <v/>
      </c>
      <c r="AN1318" s="6" t="n">
        <f aca="false">FALSE()</f>
        <v>0</v>
      </c>
    </row>
    <row r="1319" customFormat="false" ht="52.5" hidden="false" customHeight="true" outlineLevel="0" collapsed="false">
      <c r="AJ1319" s="6" t="str">
        <v/>
      </c>
      <c r="AK1319" s="6" t="str">
        <v/>
      </c>
      <c r="AL1319" s="6" t="str">
        <v/>
      </c>
      <c r="AM1319" s="6" t="str">
        <v/>
      </c>
      <c r="AN1319" s="6" t="n">
        <f aca="false">FALSE()</f>
        <v>0</v>
      </c>
    </row>
    <row r="1320" customFormat="false" ht="52.5" hidden="false" customHeight="true" outlineLevel="0" collapsed="false">
      <c r="AJ1320" s="6" t="str">
        <v/>
      </c>
      <c r="AK1320" s="6" t="str">
        <v/>
      </c>
      <c r="AL1320" s="6" t="str">
        <v/>
      </c>
      <c r="AM1320" s="6" t="str">
        <v/>
      </c>
      <c r="AN1320" s="6" t="n">
        <f aca="false">FALSE()</f>
        <v>0</v>
      </c>
    </row>
    <row r="1321" customFormat="false" ht="52.5" hidden="false" customHeight="true" outlineLevel="0" collapsed="false">
      <c r="AJ1321" s="6" t="str">
        <v/>
      </c>
      <c r="AK1321" s="6" t="str">
        <v/>
      </c>
      <c r="AL1321" s="6" t="str">
        <v/>
      </c>
      <c r="AM1321" s="6" t="str">
        <v/>
      </c>
      <c r="AN1321" s="6" t="n">
        <f aca="false">FALSE()</f>
        <v>0</v>
      </c>
    </row>
    <row r="1322" customFormat="false" ht="52.5" hidden="false" customHeight="true" outlineLevel="0" collapsed="false">
      <c r="AJ1322" s="6" t="str">
        <v/>
      </c>
      <c r="AK1322" s="6" t="str">
        <v/>
      </c>
      <c r="AL1322" s="6" t="str">
        <v/>
      </c>
      <c r="AM1322" s="6" t="str">
        <v/>
      </c>
      <c r="AN1322" s="6" t="n">
        <f aca="false">FALSE()</f>
        <v>0</v>
      </c>
    </row>
    <row r="1323" customFormat="false" ht="52.5" hidden="false" customHeight="true" outlineLevel="0" collapsed="false">
      <c r="AJ1323" s="6" t="str">
        <v/>
      </c>
      <c r="AK1323" s="6" t="str">
        <v/>
      </c>
      <c r="AL1323" s="6" t="str">
        <v/>
      </c>
      <c r="AM1323" s="6" t="str">
        <v/>
      </c>
      <c r="AN1323" s="6" t="n">
        <f aca="false">FALSE()</f>
        <v>0</v>
      </c>
    </row>
    <row r="1324" customFormat="false" ht="52.5" hidden="false" customHeight="true" outlineLevel="0" collapsed="false">
      <c r="AJ1324" s="6" t="str">
        <v/>
      </c>
      <c r="AK1324" s="6" t="str">
        <v/>
      </c>
      <c r="AL1324" s="6" t="str">
        <v/>
      </c>
      <c r="AM1324" s="6" t="str">
        <v/>
      </c>
      <c r="AN1324" s="6" t="n">
        <f aca="false">FALSE()</f>
        <v>0</v>
      </c>
    </row>
    <row r="1325" customFormat="false" ht="52.5" hidden="false" customHeight="true" outlineLevel="0" collapsed="false">
      <c r="AJ1325" s="6" t="str">
        <v/>
      </c>
      <c r="AK1325" s="6" t="str">
        <v/>
      </c>
      <c r="AL1325" s="6" t="str">
        <v/>
      </c>
      <c r="AM1325" s="6" t="str">
        <v/>
      </c>
      <c r="AN1325" s="6" t="n">
        <f aca="false">FALSE()</f>
        <v>0</v>
      </c>
    </row>
    <row r="1326" customFormat="false" ht="52.5" hidden="false" customHeight="true" outlineLevel="0" collapsed="false">
      <c r="AJ1326" s="6" t="str">
        <v/>
      </c>
      <c r="AK1326" s="6" t="str">
        <v/>
      </c>
      <c r="AL1326" s="6" t="str">
        <v/>
      </c>
      <c r="AM1326" s="6" t="str">
        <v/>
      </c>
      <c r="AN1326" s="6" t="n">
        <f aca="false">FALSE()</f>
        <v>0</v>
      </c>
    </row>
    <row r="1327" customFormat="false" ht="52.5" hidden="false" customHeight="true" outlineLevel="0" collapsed="false">
      <c r="AJ1327" s="6" t="str">
        <v/>
      </c>
      <c r="AK1327" s="6" t="str">
        <v/>
      </c>
      <c r="AL1327" s="6" t="str">
        <v/>
      </c>
      <c r="AM1327" s="6" t="str">
        <v/>
      </c>
      <c r="AN1327" s="6" t="n">
        <f aca="false">FALSE()</f>
        <v>0</v>
      </c>
    </row>
    <row r="1328" customFormat="false" ht="52.5" hidden="false" customHeight="true" outlineLevel="0" collapsed="false">
      <c r="AJ1328" s="6" t="str">
        <v/>
      </c>
      <c r="AK1328" s="6" t="str">
        <v/>
      </c>
      <c r="AL1328" s="6" t="str">
        <v/>
      </c>
      <c r="AM1328" s="6" t="str">
        <v/>
      </c>
      <c r="AN1328" s="6" t="n">
        <f aca="false">FALSE()</f>
        <v>0</v>
      </c>
    </row>
    <row r="1329" customFormat="false" ht="52.5" hidden="false" customHeight="true" outlineLevel="0" collapsed="false">
      <c r="AJ1329" s="6" t="str">
        <v/>
      </c>
      <c r="AK1329" s="6" t="str">
        <v/>
      </c>
      <c r="AL1329" s="6" t="str">
        <v/>
      </c>
      <c r="AM1329" s="6" t="str">
        <v/>
      </c>
      <c r="AN1329" s="6" t="n">
        <f aca="false">FALSE()</f>
        <v>0</v>
      </c>
    </row>
    <row r="1330" customFormat="false" ht="52.5" hidden="false" customHeight="true" outlineLevel="0" collapsed="false">
      <c r="AJ1330" s="6" t="str">
        <v/>
      </c>
      <c r="AK1330" s="6" t="str">
        <v/>
      </c>
      <c r="AL1330" s="6" t="str">
        <v/>
      </c>
      <c r="AM1330" s="6" t="str">
        <v/>
      </c>
      <c r="AN1330" s="6" t="n">
        <f aca="false">FALSE()</f>
        <v>0</v>
      </c>
    </row>
    <row r="1331" customFormat="false" ht="52.5" hidden="false" customHeight="true" outlineLevel="0" collapsed="false">
      <c r="AJ1331" s="6" t="str">
        <v/>
      </c>
      <c r="AK1331" s="6" t="str">
        <v/>
      </c>
      <c r="AL1331" s="6" t="str">
        <v/>
      </c>
      <c r="AM1331" s="6" t="str">
        <v/>
      </c>
      <c r="AN1331" s="6" t="n">
        <f aca="false">FALSE()</f>
        <v>0</v>
      </c>
    </row>
    <row r="1332" customFormat="false" ht="52.5" hidden="false" customHeight="true" outlineLevel="0" collapsed="false">
      <c r="AJ1332" s="6" t="str">
        <v/>
      </c>
      <c r="AK1332" s="6" t="str">
        <v/>
      </c>
      <c r="AL1332" s="6" t="str">
        <v/>
      </c>
      <c r="AM1332" s="6" t="str">
        <v/>
      </c>
      <c r="AN1332" s="6" t="n">
        <f aca="false">FALSE()</f>
        <v>0</v>
      </c>
    </row>
    <row r="1333" customFormat="false" ht="52.5" hidden="false" customHeight="true" outlineLevel="0" collapsed="false">
      <c r="AJ1333" s="6" t="str">
        <v/>
      </c>
      <c r="AK1333" s="6" t="str">
        <v/>
      </c>
      <c r="AL1333" s="6" t="str">
        <v/>
      </c>
      <c r="AM1333" s="6" t="str">
        <v/>
      </c>
      <c r="AN1333" s="6" t="n">
        <f aca="false">FALSE()</f>
        <v>0</v>
      </c>
    </row>
    <row r="1334" customFormat="false" ht="52.5" hidden="false" customHeight="true" outlineLevel="0" collapsed="false">
      <c r="AJ1334" s="6" t="str">
        <v/>
      </c>
      <c r="AK1334" s="6" t="str">
        <v/>
      </c>
      <c r="AL1334" s="6" t="str">
        <v/>
      </c>
      <c r="AM1334" s="6" t="str">
        <v/>
      </c>
      <c r="AN1334" s="6" t="n">
        <f aca="false">FALSE()</f>
        <v>0</v>
      </c>
    </row>
    <row r="1335" customFormat="false" ht="52.5" hidden="false" customHeight="true" outlineLevel="0" collapsed="false">
      <c r="AJ1335" s="6" t="str">
        <v/>
      </c>
      <c r="AK1335" s="6" t="str">
        <v/>
      </c>
      <c r="AL1335" s="6" t="str">
        <v/>
      </c>
      <c r="AM1335" s="6" t="str">
        <v/>
      </c>
      <c r="AN1335" s="6" t="n">
        <f aca="false">FALSE()</f>
        <v>0</v>
      </c>
    </row>
    <row r="1336" customFormat="false" ht="52.5" hidden="false" customHeight="true" outlineLevel="0" collapsed="false">
      <c r="AJ1336" s="6" t="str">
        <v/>
      </c>
      <c r="AK1336" s="6" t="str">
        <v/>
      </c>
      <c r="AL1336" s="6" t="str">
        <v/>
      </c>
      <c r="AM1336" s="6" t="str">
        <v/>
      </c>
      <c r="AN1336" s="6" t="n">
        <f aca="false">FALSE()</f>
        <v>0</v>
      </c>
    </row>
    <row r="1337" customFormat="false" ht="52.5" hidden="false" customHeight="true" outlineLevel="0" collapsed="false">
      <c r="AJ1337" s="6" t="str">
        <v/>
      </c>
      <c r="AK1337" s="6" t="str">
        <v/>
      </c>
      <c r="AL1337" s="6" t="str">
        <v/>
      </c>
      <c r="AM1337" s="6" t="str">
        <v/>
      </c>
      <c r="AN1337" s="6" t="n">
        <f aca="false">FALSE()</f>
        <v>0</v>
      </c>
    </row>
    <row r="1338" customFormat="false" ht="52.5" hidden="false" customHeight="true" outlineLevel="0" collapsed="false">
      <c r="AJ1338" s="6" t="str">
        <v/>
      </c>
      <c r="AK1338" s="6" t="str">
        <v/>
      </c>
      <c r="AL1338" s="6" t="str">
        <v/>
      </c>
      <c r="AM1338" s="6" t="str">
        <v/>
      </c>
      <c r="AN1338" s="6" t="n">
        <f aca="false">FALSE()</f>
        <v>0</v>
      </c>
    </row>
    <row r="1339" customFormat="false" ht="52.5" hidden="false" customHeight="true" outlineLevel="0" collapsed="false">
      <c r="AJ1339" s="6" t="str">
        <v/>
      </c>
      <c r="AK1339" s="6" t="str">
        <v/>
      </c>
      <c r="AL1339" s="6" t="str">
        <v/>
      </c>
      <c r="AM1339" s="6" t="str">
        <v/>
      </c>
      <c r="AN1339" s="6" t="n">
        <f aca="false">FALSE()</f>
        <v>0</v>
      </c>
    </row>
    <row r="1340" customFormat="false" ht="52.5" hidden="false" customHeight="true" outlineLevel="0" collapsed="false">
      <c r="AJ1340" s="6" t="str">
        <v/>
      </c>
      <c r="AK1340" s="6" t="str">
        <v/>
      </c>
      <c r="AL1340" s="6" t="str">
        <v/>
      </c>
      <c r="AM1340" s="6" t="str">
        <v/>
      </c>
      <c r="AN1340" s="6" t="n">
        <f aca="false">FALSE()</f>
        <v>0</v>
      </c>
    </row>
    <row r="1341" customFormat="false" ht="52.5" hidden="false" customHeight="true" outlineLevel="0" collapsed="false">
      <c r="AJ1341" s="6" t="str">
        <v/>
      </c>
      <c r="AK1341" s="6" t="str">
        <v/>
      </c>
      <c r="AL1341" s="6" t="str">
        <v/>
      </c>
      <c r="AM1341" s="6" t="str">
        <v/>
      </c>
      <c r="AN1341" s="6" t="n">
        <f aca="false">FALSE()</f>
        <v>0</v>
      </c>
    </row>
    <row r="1342" customFormat="false" ht="52.5" hidden="false" customHeight="true" outlineLevel="0" collapsed="false">
      <c r="AJ1342" s="6" t="str">
        <v/>
      </c>
      <c r="AK1342" s="6" t="str">
        <v/>
      </c>
      <c r="AL1342" s="6" t="str">
        <v/>
      </c>
      <c r="AM1342" s="6" t="str">
        <v/>
      </c>
      <c r="AN1342" s="6" t="n">
        <f aca="false">FALSE()</f>
        <v>0</v>
      </c>
    </row>
    <row r="1343" customFormat="false" ht="52.5" hidden="false" customHeight="true" outlineLevel="0" collapsed="false">
      <c r="AJ1343" s="6" t="str">
        <v/>
      </c>
      <c r="AK1343" s="6" t="str">
        <v/>
      </c>
      <c r="AL1343" s="6" t="str">
        <v/>
      </c>
      <c r="AM1343" s="6" t="str">
        <v/>
      </c>
      <c r="AN1343" s="6" t="n">
        <f aca="false">FALSE()</f>
        <v>0</v>
      </c>
    </row>
    <row r="1344" customFormat="false" ht="52.5" hidden="false" customHeight="true" outlineLevel="0" collapsed="false">
      <c r="AJ1344" s="6" t="str">
        <v/>
      </c>
      <c r="AK1344" s="6" t="str">
        <v/>
      </c>
      <c r="AL1344" s="6" t="str">
        <v/>
      </c>
      <c r="AM1344" s="6" t="str">
        <v/>
      </c>
      <c r="AN1344" s="6" t="n">
        <f aca="false">FALSE()</f>
        <v>0</v>
      </c>
    </row>
    <row r="1345" customFormat="false" ht="52.5" hidden="false" customHeight="true" outlineLevel="0" collapsed="false">
      <c r="AJ1345" s="6" t="str">
        <v/>
      </c>
      <c r="AK1345" s="6" t="str">
        <v/>
      </c>
      <c r="AL1345" s="6" t="str">
        <v/>
      </c>
      <c r="AM1345" s="6" t="str">
        <v/>
      </c>
      <c r="AN1345" s="6" t="n">
        <f aca="false">FALSE()</f>
        <v>0</v>
      </c>
    </row>
    <row r="1346" customFormat="false" ht="52.5" hidden="false" customHeight="true" outlineLevel="0" collapsed="false">
      <c r="AJ1346" s="6" t="str">
        <v/>
      </c>
      <c r="AK1346" s="6" t="str">
        <v/>
      </c>
      <c r="AL1346" s="6" t="str">
        <v/>
      </c>
      <c r="AM1346" s="6" t="str">
        <v/>
      </c>
      <c r="AN1346" s="6" t="n">
        <f aca="false">FALSE()</f>
        <v>0</v>
      </c>
    </row>
    <row r="1347" customFormat="false" ht="52.5" hidden="false" customHeight="true" outlineLevel="0" collapsed="false">
      <c r="AJ1347" s="6" t="str">
        <v/>
      </c>
      <c r="AK1347" s="6" t="str">
        <v/>
      </c>
      <c r="AL1347" s="6" t="str">
        <v/>
      </c>
      <c r="AM1347" s="6" t="str">
        <v/>
      </c>
      <c r="AN1347" s="6" t="n">
        <f aca="false">FALSE()</f>
        <v>0</v>
      </c>
    </row>
    <row r="1348" customFormat="false" ht="52.5" hidden="false" customHeight="true" outlineLevel="0" collapsed="false">
      <c r="AJ1348" s="6" t="str">
        <v/>
      </c>
      <c r="AK1348" s="6" t="str">
        <v/>
      </c>
      <c r="AL1348" s="6" t="str">
        <v/>
      </c>
      <c r="AM1348" s="6" t="str">
        <v/>
      </c>
      <c r="AN1348" s="6" t="n">
        <f aca="false">FALSE()</f>
        <v>0</v>
      </c>
    </row>
    <row r="1349" customFormat="false" ht="52.5" hidden="false" customHeight="true" outlineLevel="0" collapsed="false">
      <c r="AJ1349" s="6" t="str">
        <v/>
      </c>
      <c r="AK1349" s="6" t="str">
        <v/>
      </c>
      <c r="AL1349" s="6" t="str">
        <v/>
      </c>
      <c r="AM1349" s="6" t="str">
        <v/>
      </c>
      <c r="AN1349" s="6" t="n">
        <f aca="false">FALSE()</f>
        <v>0</v>
      </c>
    </row>
    <row r="1350" customFormat="false" ht="52.5" hidden="false" customHeight="true" outlineLevel="0" collapsed="false">
      <c r="AJ1350" s="6" t="str">
        <v/>
      </c>
      <c r="AK1350" s="6" t="str">
        <v/>
      </c>
      <c r="AL1350" s="6" t="str">
        <v/>
      </c>
      <c r="AM1350" s="6" t="str">
        <v/>
      </c>
      <c r="AN1350" s="6" t="n">
        <f aca="false">FALSE()</f>
        <v>0</v>
      </c>
    </row>
    <row r="1351" customFormat="false" ht="52.5" hidden="false" customHeight="true" outlineLevel="0" collapsed="false">
      <c r="AJ1351" s="6" t="str">
        <v/>
      </c>
      <c r="AK1351" s="6" t="str">
        <v/>
      </c>
      <c r="AL1351" s="6" t="str">
        <v/>
      </c>
      <c r="AM1351" s="6" t="str">
        <v/>
      </c>
      <c r="AN1351" s="6" t="n">
        <f aca="false">FALSE()</f>
        <v>0</v>
      </c>
    </row>
    <row r="1352" customFormat="false" ht="52.5" hidden="false" customHeight="true" outlineLevel="0" collapsed="false">
      <c r="AJ1352" s="6" t="str">
        <v/>
      </c>
      <c r="AK1352" s="6" t="str">
        <v/>
      </c>
      <c r="AL1352" s="6" t="str">
        <v/>
      </c>
      <c r="AM1352" s="6" t="str">
        <v/>
      </c>
      <c r="AN1352" s="6" t="n">
        <f aca="false">FALSE()</f>
        <v>0</v>
      </c>
    </row>
    <row r="1353" customFormat="false" ht="52.5" hidden="false" customHeight="true" outlineLevel="0" collapsed="false">
      <c r="AJ1353" s="6" t="str">
        <v/>
      </c>
      <c r="AK1353" s="6" t="str">
        <v/>
      </c>
      <c r="AL1353" s="6" t="str">
        <v/>
      </c>
      <c r="AM1353" s="6" t="str">
        <v/>
      </c>
      <c r="AN1353" s="6" t="n">
        <f aca="false">FALSE()</f>
        <v>0</v>
      </c>
    </row>
    <row r="1354" customFormat="false" ht="52.5" hidden="false" customHeight="true" outlineLevel="0" collapsed="false">
      <c r="AJ1354" s="6" t="str">
        <v/>
      </c>
      <c r="AK1354" s="6" t="str">
        <v/>
      </c>
      <c r="AL1354" s="6" t="str">
        <v/>
      </c>
      <c r="AM1354" s="6" t="str">
        <v/>
      </c>
      <c r="AN1354" s="6" t="n">
        <f aca="false">FALSE()</f>
        <v>0</v>
      </c>
    </row>
    <row r="1355" customFormat="false" ht="52.5" hidden="false" customHeight="true" outlineLevel="0" collapsed="false">
      <c r="AJ1355" s="6" t="str">
        <v/>
      </c>
      <c r="AK1355" s="6" t="str">
        <v/>
      </c>
      <c r="AL1355" s="6" t="str">
        <v/>
      </c>
      <c r="AM1355" s="6" t="str">
        <v/>
      </c>
      <c r="AN1355" s="6" t="n">
        <f aca="false">FALSE()</f>
        <v>0</v>
      </c>
    </row>
    <row r="1356" customFormat="false" ht="52.5" hidden="false" customHeight="true" outlineLevel="0" collapsed="false">
      <c r="AJ1356" s="6" t="str">
        <v/>
      </c>
      <c r="AK1356" s="6" t="str">
        <v/>
      </c>
      <c r="AL1356" s="6" t="str">
        <v/>
      </c>
      <c r="AM1356" s="6" t="str">
        <v/>
      </c>
      <c r="AN1356" s="6" t="n">
        <f aca="false">FALSE()</f>
        <v>0</v>
      </c>
    </row>
    <row r="1357" customFormat="false" ht="52.5" hidden="false" customHeight="true" outlineLevel="0" collapsed="false">
      <c r="AJ1357" s="6" t="str">
        <v/>
      </c>
      <c r="AK1357" s="6" t="str">
        <v/>
      </c>
      <c r="AL1357" s="6" t="str">
        <v/>
      </c>
      <c r="AM1357" s="6" t="str">
        <v/>
      </c>
      <c r="AN1357" s="6" t="n">
        <f aca="false">FALSE()</f>
        <v>0</v>
      </c>
    </row>
    <row r="1358" customFormat="false" ht="52.5" hidden="false" customHeight="true" outlineLevel="0" collapsed="false">
      <c r="AJ1358" s="6" t="str">
        <v/>
      </c>
      <c r="AK1358" s="6" t="str">
        <v/>
      </c>
      <c r="AL1358" s="6" t="str">
        <v/>
      </c>
      <c r="AM1358" s="6" t="str">
        <v/>
      </c>
      <c r="AN1358" s="6" t="n">
        <f aca="false">FALSE()</f>
        <v>0</v>
      </c>
    </row>
    <row r="1359" customFormat="false" ht="52.5" hidden="false" customHeight="true" outlineLevel="0" collapsed="false">
      <c r="AJ1359" s="6" t="str">
        <v/>
      </c>
      <c r="AK1359" s="6" t="str">
        <v/>
      </c>
      <c r="AL1359" s="6" t="str">
        <v/>
      </c>
      <c r="AM1359" s="6" t="str">
        <v/>
      </c>
      <c r="AN1359" s="6" t="n">
        <f aca="false">FALSE()</f>
        <v>0</v>
      </c>
    </row>
    <row r="1360" customFormat="false" ht="52.5" hidden="false" customHeight="true" outlineLevel="0" collapsed="false">
      <c r="AJ1360" s="6" t="str">
        <v/>
      </c>
      <c r="AK1360" s="6" t="str">
        <v/>
      </c>
      <c r="AL1360" s="6" t="str">
        <v/>
      </c>
      <c r="AM1360" s="6" t="str">
        <v/>
      </c>
      <c r="AN1360" s="6" t="n">
        <f aca="false">FALSE()</f>
        <v>0</v>
      </c>
    </row>
    <row r="1361" customFormat="false" ht="52.5" hidden="false" customHeight="true" outlineLevel="0" collapsed="false">
      <c r="AJ1361" s="6" t="str">
        <v/>
      </c>
      <c r="AK1361" s="6" t="str">
        <v/>
      </c>
      <c r="AL1361" s="6" t="str">
        <v/>
      </c>
      <c r="AM1361" s="6" t="str">
        <v/>
      </c>
      <c r="AN1361" s="6" t="n">
        <f aca="false">FALSE()</f>
        <v>0</v>
      </c>
    </row>
    <row r="1362" customFormat="false" ht="52.5" hidden="false" customHeight="true" outlineLevel="0" collapsed="false">
      <c r="AJ1362" s="6" t="str">
        <v/>
      </c>
      <c r="AK1362" s="6" t="str">
        <v/>
      </c>
      <c r="AL1362" s="6" t="str">
        <v/>
      </c>
      <c r="AM1362" s="6" t="str">
        <v/>
      </c>
      <c r="AN1362" s="6" t="n">
        <f aca="false">FALSE()</f>
        <v>0</v>
      </c>
    </row>
    <row r="1363" customFormat="false" ht="52.5" hidden="false" customHeight="true" outlineLevel="0" collapsed="false">
      <c r="AJ1363" s="6" t="str">
        <v/>
      </c>
      <c r="AK1363" s="6" t="str">
        <v/>
      </c>
      <c r="AL1363" s="6" t="str">
        <v/>
      </c>
      <c r="AM1363" s="6" t="str">
        <v/>
      </c>
      <c r="AN1363" s="6" t="n">
        <f aca="false">FALSE()</f>
        <v>0</v>
      </c>
    </row>
    <row r="1364" customFormat="false" ht="52.5" hidden="false" customHeight="true" outlineLevel="0" collapsed="false">
      <c r="AJ1364" s="6" t="str">
        <v/>
      </c>
      <c r="AK1364" s="6" t="str">
        <v/>
      </c>
      <c r="AL1364" s="6" t="str">
        <v/>
      </c>
      <c r="AM1364" s="6" t="str">
        <v/>
      </c>
      <c r="AN1364" s="6" t="n">
        <f aca="false">FALSE()</f>
        <v>0</v>
      </c>
    </row>
    <row r="1365" customFormat="false" ht="52.5" hidden="false" customHeight="true" outlineLevel="0" collapsed="false">
      <c r="AJ1365" s="6" t="str">
        <v/>
      </c>
      <c r="AK1365" s="6" t="str">
        <v/>
      </c>
      <c r="AL1365" s="6" t="str">
        <v/>
      </c>
      <c r="AM1365" s="6" t="str">
        <v/>
      </c>
      <c r="AN1365" s="6" t="n">
        <f aca="false">FALSE()</f>
        <v>0</v>
      </c>
    </row>
    <row r="1366" customFormat="false" ht="52.5" hidden="false" customHeight="true" outlineLevel="0" collapsed="false">
      <c r="AJ1366" s="6" t="str">
        <v/>
      </c>
      <c r="AK1366" s="6" t="str">
        <v/>
      </c>
      <c r="AL1366" s="6" t="str">
        <v/>
      </c>
      <c r="AM1366" s="6" t="str">
        <v/>
      </c>
      <c r="AN1366" s="6" t="n">
        <f aca="false">FALSE()</f>
        <v>0</v>
      </c>
    </row>
    <row r="1367" customFormat="false" ht="52.5" hidden="false" customHeight="true" outlineLevel="0" collapsed="false">
      <c r="AJ1367" s="6" t="str">
        <v/>
      </c>
      <c r="AK1367" s="6" t="str">
        <v/>
      </c>
      <c r="AL1367" s="6" t="str">
        <v/>
      </c>
      <c r="AM1367" s="6" t="str">
        <v/>
      </c>
      <c r="AN1367" s="6" t="n">
        <f aca="false">FALSE()</f>
        <v>0</v>
      </c>
    </row>
    <row r="1368" customFormat="false" ht="52.5" hidden="false" customHeight="true" outlineLevel="0" collapsed="false">
      <c r="AJ1368" s="6" t="str">
        <v/>
      </c>
      <c r="AK1368" s="6" t="str">
        <v/>
      </c>
      <c r="AL1368" s="6" t="str">
        <v/>
      </c>
      <c r="AM1368" s="6" t="str">
        <v/>
      </c>
      <c r="AN1368" s="6" t="n">
        <f aca="false">FALSE()</f>
        <v>0</v>
      </c>
    </row>
    <row r="1369" customFormat="false" ht="52.5" hidden="false" customHeight="true" outlineLevel="0" collapsed="false">
      <c r="AJ1369" s="6" t="str">
        <v/>
      </c>
      <c r="AK1369" s="6" t="str">
        <v/>
      </c>
      <c r="AL1369" s="6" t="str">
        <v/>
      </c>
      <c r="AM1369" s="6" t="str">
        <v/>
      </c>
      <c r="AN1369" s="6" t="n">
        <f aca="false">FALSE()</f>
        <v>0</v>
      </c>
    </row>
    <row r="1370" customFormat="false" ht="52.5" hidden="false" customHeight="true" outlineLevel="0" collapsed="false">
      <c r="AJ1370" s="6" t="str">
        <v/>
      </c>
      <c r="AK1370" s="6" t="str">
        <v/>
      </c>
      <c r="AL1370" s="6" t="str">
        <v/>
      </c>
      <c r="AM1370" s="6" t="str">
        <v/>
      </c>
      <c r="AN1370" s="6" t="n">
        <f aca="false">FALSE()</f>
        <v>0</v>
      </c>
    </row>
    <row r="1371" customFormat="false" ht="52.5" hidden="false" customHeight="true" outlineLevel="0" collapsed="false">
      <c r="AJ1371" s="6" t="str">
        <v/>
      </c>
      <c r="AK1371" s="6" t="str">
        <v/>
      </c>
      <c r="AL1371" s="6" t="str">
        <v/>
      </c>
      <c r="AM1371" s="6" t="str">
        <v/>
      </c>
      <c r="AN1371" s="6" t="n">
        <f aca="false">FALSE()</f>
        <v>0</v>
      </c>
    </row>
    <row r="1372" customFormat="false" ht="52.5" hidden="false" customHeight="true" outlineLevel="0" collapsed="false">
      <c r="AJ1372" s="6" t="str">
        <v/>
      </c>
      <c r="AK1372" s="6" t="str">
        <v/>
      </c>
      <c r="AL1372" s="6" t="str">
        <v/>
      </c>
      <c r="AM1372" s="6" t="str">
        <v/>
      </c>
      <c r="AN1372" s="6" t="n">
        <f aca="false">FALSE()</f>
        <v>0</v>
      </c>
    </row>
    <row r="1373" customFormat="false" ht="52.5" hidden="false" customHeight="true" outlineLevel="0" collapsed="false">
      <c r="AJ1373" s="6" t="str">
        <v/>
      </c>
      <c r="AK1373" s="6" t="str">
        <v/>
      </c>
      <c r="AL1373" s="6" t="str">
        <v/>
      </c>
      <c r="AM1373" s="6" t="str">
        <v/>
      </c>
      <c r="AN1373" s="6" t="n">
        <f aca="false">FALSE()</f>
        <v>0</v>
      </c>
    </row>
    <row r="1374" customFormat="false" ht="52.5" hidden="false" customHeight="true" outlineLevel="0" collapsed="false">
      <c r="AJ1374" s="6" t="str">
        <v/>
      </c>
      <c r="AK1374" s="6" t="str">
        <v/>
      </c>
      <c r="AL1374" s="6" t="str">
        <v/>
      </c>
      <c r="AM1374" s="6" t="str">
        <v/>
      </c>
      <c r="AN1374" s="6" t="n">
        <f aca="false">FALSE()</f>
        <v>0</v>
      </c>
    </row>
    <row r="1375" customFormat="false" ht="52.5" hidden="false" customHeight="true" outlineLevel="0" collapsed="false">
      <c r="AJ1375" s="6" t="str">
        <v/>
      </c>
      <c r="AK1375" s="6" t="str">
        <v/>
      </c>
      <c r="AL1375" s="6" t="str">
        <v/>
      </c>
      <c r="AM1375" s="6" t="str">
        <v/>
      </c>
      <c r="AN1375" s="6" t="n">
        <f aca="false">FALSE()</f>
        <v>0</v>
      </c>
    </row>
    <row r="1376" customFormat="false" ht="52.5" hidden="false" customHeight="true" outlineLevel="0" collapsed="false">
      <c r="AJ1376" s="6" t="str">
        <v/>
      </c>
      <c r="AK1376" s="6" t="str">
        <v/>
      </c>
      <c r="AL1376" s="6" t="str">
        <v/>
      </c>
      <c r="AM1376" s="6" t="str">
        <v/>
      </c>
      <c r="AN1376" s="6" t="n">
        <f aca="false">FALSE()</f>
        <v>0</v>
      </c>
    </row>
    <row r="1377" customFormat="false" ht="52.5" hidden="false" customHeight="true" outlineLevel="0" collapsed="false">
      <c r="AJ1377" s="6" t="str">
        <v/>
      </c>
      <c r="AK1377" s="6" t="str">
        <v/>
      </c>
      <c r="AL1377" s="6" t="str">
        <v/>
      </c>
      <c r="AM1377" s="6" t="str">
        <v/>
      </c>
      <c r="AN1377" s="6" t="n">
        <f aca="false">FALSE()</f>
        <v>0</v>
      </c>
    </row>
    <row r="1378" customFormat="false" ht="52.5" hidden="false" customHeight="true" outlineLevel="0" collapsed="false">
      <c r="AJ1378" s="6" t="str">
        <v/>
      </c>
      <c r="AK1378" s="6" t="str">
        <v/>
      </c>
      <c r="AL1378" s="6" t="str">
        <v/>
      </c>
      <c r="AM1378" s="6" t="str">
        <v/>
      </c>
      <c r="AN1378" s="6" t="n">
        <f aca="false">FALSE()</f>
        <v>0</v>
      </c>
    </row>
    <row r="1379" customFormat="false" ht="52.5" hidden="false" customHeight="true" outlineLevel="0" collapsed="false">
      <c r="AJ1379" s="6" t="str">
        <v/>
      </c>
      <c r="AK1379" s="6" t="str">
        <v/>
      </c>
      <c r="AL1379" s="6" t="str">
        <v/>
      </c>
      <c r="AM1379" s="6" t="str">
        <v/>
      </c>
      <c r="AN1379" s="6" t="n">
        <f aca="false">FALSE()</f>
        <v>0</v>
      </c>
    </row>
    <row r="1380" customFormat="false" ht="52.5" hidden="false" customHeight="true" outlineLevel="0" collapsed="false">
      <c r="AJ1380" s="6" t="str">
        <v/>
      </c>
      <c r="AK1380" s="6" t="str">
        <v/>
      </c>
      <c r="AL1380" s="6" t="str">
        <v/>
      </c>
      <c r="AM1380" s="6" t="str">
        <v/>
      </c>
      <c r="AN1380" s="6" t="n">
        <f aca="false">FALSE()</f>
        <v>0</v>
      </c>
    </row>
    <row r="1381" customFormat="false" ht="52.5" hidden="false" customHeight="true" outlineLevel="0" collapsed="false">
      <c r="AJ1381" s="6" t="str">
        <v/>
      </c>
      <c r="AK1381" s="6" t="str">
        <v/>
      </c>
      <c r="AL1381" s="6" t="str">
        <v/>
      </c>
      <c r="AM1381" s="6" t="str">
        <v/>
      </c>
      <c r="AN1381" s="6" t="n">
        <f aca="false">FALSE()</f>
        <v>0</v>
      </c>
    </row>
    <row r="1382" customFormat="false" ht="52.5" hidden="false" customHeight="true" outlineLevel="0" collapsed="false">
      <c r="AJ1382" s="6" t="str">
        <v/>
      </c>
      <c r="AK1382" s="6" t="str">
        <v/>
      </c>
      <c r="AL1382" s="6" t="str">
        <v/>
      </c>
      <c r="AM1382" s="6" t="str">
        <v/>
      </c>
      <c r="AN1382" s="6" t="n">
        <f aca="false">FALSE()</f>
        <v>0</v>
      </c>
    </row>
    <row r="1383" customFormat="false" ht="52.5" hidden="false" customHeight="true" outlineLevel="0" collapsed="false">
      <c r="AJ1383" s="6" t="str">
        <v/>
      </c>
      <c r="AK1383" s="6" t="str">
        <v/>
      </c>
      <c r="AL1383" s="6" t="str">
        <v/>
      </c>
      <c r="AM1383" s="6" t="str">
        <v/>
      </c>
      <c r="AN1383" s="6" t="n">
        <f aca="false">FALSE()</f>
        <v>0</v>
      </c>
    </row>
    <row r="1384" customFormat="false" ht="52.5" hidden="false" customHeight="true" outlineLevel="0" collapsed="false">
      <c r="AJ1384" s="6" t="str">
        <v/>
      </c>
      <c r="AK1384" s="6" t="str">
        <v/>
      </c>
      <c r="AL1384" s="6" t="str">
        <v/>
      </c>
      <c r="AM1384" s="6" t="str">
        <v/>
      </c>
      <c r="AN1384" s="6" t="n">
        <f aca="false">FALSE()</f>
        <v>0</v>
      </c>
    </row>
    <row r="1385" customFormat="false" ht="52.5" hidden="false" customHeight="true" outlineLevel="0" collapsed="false">
      <c r="AJ1385" s="6" t="str">
        <v/>
      </c>
      <c r="AK1385" s="6" t="str">
        <v/>
      </c>
      <c r="AL1385" s="6" t="str">
        <v/>
      </c>
      <c r="AM1385" s="6" t="str">
        <v/>
      </c>
      <c r="AN1385" s="6" t="n">
        <f aca="false">FALSE()</f>
        <v>0</v>
      </c>
    </row>
    <row r="1386" customFormat="false" ht="52.5" hidden="false" customHeight="true" outlineLevel="0" collapsed="false">
      <c r="AJ1386" s="6" t="str">
        <v/>
      </c>
      <c r="AK1386" s="6" t="str">
        <v/>
      </c>
      <c r="AL1386" s="6" t="str">
        <v/>
      </c>
      <c r="AM1386" s="6" t="str">
        <v/>
      </c>
      <c r="AN1386" s="6" t="n">
        <f aca="false">FALSE()</f>
        <v>0</v>
      </c>
    </row>
    <row r="1387" customFormat="false" ht="52.5" hidden="false" customHeight="true" outlineLevel="0" collapsed="false">
      <c r="AJ1387" s="6" t="str">
        <v/>
      </c>
      <c r="AK1387" s="6" t="str">
        <v/>
      </c>
      <c r="AL1387" s="6" t="str">
        <v/>
      </c>
      <c r="AM1387" s="6" t="str">
        <v/>
      </c>
      <c r="AN1387" s="6" t="n">
        <f aca="false">FALSE()</f>
        <v>0</v>
      </c>
    </row>
    <row r="1388" customFormat="false" ht="52.5" hidden="false" customHeight="true" outlineLevel="0" collapsed="false">
      <c r="AJ1388" s="6" t="str">
        <v/>
      </c>
      <c r="AK1388" s="6" t="str">
        <v/>
      </c>
      <c r="AL1388" s="6" t="str">
        <v/>
      </c>
      <c r="AM1388" s="6" t="str">
        <v/>
      </c>
      <c r="AN1388" s="6" t="n">
        <f aca="false">FALSE()</f>
        <v>0</v>
      </c>
    </row>
    <row r="1389" customFormat="false" ht="52.5" hidden="false" customHeight="true" outlineLevel="0" collapsed="false">
      <c r="AJ1389" s="6" t="str">
        <v/>
      </c>
      <c r="AK1389" s="6" t="str">
        <v/>
      </c>
      <c r="AL1389" s="6" t="str">
        <v/>
      </c>
      <c r="AM1389" s="6" t="str">
        <v/>
      </c>
      <c r="AN1389" s="6" t="n">
        <f aca="false">FALSE()</f>
        <v>0</v>
      </c>
    </row>
    <row r="1390" customFormat="false" ht="52.5" hidden="false" customHeight="true" outlineLevel="0" collapsed="false">
      <c r="AJ1390" s="6" t="str">
        <v/>
      </c>
      <c r="AK1390" s="6" t="str">
        <v/>
      </c>
      <c r="AL1390" s="6" t="str">
        <v/>
      </c>
      <c r="AM1390" s="6" t="str">
        <v/>
      </c>
      <c r="AN1390" s="6" t="n">
        <f aca="false">FALSE()</f>
        <v>0</v>
      </c>
    </row>
    <row r="1391" customFormat="false" ht="52.5" hidden="false" customHeight="true" outlineLevel="0" collapsed="false">
      <c r="AJ1391" s="6" t="str">
        <v/>
      </c>
      <c r="AK1391" s="6" t="str">
        <v/>
      </c>
      <c r="AL1391" s="6" t="str">
        <v/>
      </c>
      <c r="AM1391" s="6" t="str">
        <v/>
      </c>
      <c r="AN1391" s="6" t="n">
        <f aca="false">FALSE()</f>
        <v>0</v>
      </c>
    </row>
    <row r="1392" customFormat="false" ht="52.5" hidden="false" customHeight="true" outlineLevel="0" collapsed="false">
      <c r="AJ1392" s="6" t="str">
        <v/>
      </c>
      <c r="AK1392" s="6" t="str">
        <v/>
      </c>
      <c r="AL1392" s="6" t="str">
        <v/>
      </c>
      <c r="AM1392" s="6" t="str">
        <v/>
      </c>
      <c r="AN1392" s="6" t="n">
        <f aca="false">FALSE()</f>
        <v>0</v>
      </c>
    </row>
    <row r="1393" customFormat="false" ht="52.5" hidden="false" customHeight="true" outlineLevel="0" collapsed="false">
      <c r="AJ1393" s="6" t="str">
        <v/>
      </c>
      <c r="AK1393" s="6" t="str">
        <v/>
      </c>
      <c r="AL1393" s="6" t="str">
        <v/>
      </c>
      <c r="AM1393" s="6" t="str">
        <v/>
      </c>
      <c r="AN1393" s="6" t="n">
        <f aca="false">FALSE()</f>
        <v>0</v>
      </c>
    </row>
    <row r="1394" customFormat="false" ht="52.5" hidden="false" customHeight="true" outlineLevel="0" collapsed="false">
      <c r="AJ1394" s="6" t="str">
        <v/>
      </c>
      <c r="AK1394" s="6" t="str">
        <v/>
      </c>
      <c r="AL1394" s="6" t="str">
        <v/>
      </c>
      <c r="AM1394" s="6" t="str">
        <v/>
      </c>
      <c r="AN1394" s="6" t="n">
        <f aca="false">FALSE()</f>
        <v>0</v>
      </c>
    </row>
    <row r="1395" customFormat="false" ht="52.5" hidden="false" customHeight="true" outlineLevel="0" collapsed="false">
      <c r="AJ1395" s="6" t="str">
        <v/>
      </c>
      <c r="AK1395" s="6" t="str">
        <v/>
      </c>
      <c r="AL1395" s="6" t="str">
        <v/>
      </c>
      <c r="AM1395" s="6" t="str">
        <v/>
      </c>
      <c r="AN1395" s="6" t="n">
        <f aca="false">FALSE()</f>
        <v>0</v>
      </c>
    </row>
    <row r="1396" customFormat="false" ht="52.5" hidden="false" customHeight="true" outlineLevel="0" collapsed="false">
      <c r="AJ1396" s="6" t="str">
        <v/>
      </c>
      <c r="AK1396" s="6" t="str">
        <v/>
      </c>
      <c r="AL1396" s="6" t="str">
        <v/>
      </c>
      <c r="AM1396" s="6" t="str">
        <v/>
      </c>
      <c r="AN1396" s="6" t="n">
        <f aca="false">FALSE()</f>
        <v>0</v>
      </c>
    </row>
    <row r="1397" customFormat="false" ht="52.5" hidden="false" customHeight="true" outlineLevel="0" collapsed="false">
      <c r="AJ1397" s="6" t="str">
        <v/>
      </c>
      <c r="AK1397" s="6" t="str">
        <v/>
      </c>
      <c r="AL1397" s="6" t="str">
        <v/>
      </c>
      <c r="AM1397" s="6" t="str">
        <v/>
      </c>
      <c r="AN1397" s="6" t="n">
        <f aca="false">FALSE()</f>
        <v>0</v>
      </c>
    </row>
    <row r="1398" customFormat="false" ht="52.5" hidden="false" customHeight="true" outlineLevel="0" collapsed="false">
      <c r="AJ1398" s="6" t="str">
        <v/>
      </c>
      <c r="AK1398" s="6" t="str">
        <v/>
      </c>
      <c r="AL1398" s="6" t="str">
        <v/>
      </c>
      <c r="AM1398" s="6" t="str">
        <v/>
      </c>
      <c r="AN1398" s="6" t="n">
        <f aca="false">FALSE()</f>
        <v>0</v>
      </c>
    </row>
    <row r="1399" customFormat="false" ht="52.5" hidden="false" customHeight="true" outlineLevel="0" collapsed="false">
      <c r="AJ1399" s="6" t="str">
        <v/>
      </c>
      <c r="AK1399" s="6" t="str">
        <v/>
      </c>
      <c r="AL1399" s="6" t="str">
        <v/>
      </c>
      <c r="AM1399" s="6" t="str">
        <v/>
      </c>
      <c r="AN1399" s="6" t="n">
        <f aca="false">FALSE()</f>
        <v>0</v>
      </c>
    </row>
    <row r="1400" customFormat="false" ht="52.5" hidden="false" customHeight="true" outlineLevel="0" collapsed="false">
      <c r="AJ1400" s="6" t="str">
        <v/>
      </c>
      <c r="AK1400" s="6" t="str">
        <v/>
      </c>
      <c r="AL1400" s="6" t="str">
        <v/>
      </c>
      <c r="AM1400" s="6" t="str">
        <v/>
      </c>
      <c r="AN1400" s="6" t="n">
        <f aca="false">FALSE()</f>
        <v>0</v>
      </c>
    </row>
    <row r="1401" customFormat="false" ht="52.5" hidden="false" customHeight="true" outlineLevel="0" collapsed="false">
      <c r="AJ1401" s="6" t="str">
        <v/>
      </c>
      <c r="AK1401" s="6" t="str">
        <v/>
      </c>
      <c r="AL1401" s="6" t="str">
        <v/>
      </c>
      <c r="AM1401" s="6" t="str">
        <v/>
      </c>
      <c r="AN1401" s="6" t="n">
        <f aca="false">FALSE()</f>
        <v>0</v>
      </c>
    </row>
    <row r="1402" customFormat="false" ht="52.5" hidden="false" customHeight="true" outlineLevel="0" collapsed="false">
      <c r="AJ1402" s="6" t="str">
        <v/>
      </c>
      <c r="AK1402" s="6" t="str">
        <v/>
      </c>
      <c r="AL1402" s="6" t="str">
        <v/>
      </c>
      <c r="AM1402" s="6" t="str">
        <v/>
      </c>
      <c r="AN1402" s="6" t="n">
        <f aca="false">FALSE()</f>
        <v>0</v>
      </c>
    </row>
    <row r="1403" customFormat="false" ht="52.5" hidden="false" customHeight="true" outlineLevel="0" collapsed="false">
      <c r="AJ1403" s="6" t="str">
        <v/>
      </c>
      <c r="AK1403" s="6" t="str">
        <v/>
      </c>
      <c r="AL1403" s="6" t="str">
        <v/>
      </c>
      <c r="AM1403" s="6" t="str">
        <v/>
      </c>
      <c r="AN1403" s="6" t="n">
        <f aca="false">FALSE()</f>
        <v>0</v>
      </c>
    </row>
    <row r="1404" customFormat="false" ht="52.5" hidden="false" customHeight="true" outlineLevel="0" collapsed="false">
      <c r="AJ1404" s="6" t="str">
        <v/>
      </c>
      <c r="AK1404" s="6" t="str">
        <v/>
      </c>
      <c r="AL1404" s="6" t="str">
        <v/>
      </c>
      <c r="AM1404" s="6" t="str">
        <v/>
      </c>
      <c r="AN1404" s="6" t="n">
        <f aca="false">FALSE()</f>
        <v>0</v>
      </c>
    </row>
    <row r="1405" customFormat="false" ht="52.5" hidden="false" customHeight="true" outlineLevel="0" collapsed="false">
      <c r="AJ1405" s="6" t="str">
        <v/>
      </c>
      <c r="AK1405" s="6" t="str">
        <v/>
      </c>
      <c r="AL1405" s="6" t="str">
        <v/>
      </c>
      <c r="AM1405" s="6" t="str">
        <v/>
      </c>
      <c r="AN1405" s="6" t="n">
        <f aca="false">FALSE()</f>
        <v>0</v>
      </c>
    </row>
    <row r="1406" customFormat="false" ht="52.5" hidden="false" customHeight="true" outlineLevel="0" collapsed="false">
      <c r="AJ1406" s="6" t="str">
        <v/>
      </c>
      <c r="AK1406" s="6" t="str">
        <v/>
      </c>
      <c r="AL1406" s="6" t="str">
        <v/>
      </c>
      <c r="AM1406" s="6" t="str">
        <v/>
      </c>
      <c r="AN1406" s="6" t="n">
        <f aca="false">FALSE()</f>
        <v>0</v>
      </c>
    </row>
    <row r="1407" customFormat="false" ht="52.5" hidden="false" customHeight="true" outlineLevel="0" collapsed="false">
      <c r="AJ1407" s="6" t="str">
        <v/>
      </c>
      <c r="AK1407" s="6" t="str">
        <v/>
      </c>
      <c r="AL1407" s="6" t="str">
        <v/>
      </c>
      <c r="AM1407" s="6" t="str">
        <v/>
      </c>
      <c r="AN1407" s="6" t="n">
        <f aca="false">FALSE()</f>
        <v>0</v>
      </c>
    </row>
    <row r="1408" customFormat="false" ht="52.5" hidden="false" customHeight="true" outlineLevel="0" collapsed="false">
      <c r="AJ1408" s="6" t="str">
        <v/>
      </c>
      <c r="AK1408" s="6" t="str">
        <v/>
      </c>
      <c r="AL1408" s="6" t="str">
        <v/>
      </c>
      <c r="AM1408" s="6" t="str">
        <v/>
      </c>
      <c r="AN1408" s="6" t="n">
        <f aca="false">FALSE()</f>
        <v>0</v>
      </c>
    </row>
    <row r="1409" customFormat="false" ht="52.5" hidden="false" customHeight="true" outlineLevel="0" collapsed="false">
      <c r="AJ1409" s="6" t="str">
        <v/>
      </c>
      <c r="AK1409" s="6" t="str">
        <v/>
      </c>
      <c r="AL1409" s="6" t="str">
        <v/>
      </c>
      <c r="AM1409" s="6" t="str">
        <v/>
      </c>
      <c r="AN1409" s="6" t="n">
        <f aca="false">FALSE()</f>
        <v>0</v>
      </c>
    </row>
    <row r="1410" customFormat="false" ht="52.5" hidden="false" customHeight="true" outlineLevel="0" collapsed="false">
      <c r="AJ1410" s="6" t="str">
        <v/>
      </c>
      <c r="AK1410" s="6" t="str">
        <v/>
      </c>
      <c r="AL1410" s="6" t="str">
        <v/>
      </c>
      <c r="AM1410" s="6" t="str">
        <v/>
      </c>
      <c r="AN1410" s="6" t="n">
        <f aca="false">FALSE()</f>
        <v>0</v>
      </c>
    </row>
    <row r="1411" customFormat="false" ht="52.5" hidden="false" customHeight="true" outlineLevel="0" collapsed="false">
      <c r="AJ1411" s="6" t="str">
        <v/>
      </c>
      <c r="AK1411" s="6" t="str">
        <v/>
      </c>
      <c r="AL1411" s="6" t="str">
        <v/>
      </c>
      <c r="AM1411" s="6" t="str">
        <v/>
      </c>
      <c r="AN1411" s="6" t="n">
        <f aca="false">FALSE()</f>
        <v>0</v>
      </c>
    </row>
    <row r="1412" customFormat="false" ht="52.5" hidden="false" customHeight="true" outlineLevel="0" collapsed="false">
      <c r="AJ1412" s="6" t="str">
        <v/>
      </c>
      <c r="AK1412" s="6" t="str">
        <v/>
      </c>
      <c r="AL1412" s="6" t="str">
        <v/>
      </c>
      <c r="AM1412" s="6" t="str">
        <v/>
      </c>
      <c r="AN1412" s="6" t="n">
        <f aca="false">FALSE()</f>
        <v>0</v>
      </c>
    </row>
    <row r="1413" customFormat="false" ht="52.5" hidden="false" customHeight="true" outlineLevel="0" collapsed="false">
      <c r="AJ1413" s="6" t="str">
        <v/>
      </c>
      <c r="AK1413" s="6" t="str">
        <v/>
      </c>
      <c r="AL1413" s="6" t="str">
        <v/>
      </c>
      <c r="AM1413" s="6" t="str">
        <v/>
      </c>
      <c r="AN1413" s="6" t="n">
        <f aca="false">FALSE()</f>
        <v>0</v>
      </c>
    </row>
    <row r="1414" customFormat="false" ht="52.5" hidden="false" customHeight="true" outlineLevel="0" collapsed="false">
      <c r="AJ1414" s="6" t="str">
        <v/>
      </c>
      <c r="AK1414" s="6" t="str">
        <v/>
      </c>
      <c r="AL1414" s="6" t="str">
        <v/>
      </c>
      <c r="AM1414" s="6" t="str">
        <v/>
      </c>
      <c r="AN1414" s="6" t="n">
        <f aca="false">FALSE()</f>
        <v>0</v>
      </c>
    </row>
    <row r="1415" customFormat="false" ht="52.5" hidden="false" customHeight="true" outlineLevel="0" collapsed="false">
      <c r="AJ1415" s="6" t="str">
        <v/>
      </c>
      <c r="AK1415" s="6" t="str">
        <v/>
      </c>
      <c r="AL1415" s="6" t="str">
        <v/>
      </c>
      <c r="AM1415" s="6" t="str">
        <v/>
      </c>
      <c r="AN1415" s="6" t="n">
        <f aca="false">FALSE()</f>
        <v>0</v>
      </c>
    </row>
    <row r="1416" customFormat="false" ht="52.5" hidden="false" customHeight="true" outlineLevel="0" collapsed="false">
      <c r="AJ1416" s="6" t="str">
        <v/>
      </c>
      <c r="AK1416" s="6" t="str">
        <v/>
      </c>
      <c r="AL1416" s="6" t="str">
        <v/>
      </c>
      <c r="AM1416" s="6" t="str">
        <v/>
      </c>
      <c r="AN1416" s="6" t="n">
        <f aca="false">FALSE()</f>
        <v>0</v>
      </c>
    </row>
    <row r="1417" customFormat="false" ht="52.5" hidden="false" customHeight="true" outlineLevel="0" collapsed="false">
      <c r="AJ1417" s="6" t="str">
        <v/>
      </c>
      <c r="AK1417" s="6" t="str">
        <v/>
      </c>
      <c r="AL1417" s="6" t="str">
        <v/>
      </c>
      <c r="AM1417" s="6" t="str">
        <v/>
      </c>
      <c r="AN1417" s="6" t="n">
        <f aca="false">FALSE()</f>
        <v>0</v>
      </c>
    </row>
    <row r="1418" customFormat="false" ht="52.5" hidden="false" customHeight="true" outlineLevel="0" collapsed="false">
      <c r="AJ1418" s="6" t="str">
        <v/>
      </c>
      <c r="AK1418" s="6" t="str">
        <v/>
      </c>
      <c r="AL1418" s="6" t="str">
        <v/>
      </c>
      <c r="AM1418" s="6" t="str">
        <v/>
      </c>
      <c r="AN1418" s="6" t="n">
        <f aca="false">FALSE()</f>
        <v>0</v>
      </c>
    </row>
    <row r="1419" customFormat="false" ht="52.5" hidden="false" customHeight="true" outlineLevel="0" collapsed="false">
      <c r="AJ1419" s="6" t="str">
        <v/>
      </c>
      <c r="AK1419" s="6" t="str">
        <v/>
      </c>
      <c r="AL1419" s="6" t="str">
        <v/>
      </c>
      <c r="AM1419" s="6" t="str">
        <v/>
      </c>
      <c r="AN1419" s="6" t="n">
        <f aca="false">FALSE()</f>
        <v>0</v>
      </c>
    </row>
    <row r="1420" customFormat="false" ht="52.5" hidden="false" customHeight="true" outlineLevel="0" collapsed="false">
      <c r="AJ1420" s="6" t="str">
        <v/>
      </c>
      <c r="AK1420" s="6" t="str">
        <v/>
      </c>
      <c r="AL1420" s="6" t="str">
        <v/>
      </c>
      <c r="AM1420" s="6" t="str">
        <v/>
      </c>
      <c r="AN1420" s="6" t="n">
        <f aca="false">FALSE()</f>
        <v>0</v>
      </c>
    </row>
    <row r="1421" customFormat="false" ht="52.5" hidden="false" customHeight="true" outlineLevel="0" collapsed="false">
      <c r="AJ1421" s="6" t="str">
        <v/>
      </c>
      <c r="AK1421" s="6" t="str">
        <v/>
      </c>
      <c r="AL1421" s="6" t="str">
        <v/>
      </c>
      <c r="AM1421" s="6" t="str">
        <v/>
      </c>
      <c r="AN1421" s="6" t="n">
        <f aca="false">FALSE()</f>
        <v>0</v>
      </c>
    </row>
    <row r="1422" customFormat="false" ht="52.5" hidden="false" customHeight="true" outlineLevel="0" collapsed="false">
      <c r="AJ1422" s="6" t="str">
        <v/>
      </c>
      <c r="AK1422" s="6" t="str">
        <v/>
      </c>
      <c r="AL1422" s="6" t="str">
        <v/>
      </c>
      <c r="AM1422" s="6" t="str">
        <v/>
      </c>
      <c r="AN1422" s="6" t="n">
        <f aca="false">FALSE()</f>
        <v>0</v>
      </c>
    </row>
    <row r="1423" customFormat="false" ht="52.5" hidden="false" customHeight="true" outlineLevel="0" collapsed="false">
      <c r="AJ1423" s="6" t="str">
        <v/>
      </c>
      <c r="AK1423" s="6" t="str">
        <v/>
      </c>
      <c r="AL1423" s="6" t="str">
        <v/>
      </c>
      <c r="AM1423" s="6" t="str">
        <v/>
      </c>
      <c r="AN1423" s="6" t="n">
        <f aca="false">FALSE()</f>
        <v>0</v>
      </c>
    </row>
    <row r="1424" customFormat="false" ht="52.5" hidden="false" customHeight="true" outlineLevel="0" collapsed="false">
      <c r="AJ1424" s="6" t="str">
        <v/>
      </c>
      <c r="AK1424" s="6" t="str">
        <v/>
      </c>
      <c r="AL1424" s="6" t="str">
        <v/>
      </c>
      <c r="AM1424" s="6" t="str">
        <v/>
      </c>
      <c r="AN1424" s="6" t="n">
        <f aca="false">FALSE()</f>
        <v>0</v>
      </c>
    </row>
    <row r="1425" customFormat="false" ht="52.5" hidden="false" customHeight="true" outlineLevel="0" collapsed="false">
      <c r="AJ1425" s="6" t="str">
        <v/>
      </c>
      <c r="AK1425" s="6" t="str">
        <v/>
      </c>
      <c r="AL1425" s="6" t="str">
        <v/>
      </c>
      <c r="AM1425" s="6" t="str">
        <v/>
      </c>
      <c r="AN1425" s="6" t="n">
        <f aca="false">FALSE()</f>
        <v>0</v>
      </c>
    </row>
    <row r="1426" customFormat="false" ht="52.5" hidden="false" customHeight="true" outlineLevel="0" collapsed="false">
      <c r="AJ1426" s="6" t="str">
        <v/>
      </c>
      <c r="AK1426" s="6" t="str">
        <v/>
      </c>
      <c r="AL1426" s="6" t="str">
        <v/>
      </c>
      <c r="AM1426" s="6" t="str">
        <v/>
      </c>
      <c r="AN1426" s="6" t="n">
        <f aca="false">FALSE()</f>
        <v>0</v>
      </c>
    </row>
    <row r="1427" customFormat="false" ht="52.5" hidden="false" customHeight="true" outlineLevel="0" collapsed="false">
      <c r="AJ1427" s="6" t="str">
        <v/>
      </c>
      <c r="AK1427" s="6" t="str">
        <v/>
      </c>
      <c r="AL1427" s="6" t="str">
        <v/>
      </c>
      <c r="AM1427" s="6" t="str">
        <v/>
      </c>
      <c r="AN1427" s="6" t="n">
        <f aca="false">FALSE()</f>
        <v>0</v>
      </c>
    </row>
    <row r="1428" customFormat="false" ht="52.5" hidden="false" customHeight="true" outlineLevel="0" collapsed="false">
      <c r="AJ1428" s="6" t="str">
        <v/>
      </c>
      <c r="AK1428" s="6" t="str">
        <v/>
      </c>
      <c r="AL1428" s="6" t="str">
        <v/>
      </c>
      <c r="AM1428" s="6" t="str">
        <v/>
      </c>
      <c r="AN1428" s="6" t="n">
        <f aca="false">FALSE()</f>
        <v>0</v>
      </c>
    </row>
    <row r="1429" customFormat="false" ht="52.5" hidden="false" customHeight="true" outlineLevel="0" collapsed="false">
      <c r="AJ1429" s="6" t="str">
        <v/>
      </c>
      <c r="AK1429" s="6" t="str">
        <v/>
      </c>
      <c r="AL1429" s="6" t="str">
        <v/>
      </c>
      <c r="AM1429" s="6" t="str">
        <v/>
      </c>
      <c r="AN1429" s="6" t="n">
        <f aca="false">FALSE()</f>
        <v>0</v>
      </c>
    </row>
    <row r="1430" customFormat="false" ht="52.5" hidden="false" customHeight="true" outlineLevel="0" collapsed="false">
      <c r="AJ1430" s="6" t="str">
        <v/>
      </c>
      <c r="AK1430" s="6" t="str">
        <v/>
      </c>
      <c r="AL1430" s="6" t="str">
        <v/>
      </c>
      <c r="AM1430" s="6" t="str">
        <v/>
      </c>
      <c r="AN1430" s="6" t="n">
        <f aca="false">FALSE()</f>
        <v>0</v>
      </c>
    </row>
    <row r="1431" customFormat="false" ht="52.5" hidden="false" customHeight="true" outlineLevel="0" collapsed="false">
      <c r="AJ1431" s="6" t="str">
        <v/>
      </c>
      <c r="AK1431" s="6" t="str">
        <v/>
      </c>
      <c r="AL1431" s="6" t="str">
        <v/>
      </c>
      <c r="AM1431" s="6" t="str">
        <v/>
      </c>
      <c r="AN1431" s="6" t="n">
        <f aca="false">FALSE()</f>
        <v>0</v>
      </c>
    </row>
    <row r="1432" customFormat="false" ht="52.5" hidden="false" customHeight="true" outlineLevel="0" collapsed="false">
      <c r="AJ1432" s="6" t="str">
        <v/>
      </c>
      <c r="AK1432" s="6" t="str">
        <v/>
      </c>
      <c r="AL1432" s="6" t="str">
        <v/>
      </c>
      <c r="AM1432" s="6" t="str">
        <v/>
      </c>
      <c r="AN1432" s="6" t="n">
        <f aca="false">FALSE()</f>
        <v>0</v>
      </c>
    </row>
    <row r="1433" customFormat="false" ht="52.5" hidden="false" customHeight="true" outlineLevel="0" collapsed="false">
      <c r="AJ1433" s="6" t="str">
        <v/>
      </c>
      <c r="AK1433" s="6" t="str">
        <v/>
      </c>
      <c r="AL1433" s="6" t="str">
        <v/>
      </c>
      <c r="AM1433" s="6" t="str">
        <v/>
      </c>
      <c r="AN1433" s="6" t="n">
        <f aca="false">FALSE()</f>
        <v>0</v>
      </c>
    </row>
    <row r="1434" customFormat="false" ht="52.5" hidden="false" customHeight="true" outlineLevel="0" collapsed="false">
      <c r="AJ1434" s="6" t="str">
        <v/>
      </c>
      <c r="AK1434" s="6" t="str">
        <v/>
      </c>
      <c r="AL1434" s="6" t="str">
        <v/>
      </c>
      <c r="AM1434" s="6" t="str">
        <v/>
      </c>
      <c r="AN1434" s="6" t="n">
        <f aca="false">FALSE()</f>
        <v>0</v>
      </c>
    </row>
    <row r="1435" customFormat="false" ht="52.5" hidden="false" customHeight="true" outlineLevel="0" collapsed="false">
      <c r="AJ1435" s="6" t="str">
        <v/>
      </c>
      <c r="AK1435" s="6" t="str">
        <v/>
      </c>
      <c r="AL1435" s="6" t="str">
        <v/>
      </c>
      <c r="AM1435" s="6" t="str">
        <v/>
      </c>
      <c r="AN1435" s="6" t="n">
        <f aca="false">FALSE()</f>
        <v>0</v>
      </c>
    </row>
    <row r="1436" customFormat="false" ht="52.5" hidden="false" customHeight="true" outlineLevel="0" collapsed="false">
      <c r="AJ1436" s="6" t="str">
        <v/>
      </c>
      <c r="AK1436" s="6" t="str">
        <v/>
      </c>
      <c r="AL1436" s="6" t="str">
        <v/>
      </c>
      <c r="AM1436" s="6" t="str">
        <v/>
      </c>
      <c r="AN1436" s="6" t="n">
        <f aca="false">FALSE()</f>
        <v>0</v>
      </c>
    </row>
    <row r="1437" customFormat="false" ht="52.5" hidden="false" customHeight="true" outlineLevel="0" collapsed="false">
      <c r="AJ1437" s="6" t="str">
        <v/>
      </c>
      <c r="AK1437" s="6" t="str">
        <v/>
      </c>
      <c r="AL1437" s="6" t="str">
        <v/>
      </c>
      <c r="AM1437" s="6" t="str">
        <v/>
      </c>
      <c r="AN1437" s="6" t="n">
        <f aca="false">FALSE()</f>
        <v>0</v>
      </c>
    </row>
    <row r="1438" customFormat="false" ht="52.5" hidden="false" customHeight="true" outlineLevel="0" collapsed="false">
      <c r="AJ1438" s="6" t="str">
        <v/>
      </c>
      <c r="AK1438" s="6" t="str">
        <v/>
      </c>
      <c r="AL1438" s="6" t="str">
        <v/>
      </c>
      <c r="AM1438" s="6" t="str">
        <v/>
      </c>
      <c r="AN1438" s="6" t="n">
        <f aca="false">FALSE()</f>
        <v>0</v>
      </c>
    </row>
    <row r="1439" customFormat="false" ht="52.5" hidden="false" customHeight="true" outlineLevel="0" collapsed="false">
      <c r="AJ1439" s="6" t="str">
        <v/>
      </c>
      <c r="AK1439" s="6" t="str">
        <v/>
      </c>
      <c r="AL1439" s="6" t="str">
        <v/>
      </c>
      <c r="AM1439" s="6" t="str">
        <v/>
      </c>
      <c r="AN1439" s="6" t="n">
        <f aca="false">FALSE()</f>
        <v>0</v>
      </c>
    </row>
    <row r="1440" customFormat="false" ht="52.5" hidden="false" customHeight="true" outlineLevel="0" collapsed="false">
      <c r="AJ1440" s="6" t="str">
        <v/>
      </c>
      <c r="AK1440" s="6" t="str">
        <v/>
      </c>
      <c r="AL1440" s="6" t="str">
        <v/>
      </c>
      <c r="AM1440" s="6" t="str">
        <v/>
      </c>
      <c r="AN1440" s="6" t="n">
        <f aca="false">FALSE()</f>
        <v>0</v>
      </c>
    </row>
    <row r="1441" customFormat="false" ht="52.5" hidden="false" customHeight="true" outlineLevel="0" collapsed="false">
      <c r="AJ1441" s="6" t="str">
        <v/>
      </c>
      <c r="AK1441" s="6" t="str">
        <v/>
      </c>
      <c r="AL1441" s="6" t="str">
        <v/>
      </c>
      <c r="AM1441" s="6" t="str">
        <v/>
      </c>
      <c r="AN1441" s="6" t="n">
        <f aca="false">FALSE()</f>
        <v>0</v>
      </c>
    </row>
    <row r="1442" customFormat="false" ht="52.5" hidden="false" customHeight="true" outlineLevel="0" collapsed="false">
      <c r="AJ1442" s="6" t="str">
        <v/>
      </c>
      <c r="AK1442" s="6" t="str">
        <v/>
      </c>
      <c r="AL1442" s="6" t="str">
        <v/>
      </c>
      <c r="AM1442" s="6" t="str">
        <v/>
      </c>
      <c r="AN1442" s="6" t="n">
        <f aca="false">FALSE()</f>
        <v>0</v>
      </c>
    </row>
    <row r="1443" customFormat="false" ht="52.5" hidden="false" customHeight="true" outlineLevel="0" collapsed="false">
      <c r="AJ1443" s="6" t="str">
        <v/>
      </c>
      <c r="AK1443" s="6" t="str">
        <v/>
      </c>
      <c r="AL1443" s="6" t="str">
        <v/>
      </c>
      <c r="AM1443" s="6" t="str">
        <v/>
      </c>
      <c r="AN1443" s="6" t="n">
        <f aca="false">FALSE()</f>
        <v>0</v>
      </c>
    </row>
    <row r="1444" customFormat="false" ht="52.5" hidden="false" customHeight="true" outlineLevel="0" collapsed="false">
      <c r="AJ1444" s="6" t="str">
        <v/>
      </c>
      <c r="AK1444" s="6" t="str">
        <v/>
      </c>
      <c r="AL1444" s="6" t="str">
        <v/>
      </c>
      <c r="AM1444" s="6" t="str">
        <v/>
      </c>
      <c r="AN1444" s="6" t="n">
        <f aca="false">FALSE()</f>
        <v>0</v>
      </c>
    </row>
    <row r="1445" customFormat="false" ht="52.5" hidden="false" customHeight="true" outlineLevel="0" collapsed="false">
      <c r="AJ1445" s="6" t="str">
        <v/>
      </c>
      <c r="AK1445" s="6" t="str">
        <v/>
      </c>
      <c r="AL1445" s="6" t="str">
        <v/>
      </c>
      <c r="AM1445" s="6" t="str">
        <v/>
      </c>
      <c r="AN1445" s="6" t="n">
        <f aca="false">FALSE()</f>
        <v>0</v>
      </c>
    </row>
    <row r="1446" customFormat="false" ht="52.5" hidden="false" customHeight="true" outlineLevel="0" collapsed="false">
      <c r="AJ1446" s="6" t="str">
        <v/>
      </c>
      <c r="AK1446" s="6" t="str">
        <v/>
      </c>
      <c r="AL1446" s="6" t="str">
        <v/>
      </c>
      <c r="AM1446" s="6" t="str">
        <v/>
      </c>
      <c r="AN1446" s="6" t="n">
        <f aca="false">FALSE()</f>
        <v>0</v>
      </c>
    </row>
    <row r="1447" customFormat="false" ht="52.5" hidden="false" customHeight="true" outlineLevel="0" collapsed="false">
      <c r="AJ1447" s="6" t="str">
        <v/>
      </c>
      <c r="AK1447" s="6" t="str">
        <v/>
      </c>
      <c r="AL1447" s="6" t="str">
        <v/>
      </c>
      <c r="AM1447" s="6" t="str">
        <v/>
      </c>
      <c r="AN1447" s="6" t="n">
        <f aca="false">FALSE()</f>
        <v>0</v>
      </c>
    </row>
    <row r="1448" customFormat="false" ht="52.5" hidden="false" customHeight="true" outlineLevel="0" collapsed="false">
      <c r="AJ1448" s="6" t="str">
        <v/>
      </c>
      <c r="AK1448" s="6" t="str">
        <v/>
      </c>
      <c r="AL1448" s="6" t="str">
        <v/>
      </c>
      <c r="AM1448" s="6" t="str">
        <v/>
      </c>
      <c r="AN1448" s="6" t="n">
        <f aca="false">FALSE()</f>
        <v>0</v>
      </c>
    </row>
    <row r="1449" customFormat="false" ht="52.5" hidden="false" customHeight="true" outlineLevel="0" collapsed="false">
      <c r="AJ1449" s="6" t="str">
        <v/>
      </c>
      <c r="AK1449" s="6" t="str">
        <v/>
      </c>
      <c r="AL1449" s="6" t="str">
        <v/>
      </c>
      <c r="AM1449" s="6" t="str">
        <v/>
      </c>
      <c r="AN1449" s="6" t="n">
        <f aca="false">FALSE()</f>
        <v>0</v>
      </c>
    </row>
    <row r="1450" customFormat="false" ht="52.5" hidden="false" customHeight="true" outlineLevel="0" collapsed="false">
      <c r="AJ1450" s="6" t="str">
        <v/>
      </c>
      <c r="AK1450" s="6" t="str">
        <v/>
      </c>
      <c r="AL1450" s="6" t="str">
        <v/>
      </c>
      <c r="AM1450" s="6" t="str">
        <v/>
      </c>
      <c r="AN1450" s="6" t="n">
        <f aca="false">FALSE()</f>
        <v>0</v>
      </c>
    </row>
    <row r="1451" customFormat="false" ht="52.5" hidden="false" customHeight="true" outlineLevel="0" collapsed="false">
      <c r="AJ1451" s="6" t="str">
        <v/>
      </c>
      <c r="AK1451" s="6" t="str">
        <v/>
      </c>
      <c r="AL1451" s="6" t="str">
        <v/>
      </c>
      <c r="AM1451" s="6" t="str">
        <v/>
      </c>
      <c r="AN1451" s="6" t="n">
        <f aca="false">FALSE()</f>
        <v>0</v>
      </c>
    </row>
    <row r="1452" customFormat="false" ht="52.5" hidden="false" customHeight="true" outlineLevel="0" collapsed="false">
      <c r="AJ1452" s="6" t="str">
        <v/>
      </c>
      <c r="AK1452" s="6" t="str">
        <v/>
      </c>
      <c r="AL1452" s="6" t="str">
        <v/>
      </c>
      <c r="AM1452" s="6" t="str">
        <v/>
      </c>
      <c r="AN1452" s="6" t="n">
        <f aca="false">FALSE()</f>
        <v>0</v>
      </c>
    </row>
    <row r="1453" customFormat="false" ht="52.5" hidden="false" customHeight="true" outlineLevel="0" collapsed="false">
      <c r="AJ1453" s="6" t="str">
        <v/>
      </c>
      <c r="AK1453" s="6" t="str">
        <v/>
      </c>
      <c r="AL1453" s="6" t="str">
        <v/>
      </c>
      <c r="AM1453" s="6" t="str">
        <v/>
      </c>
      <c r="AN1453" s="6" t="n">
        <f aca="false">FALSE()</f>
        <v>0</v>
      </c>
    </row>
    <row r="1454" customFormat="false" ht="52.5" hidden="false" customHeight="true" outlineLevel="0" collapsed="false">
      <c r="AJ1454" s="6" t="str">
        <v/>
      </c>
      <c r="AK1454" s="6" t="str">
        <v/>
      </c>
      <c r="AL1454" s="6" t="str">
        <v/>
      </c>
      <c r="AM1454" s="6" t="str">
        <v/>
      </c>
      <c r="AN1454" s="6" t="n">
        <f aca="false">FALSE()</f>
        <v>0</v>
      </c>
    </row>
    <row r="1455" customFormat="false" ht="52.5" hidden="false" customHeight="true" outlineLevel="0" collapsed="false">
      <c r="AJ1455" s="6" t="str">
        <v/>
      </c>
      <c r="AK1455" s="6" t="str">
        <v/>
      </c>
      <c r="AL1455" s="6" t="str">
        <v/>
      </c>
      <c r="AM1455" s="6" t="str">
        <v/>
      </c>
      <c r="AN1455" s="6" t="n">
        <f aca="false">FALSE()</f>
        <v>0</v>
      </c>
    </row>
    <row r="1456" customFormat="false" ht="52.5" hidden="false" customHeight="true" outlineLevel="0" collapsed="false">
      <c r="AJ1456" s="6" t="str">
        <v/>
      </c>
      <c r="AK1456" s="6" t="str">
        <v/>
      </c>
      <c r="AL1456" s="6" t="str">
        <v/>
      </c>
      <c r="AM1456" s="6" t="str">
        <v/>
      </c>
      <c r="AN1456" s="6" t="n">
        <f aca="false">FALSE()</f>
        <v>0</v>
      </c>
    </row>
    <row r="1457" customFormat="false" ht="52.5" hidden="false" customHeight="true" outlineLevel="0" collapsed="false">
      <c r="AJ1457" s="6" t="str">
        <v/>
      </c>
      <c r="AK1457" s="6" t="str">
        <v/>
      </c>
      <c r="AL1457" s="6" t="str">
        <v/>
      </c>
      <c r="AM1457" s="6" t="str">
        <v/>
      </c>
      <c r="AN1457" s="6" t="n">
        <f aca="false">FALSE()</f>
        <v>0</v>
      </c>
    </row>
    <row r="1458" customFormat="false" ht="52.5" hidden="false" customHeight="true" outlineLevel="0" collapsed="false">
      <c r="AJ1458" s="6" t="str">
        <v/>
      </c>
      <c r="AK1458" s="6" t="str">
        <v/>
      </c>
      <c r="AL1458" s="6" t="str">
        <v/>
      </c>
      <c r="AM1458" s="6" t="str">
        <v/>
      </c>
      <c r="AN1458" s="6" t="n">
        <f aca="false">FALSE()</f>
        <v>0</v>
      </c>
    </row>
    <row r="1459" customFormat="false" ht="52.5" hidden="false" customHeight="true" outlineLevel="0" collapsed="false">
      <c r="AJ1459" s="6" t="str">
        <v/>
      </c>
      <c r="AK1459" s="6" t="str">
        <v/>
      </c>
      <c r="AL1459" s="6" t="str">
        <v/>
      </c>
      <c r="AM1459" s="6" t="str">
        <v/>
      </c>
      <c r="AN1459" s="6" t="n">
        <f aca="false">FALSE()</f>
        <v>0</v>
      </c>
    </row>
    <row r="1460" customFormat="false" ht="52.5" hidden="false" customHeight="true" outlineLevel="0" collapsed="false">
      <c r="AJ1460" s="6" t="str">
        <v/>
      </c>
      <c r="AK1460" s="6" t="str">
        <v/>
      </c>
      <c r="AL1460" s="6" t="str">
        <v/>
      </c>
      <c r="AM1460" s="6" t="str">
        <v/>
      </c>
      <c r="AN1460" s="6" t="n">
        <f aca="false">FALSE()</f>
        <v>0</v>
      </c>
    </row>
    <row r="1461" customFormat="false" ht="52.5" hidden="false" customHeight="true" outlineLevel="0" collapsed="false">
      <c r="AJ1461" s="6" t="str">
        <v/>
      </c>
      <c r="AK1461" s="6" t="str">
        <v/>
      </c>
      <c r="AL1461" s="6" t="str">
        <v/>
      </c>
      <c r="AM1461" s="6" t="str">
        <v/>
      </c>
      <c r="AN1461" s="6" t="n">
        <f aca="false">FALSE()</f>
        <v>0</v>
      </c>
    </row>
    <row r="1462" customFormat="false" ht="52.5" hidden="false" customHeight="true" outlineLevel="0" collapsed="false">
      <c r="AJ1462" s="6" t="str">
        <v/>
      </c>
      <c r="AK1462" s="6" t="str">
        <v/>
      </c>
      <c r="AL1462" s="6" t="str">
        <v/>
      </c>
      <c r="AM1462" s="6" t="str">
        <v/>
      </c>
      <c r="AN1462" s="6" t="n">
        <f aca="false">FALSE()</f>
        <v>0</v>
      </c>
    </row>
    <row r="1463" customFormat="false" ht="52.5" hidden="false" customHeight="true" outlineLevel="0" collapsed="false">
      <c r="AJ1463" s="6" t="str">
        <v/>
      </c>
      <c r="AK1463" s="6" t="str">
        <v/>
      </c>
      <c r="AL1463" s="6" t="str">
        <v/>
      </c>
      <c r="AM1463" s="6" t="str">
        <v/>
      </c>
      <c r="AN1463" s="6" t="n">
        <f aca="false">FALSE()</f>
        <v>0</v>
      </c>
    </row>
    <row r="1464" customFormat="false" ht="52.5" hidden="false" customHeight="true" outlineLevel="0" collapsed="false">
      <c r="AJ1464" s="6" t="str">
        <v/>
      </c>
      <c r="AK1464" s="6" t="str">
        <v/>
      </c>
      <c r="AL1464" s="6" t="str">
        <v/>
      </c>
      <c r="AM1464" s="6" t="str">
        <v/>
      </c>
      <c r="AN1464" s="6" t="n">
        <f aca="false">FALSE()</f>
        <v>0</v>
      </c>
    </row>
    <row r="1465" customFormat="false" ht="52.5" hidden="false" customHeight="true" outlineLevel="0" collapsed="false">
      <c r="AJ1465" s="6" t="str">
        <v/>
      </c>
      <c r="AK1465" s="6" t="str">
        <v/>
      </c>
      <c r="AL1465" s="6" t="str">
        <v/>
      </c>
      <c r="AM1465" s="6" t="str">
        <v/>
      </c>
      <c r="AN1465" s="6" t="n">
        <f aca="false">FALSE()</f>
        <v>0</v>
      </c>
    </row>
    <row r="1466" customFormat="false" ht="52.5" hidden="false" customHeight="true" outlineLevel="0" collapsed="false">
      <c r="AJ1466" s="6" t="str">
        <v/>
      </c>
      <c r="AK1466" s="6" t="str">
        <v/>
      </c>
      <c r="AL1466" s="6" t="str">
        <v/>
      </c>
      <c r="AM1466" s="6" t="str">
        <v/>
      </c>
      <c r="AN1466" s="6" t="n">
        <f aca="false">FALSE()</f>
        <v>0</v>
      </c>
    </row>
    <row r="1467" customFormat="false" ht="52.5" hidden="false" customHeight="true" outlineLevel="0" collapsed="false">
      <c r="AJ1467" s="6" t="str">
        <v/>
      </c>
      <c r="AK1467" s="6" t="str">
        <v/>
      </c>
      <c r="AL1467" s="6" t="str">
        <v/>
      </c>
      <c r="AM1467" s="6" t="str">
        <v/>
      </c>
      <c r="AN1467" s="6" t="n">
        <f aca="false">FALSE()</f>
        <v>0</v>
      </c>
    </row>
    <row r="1468" customFormat="false" ht="52.5" hidden="false" customHeight="true" outlineLevel="0" collapsed="false">
      <c r="AJ1468" s="6" t="str">
        <v/>
      </c>
      <c r="AK1468" s="6" t="str">
        <v/>
      </c>
      <c r="AL1468" s="6" t="str">
        <v/>
      </c>
      <c r="AM1468" s="6" t="str">
        <v/>
      </c>
      <c r="AN1468" s="6" t="n">
        <f aca="false">FALSE()</f>
        <v>0</v>
      </c>
    </row>
    <row r="1469" customFormat="false" ht="52.5" hidden="false" customHeight="true" outlineLevel="0" collapsed="false">
      <c r="AJ1469" s="6" t="str">
        <v/>
      </c>
      <c r="AK1469" s="6" t="str">
        <v/>
      </c>
      <c r="AL1469" s="6" t="str">
        <v/>
      </c>
      <c r="AM1469" s="6" t="str">
        <v/>
      </c>
      <c r="AN1469" s="6" t="n">
        <f aca="false">FALSE()</f>
        <v>0</v>
      </c>
    </row>
    <row r="1470" customFormat="false" ht="52.5" hidden="false" customHeight="true" outlineLevel="0" collapsed="false">
      <c r="AJ1470" s="6" t="str">
        <v/>
      </c>
      <c r="AK1470" s="6" t="str">
        <v/>
      </c>
      <c r="AL1470" s="6" t="str">
        <v/>
      </c>
      <c r="AM1470" s="6" t="str">
        <v/>
      </c>
      <c r="AN1470" s="6" t="n">
        <f aca="false">FALSE()</f>
        <v>0</v>
      </c>
    </row>
    <row r="1471" customFormat="false" ht="52.5" hidden="false" customHeight="true" outlineLevel="0" collapsed="false">
      <c r="AJ1471" s="6" t="str">
        <v/>
      </c>
      <c r="AK1471" s="6" t="str">
        <v/>
      </c>
      <c r="AL1471" s="6" t="str">
        <v/>
      </c>
      <c r="AM1471" s="6" t="str">
        <v/>
      </c>
      <c r="AN1471" s="6" t="n">
        <f aca="false">FALSE()</f>
        <v>0</v>
      </c>
    </row>
    <row r="1472" customFormat="false" ht="52.5" hidden="false" customHeight="true" outlineLevel="0" collapsed="false">
      <c r="AJ1472" s="6" t="str">
        <v/>
      </c>
      <c r="AK1472" s="6" t="str">
        <v/>
      </c>
      <c r="AL1472" s="6" t="str">
        <v/>
      </c>
      <c r="AM1472" s="6" t="str">
        <v/>
      </c>
      <c r="AN1472" s="6" t="n">
        <f aca="false">FALSE()</f>
        <v>0</v>
      </c>
    </row>
    <row r="1473" customFormat="false" ht="52.5" hidden="false" customHeight="true" outlineLevel="0" collapsed="false">
      <c r="AJ1473" s="6" t="str">
        <v/>
      </c>
      <c r="AK1473" s="6" t="str">
        <v/>
      </c>
      <c r="AL1473" s="6" t="str">
        <v/>
      </c>
      <c r="AM1473" s="6" t="str">
        <v/>
      </c>
      <c r="AN1473" s="6" t="n">
        <f aca="false">FALSE()</f>
        <v>0</v>
      </c>
    </row>
    <row r="1474" customFormat="false" ht="52.5" hidden="false" customHeight="true" outlineLevel="0" collapsed="false">
      <c r="AJ1474" s="6" t="str">
        <v/>
      </c>
      <c r="AK1474" s="6" t="str">
        <v/>
      </c>
      <c r="AL1474" s="6" t="str">
        <v/>
      </c>
      <c r="AM1474" s="6" t="str">
        <v/>
      </c>
      <c r="AN1474" s="6" t="n">
        <f aca="false">FALSE()</f>
        <v>0</v>
      </c>
    </row>
    <row r="1475" customFormat="false" ht="52.5" hidden="false" customHeight="true" outlineLevel="0" collapsed="false">
      <c r="AJ1475" s="6" t="str">
        <v/>
      </c>
      <c r="AK1475" s="6" t="str">
        <v/>
      </c>
      <c r="AL1475" s="6" t="str">
        <v/>
      </c>
      <c r="AM1475" s="6" t="str">
        <v/>
      </c>
      <c r="AN1475" s="6" t="n">
        <f aca="false">FALSE()</f>
        <v>0</v>
      </c>
    </row>
    <row r="1476" customFormat="false" ht="52.5" hidden="false" customHeight="true" outlineLevel="0" collapsed="false">
      <c r="AJ1476" s="6" t="str">
        <v/>
      </c>
      <c r="AK1476" s="6" t="str">
        <v/>
      </c>
      <c r="AL1476" s="6" t="str">
        <v/>
      </c>
      <c r="AM1476" s="6" t="str">
        <v/>
      </c>
      <c r="AN1476" s="6" t="n">
        <f aca="false">FALSE()</f>
        <v>0</v>
      </c>
    </row>
    <row r="1477" customFormat="false" ht="52.5" hidden="false" customHeight="true" outlineLevel="0" collapsed="false">
      <c r="AJ1477" s="6" t="str">
        <v/>
      </c>
      <c r="AK1477" s="6" t="str">
        <v/>
      </c>
      <c r="AL1477" s="6" t="str">
        <v/>
      </c>
      <c r="AM1477" s="6" t="str">
        <v/>
      </c>
      <c r="AN1477" s="6" t="n">
        <f aca="false">FALSE()</f>
        <v>0</v>
      </c>
    </row>
    <row r="1478" customFormat="false" ht="52.5" hidden="false" customHeight="true" outlineLevel="0" collapsed="false">
      <c r="AJ1478" s="6" t="str">
        <v/>
      </c>
      <c r="AK1478" s="6" t="str">
        <v/>
      </c>
      <c r="AL1478" s="6" t="str">
        <v/>
      </c>
      <c r="AM1478" s="6" t="str">
        <v/>
      </c>
      <c r="AN1478" s="6" t="n">
        <f aca="false">FALSE()</f>
        <v>0</v>
      </c>
    </row>
    <row r="1479" customFormat="false" ht="52.5" hidden="false" customHeight="true" outlineLevel="0" collapsed="false">
      <c r="AJ1479" s="6" t="str">
        <v/>
      </c>
      <c r="AK1479" s="6" t="str">
        <v/>
      </c>
      <c r="AL1479" s="6" t="str">
        <v/>
      </c>
      <c r="AM1479" s="6" t="str">
        <v/>
      </c>
      <c r="AN1479" s="6" t="n">
        <f aca="false">FALSE()</f>
        <v>0</v>
      </c>
    </row>
    <row r="1480" customFormat="false" ht="52.5" hidden="false" customHeight="true" outlineLevel="0" collapsed="false">
      <c r="AJ1480" s="6" t="str">
        <v/>
      </c>
      <c r="AK1480" s="6" t="str">
        <v/>
      </c>
      <c r="AL1480" s="6" t="str">
        <v/>
      </c>
      <c r="AM1480" s="6" t="str">
        <v/>
      </c>
      <c r="AN1480" s="6" t="n">
        <f aca="false">FALSE()</f>
        <v>0</v>
      </c>
    </row>
    <row r="1481" customFormat="false" ht="52.5" hidden="false" customHeight="true" outlineLevel="0" collapsed="false">
      <c r="AJ1481" s="6" t="str">
        <v/>
      </c>
      <c r="AK1481" s="6" t="str">
        <v/>
      </c>
      <c r="AL1481" s="6" t="str">
        <v/>
      </c>
      <c r="AM1481" s="6" t="str">
        <v/>
      </c>
      <c r="AN1481" s="6" t="n">
        <f aca="false">FALSE()</f>
        <v>0</v>
      </c>
    </row>
    <row r="1482" customFormat="false" ht="52.5" hidden="false" customHeight="true" outlineLevel="0" collapsed="false">
      <c r="AJ1482" s="6" t="str">
        <v/>
      </c>
      <c r="AK1482" s="6" t="str">
        <v/>
      </c>
      <c r="AL1482" s="6" t="str">
        <v/>
      </c>
      <c r="AM1482" s="6" t="str">
        <v/>
      </c>
      <c r="AN1482" s="6" t="n">
        <f aca="false">FALSE()</f>
        <v>0</v>
      </c>
    </row>
    <row r="1483" customFormat="false" ht="52.5" hidden="false" customHeight="true" outlineLevel="0" collapsed="false">
      <c r="AJ1483" s="6" t="str">
        <v/>
      </c>
      <c r="AK1483" s="6" t="str">
        <v/>
      </c>
      <c r="AL1483" s="6" t="str">
        <v/>
      </c>
      <c r="AM1483" s="6" t="str">
        <v/>
      </c>
      <c r="AN1483" s="6" t="n">
        <f aca="false">FALSE()</f>
        <v>0</v>
      </c>
    </row>
    <row r="1484" customFormat="false" ht="52.5" hidden="false" customHeight="true" outlineLevel="0" collapsed="false">
      <c r="AJ1484" s="6" t="str">
        <v/>
      </c>
      <c r="AK1484" s="6" t="str">
        <v/>
      </c>
      <c r="AL1484" s="6" t="str">
        <v/>
      </c>
      <c r="AM1484" s="6" t="str">
        <v/>
      </c>
      <c r="AN1484" s="6" t="n">
        <f aca="false">FALSE()</f>
        <v>0</v>
      </c>
    </row>
    <row r="1485" customFormat="false" ht="52.5" hidden="false" customHeight="true" outlineLevel="0" collapsed="false">
      <c r="AJ1485" s="6" t="str">
        <v/>
      </c>
      <c r="AK1485" s="6" t="str">
        <v/>
      </c>
      <c r="AL1485" s="6" t="str">
        <v/>
      </c>
      <c r="AM1485" s="6" t="str">
        <v/>
      </c>
      <c r="AN1485" s="6" t="n">
        <f aca="false">FALSE()</f>
        <v>0</v>
      </c>
    </row>
    <row r="1486" customFormat="false" ht="52.5" hidden="false" customHeight="true" outlineLevel="0" collapsed="false">
      <c r="AJ1486" s="6" t="str">
        <v/>
      </c>
      <c r="AK1486" s="6" t="str">
        <v/>
      </c>
      <c r="AL1486" s="6" t="str">
        <v/>
      </c>
      <c r="AM1486" s="6" t="str">
        <v/>
      </c>
      <c r="AN1486" s="6" t="n">
        <f aca="false">FALSE()</f>
        <v>0</v>
      </c>
    </row>
    <row r="1487" customFormat="false" ht="52.5" hidden="false" customHeight="true" outlineLevel="0" collapsed="false">
      <c r="AJ1487" s="6" t="str">
        <v/>
      </c>
      <c r="AK1487" s="6" t="str">
        <v/>
      </c>
      <c r="AL1487" s="6" t="str">
        <v/>
      </c>
      <c r="AM1487" s="6" t="str">
        <v/>
      </c>
      <c r="AN1487" s="6" t="n">
        <f aca="false">FALSE()</f>
        <v>0</v>
      </c>
    </row>
    <row r="1488" customFormat="false" ht="52.5" hidden="false" customHeight="true" outlineLevel="0" collapsed="false">
      <c r="AJ1488" s="6" t="str">
        <v/>
      </c>
      <c r="AK1488" s="6" t="str">
        <v/>
      </c>
      <c r="AL1488" s="6" t="str">
        <v/>
      </c>
      <c r="AM1488" s="6" t="str">
        <v/>
      </c>
      <c r="AN1488" s="6" t="n">
        <f aca="false">FALSE()</f>
        <v>0</v>
      </c>
    </row>
    <row r="1489" customFormat="false" ht="52.5" hidden="false" customHeight="true" outlineLevel="0" collapsed="false">
      <c r="AJ1489" s="6" t="str">
        <v/>
      </c>
      <c r="AK1489" s="6" t="str">
        <v/>
      </c>
      <c r="AL1489" s="6" t="str">
        <v/>
      </c>
      <c r="AM1489" s="6" t="str">
        <v/>
      </c>
      <c r="AN1489" s="6" t="n">
        <f aca="false">FALSE()</f>
        <v>0</v>
      </c>
    </row>
    <row r="1490" customFormat="false" ht="52.5" hidden="false" customHeight="true" outlineLevel="0" collapsed="false">
      <c r="AJ1490" s="6" t="str">
        <v/>
      </c>
      <c r="AK1490" s="6" t="str">
        <v/>
      </c>
      <c r="AL1490" s="6" t="str">
        <v/>
      </c>
      <c r="AM1490" s="6" t="str">
        <v/>
      </c>
      <c r="AN1490" s="6" t="n">
        <f aca="false">FALSE()</f>
        <v>0</v>
      </c>
    </row>
    <row r="1491" customFormat="false" ht="52.5" hidden="false" customHeight="true" outlineLevel="0" collapsed="false">
      <c r="AJ1491" s="6" t="str">
        <v/>
      </c>
      <c r="AK1491" s="6" t="str">
        <v/>
      </c>
      <c r="AL1491" s="6" t="str">
        <v/>
      </c>
      <c r="AM1491" s="6" t="str">
        <v/>
      </c>
      <c r="AN1491" s="6" t="n">
        <f aca="false">FALSE()</f>
        <v>0</v>
      </c>
    </row>
    <row r="1492" customFormat="false" ht="52.5" hidden="false" customHeight="true" outlineLevel="0" collapsed="false">
      <c r="AJ1492" s="6" t="str">
        <v/>
      </c>
      <c r="AK1492" s="6" t="str">
        <v/>
      </c>
      <c r="AL1492" s="6" t="str">
        <v/>
      </c>
      <c r="AM1492" s="6" t="str">
        <v/>
      </c>
      <c r="AN1492" s="6" t="n">
        <f aca="false">FALSE()</f>
        <v>0</v>
      </c>
    </row>
    <row r="1493" customFormat="false" ht="52.5" hidden="false" customHeight="true" outlineLevel="0" collapsed="false">
      <c r="AJ1493" s="6" t="str">
        <v/>
      </c>
      <c r="AK1493" s="6" t="str">
        <v/>
      </c>
      <c r="AL1493" s="6" t="str">
        <v/>
      </c>
      <c r="AM1493" s="6" t="str">
        <v/>
      </c>
      <c r="AN1493" s="6" t="n">
        <f aca="false">FALSE()</f>
        <v>0</v>
      </c>
    </row>
    <row r="1494" customFormat="false" ht="52.5" hidden="false" customHeight="true" outlineLevel="0" collapsed="false">
      <c r="AJ1494" s="6" t="str">
        <v/>
      </c>
      <c r="AK1494" s="6" t="str">
        <v/>
      </c>
      <c r="AL1494" s="6" t="str">
        <v/>
      </c>
      <c r="AM1494" s="6" t="str">
        <v/>
      </c>
      <c r="AN1494" s="6" t="n">
        <f aca="false">FALSE()</f>
        <v>0</v>
      </c>
    </row>
    <row r="1495" customFormat="false" ht="52.5" hidden="false" customHeight="true" outlineLevel="0" collapsed="false">
      <c r="AJ1495" s="6" t="str">
        <v/>
      </c>
      <c r="AK1495" s="6" t="str">
        <v/>
      </c>
      <c r="AL1495" s="6" t="str">
        <v/>
      </c>
      <c r="AM1495" s="6" t="str">
        <v/>
      </c>
      <c r="AN1495" s="6" t="n">
        <f aca="false">FALSE()</f>
        <v>0</v>
      </c>
    </row>
    <row r="1496" customFormat="false" ht="52.5" hidden="false" customHeight="true" outlineLevel="0" collapsed="false">
      <c r="AJ1496" s="6" t="str">
        <v/>
      </c>
      <c r="AK1496" s="6" t="str">
        <v/>
      </c>
      <c r="AL1496" s="6" t="str">
        <v/>
      </c>
      <c r="AM1496" s="6" t="str">
        <v/>
      </c>
      <c r="AN1496" s="6" t="n">
        <f aca="false">FALSE()</f>
        <v>0</v>
      </c>
    </row>
    <row r="1497" customFormat="false" ht="52.5" hidden="false" customHeight="true" outlineLevel="0" collapsed="false">
      <c r="AJ1497" s="6" t="str">
        <v/>
      </c>
      <c r="AK1497" s="6" t="str">
        <v/>
      </c>
      <c r="AL1497" s="6" t="str">
        <v/>
      </c>
      <c r="AM1497" s="6" t="str">
        <v/>
      </c>
      <c r="AN1497" s="6" t="n">
        <f aca="false">FALSE()</f>
        <v>0</v>
      </c>
    </row>
    <row r="1498" customFormat="false" ht="52.5" hidden="false" customHeight="true" outlineLevel="0" collapsed="false">
      <c r="AJ1498" s="6" t="str">
        <v/>
      </c>
      <c r="AK1498" s="6" t="str">
        <v/>
      </c>
      <c r="AL1498" s="6" t="str">
        <v/>
      </c>
      <c r="AM1498" s="6" t="str">
        <v/>
      </c>
      <c r="AN1498" s="6" t="n">
        <f aca="false">FALSE()</f>
        <v>0</v>
      </c>
    </row>
    <row r="1499" customFormat="false" ht="52.5" hidden="false" customHeight="true" outlineLevel="0" collapsed="false">
      <c r="AJ1499" s="6" t="str">
        <v/>
      </c>
      <c r="AK1499" s="6" t="str">
        <v/>
      </c>
      <c r="AL1499" s="6" t="str">
        <v/>
      </c>
      <c r="AM1499" s="6" t="str">
        <v/>
      </c>
      <c r="AN1499" s="6" t="n">
        <f aca="false">FALSE()</f>
        <v>0</v>
      </c>
    </row>
    <row r="1500" customFormat="false" ht="52.5" hidden="false" customHeight="true" outlineLevel="0" collapsed="false">
      <c r="AJ1500" s="6" t="str">
        <v/>
      </c>
      <c r="AK1500" s="6" t="str">
        <v/>
      </c>
      <c r="AL1500" s="6" t="str">
        <v/>
      </c>
      <c r="AM1500" s="6" t="str">
        <v/>
      </c>
      <c r="AN1500" s="6" t="n">
        <f aca="false">FALSE()</f>
        <v>0</v>
      </c>
    </row>
    <row r="1501" customFormat="false" ht="52.5" hidden="false" customHeight="true" outlineLevel="0" collapsed="false">
      <c r="AJ1501" s="6" t="str">
        <v/>
      </c>
      <c r="AK1501" s="6" t="str">
        <v/>
      </c>
      <c r="AL1501" s="6" t="str">
        <v/>
      </c>
      <c r="AM1501" s="6" t="str">
        <v/>
      </c>
      <c r="AN1501" s="6" t="n">
        <f aca="false">FALSE()</f>
        <v>0</v>
      </c>
    </row>
    <row r="1502" customFormat="false" ht="52.5" hidden="false" customHeight="true" outlineLevel="0" collapsed="false">
      <c r="AJ1502" s="6" t="str">
        <v/>
      </c>
      <c r="AK1502" s="6" t="str">
        <v/>
      </c>
      <c r="AL1502" s="6" t="str">
        <v/>
      </c>
      <c r="AM1502" s="6" t="str">
        <v/>
      </c>
      <c r="AN1502" s="6" t="n">
        <f aca="false">FALSE()</f>
        <v>0</v>
      </c>
    </row>
    <row r="1503" customFormat="false" ht="52.5" hidden="false" customHeight="true" outlineLevel="0" collapsed="false">
      <c r="AJ1503" s="6" t="str">
        <v/>
      </c>
      <c r="AK1503" s="6" t="str">
        <v/>
      </c>
      <c r="AL1503" s="6" t="str">
        <v/>
      </c>
      <c r="AM1503" s="6" t="str">
        <v/>
      </c>
      <c r="AN1503" s="6" t="n">
        <f aca="false">FALSE()</f>
        <v>0</v>
      </c>
    </row>
    <row r="1504" customFormat="false" ht="52.5" hidden="false" customHeight="true" outlineLevel="0" collapsed="false">
      <c r="AJ1504" s="6" t="str">
        <v/>
      </c>
      <c r="AK1504" s="6" t="str">
        <v/>
      </c>
      <c r="AL1504" s="6" t="str">
        <v/>
      </c>
      <c r="AM1504" s="6" t="str">
        <v/>
      </c>
      <c r="AN1504" s="6" t="n">
        <f aca="false">FALSE()</f>
        <v>0</v>
      </c>
    </row>
    <row r="1505" customFormat="false" ht="52.5" hidden="false" customHeight="true" outlineLevel="0" collapsed="false">
      <c r="AJ1505" s="6" t="str">
        <v/>
      </c>
      <c r="AK1505" s="6" t="str">
        <v/>
      </c>
      <c r="AL1505" s="6" t="str">
        <v/>
      </c>
      <c r="AM1505" s="6" t="str">
        <v/>
      </c>
      <c r="AN1505" s="6" t="n">
        <f aca="false">FALSE()</f>
        <v>0</v>
      </c>
    </row>
    <row r="1506" customFormat="false" ht="52.5" hidden="false" customHeight="true" outlineLevel="0" collapsed="false">
      <c r="AJ1506" s="6" t="str">
        <v/>
      </c>
      <c r="AK1506" s="6" t="str">
        <v/>
      </c>
      <c r="AL1506" s="6" t="str">
        <v/>
      </c>
      <c r="AM1506" s="6" t="str">
        <v/>
      </c>
      <c r="AN1506" s="6" t="n">
        <f aca="false">FALSE()</f>
        <v>0</v>
      </c>
    </row>
    <row r="1507" customFormat="false" ht="52.5" hidden="false" customHeight="true" outlineLevel="0" collapsed="false">
      <c r="AJ1507" s="6" t="str">
        <v/>
      </c>
      <c r="AK1507" s="6" t="str">
        <v/>
      </c>
      <c r="AL1507" s="6" t="str">
        <v/>
      </c>
      <c r="AM1507" s="6" t="str">
        <v/>
      </c>
      <c r="AN1507" s="6" t="n">
        <f aca="false">FALSE()</f>
        <v>0</v>
      </c>
    </row>
    <row r="1508" customFormat="false" ht="52.5" hidden="false" customHeight="true" outlineLevel="0" collapsed="false">
      <c r="AJ1508" s="6" t="str">
        <v/>
      </c>
      <c r="AK1508" s="6" t="str">
        <v/>
      </c>
      <c r="AL1508" s="6" t="str">
        <v/>
      </c>
      <c r="AM1508" s="6" t="str">
        <v/>
      </c>
      <c r="AN1508" s="6" t="n">
        <f aca="false">FALSE()</f>
        <v>0</v>
      </c>
    </row>
  </sheetData>
  <conditionalFormatting sqref="C2:C1508">
    <cfRule type="expression" priority="2" aboveAverage="0" equalAverage="0" bottom="0" percent="0" rank="0" text="" dxfId="0">
      <formula>COUNTIF(C:C,C:C)&gt;=2</formula>
    </cfRule>
  </conditionalFormatting>
  <conditionalFormatting sqref="AK3:AK1508">
    <cfRule type="cellIs" priority="3" operator="equal" aboveAverage="0" equalAverage="0" bottom="0" percent="0" rank="0" text="" dxfId="1">
      <formula>"不要"</formula>
    </cfRule>
  </conditionalFormatting>
  <conditionalFormatting sqref="AL3:AL1508">
    <cfRule type="cellIs" priority="4" operator="equal" aboveAverage="0" equalAverage="0" bottom="0" percent="0" rank="0" text="" dxfId="2">
      <formula>"利用する"</formula>
    </cfRule>
  </conditionalFormatting>
  <conditionalFormatting sqref="AM3:AM1508">
    <cfRule type="cellIs" priority="5" operator="equal" aboveAverage="0" equalAverage="0" bottom="0" percent="0" rank="0" text="" dxfId="3">
      <formula>"希望しない"</formula>
    </cfRule>
  </conditionalFormatting>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1</TotalTime>
  <Application>LibreOffice/6.2.8.2$Windows_X86_64 LibreOffice_project/f82ddfca21ebc1e222a662a32b25c0c9d20169ee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2026-04-24T04:48:30Z</dcterms:created>
  <dc:creator>前田裕介</dc:creator>
  <dc:description/>
  <dc:language>ja-JP</dc:language>
  <cp:lastModifiedBy/>
  <dcterms:modified xsi:type="dcterms:W3CDTF">2026-05-10T18:27:05Z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